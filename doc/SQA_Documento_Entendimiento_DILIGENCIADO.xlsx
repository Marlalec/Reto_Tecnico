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_rels/workbook.xml.rels" ContentType="application/vnd.openxmlformats-package.relationships+xml"/>
  <Override PartName="/xl/media/image1.png" ContentType="image/png"/>
  <Override PartName="/xl/media/image2.png" ContentType="image/png"/>
  <Override PartName="/xl/comments2.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TENDIMIENTO" sheetId="1" state="visible" r:id="rId3"/>
    <sheet name="ESTIMACION" sheetId="2" state="visible" r:id="rId4"/>
    <sheet name="Conocimiento" sheetId="3" state="visible" r:id="rId5"/>
    <sheet name="Desarrollo" sheetId="4" state="visible" r:id="rId6"/>
    <sheet name="Diseño" sheetId="5" state="visible" r:id="rId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2" authorId="0">
      <text>
        <r>
          <rPr>
            <sz val="10"/>
            <rFont val="Arial"/>
            <family val="2"/>
          </rPr>
          <t xml:space="preserve">Usuario:
El tiempo definido en este item es el tiempo optimista + el % de incertidumbre (tiempo pesimista)</t>
        </r>
      </text>
    </comment>
    <comment ref="F88" authorId="0">
      <text>
        <r>
          <rPr>
            <sz val="10"/>
            <rFont val="Arial"/>
            <family val="2"/>
          </rPr>
          <t xml:space="preserve">Usuario:
Se debe determinar de acuerdo a la información levantada o sumnistrada. </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14" authorId="0">
      <text>
        <r>
          <rPr>
            <sz val="10"/>
            <rFont val="Arial"/>
            <family val="2"/>
          </rPr>
          <t xml:space="preserve">Usuario:
Tener en cuenta el tiempo sugerido en la pestaña "Conocimiento"
</t>
        </r>
      </text>
    </comment>
    <comment ref="A22" authorId="0">
      <text>
        <r>
          <rPr>
            <sz val="10"/>
            <rFont val="Arial"/>
            <family val="2"/>
          </rPr>
          <t xml:space="preserve">Usuario:
Tener en cuenta el tiempo sugerido en la pestaña "Desarrollo"</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E3" authorId="0">
      <text>
        <r>
          <rPr>
            <sz val="10"/>
            <rFont val="Arial"/>
            <family val="2"/>
          </rPr>
          <t xml:space="preserve">Usuario:
Multiplicación del total de campos x la complejidad
</t>
        </r>
      </text>
    </comment>
    <comment ref="F3" authorId="0">
      <text>
        <r>
          <rPr>
            <sz val="10"/>
            <rFont val="Arial"/>
            <family val="2"/>
          </rPr>
          <t xml:space="preserve">Usuario:
Hace referencia a las validaciones que se deben tener presente en el flujo</t>
        </r>
      </text>
    </comment>
    <comment ref="G3" authorId="0">
      <text>
        <r>
          <rPr>
            <sz val="10"/>
            <rFont val="Arial"/>
            <family val="2"/>
          </rPr>
          <t xml:space="preserve">Usuario:
Multiplicación de la cantidad de Puntos de Control * Complejidad
de validaciones
</t>
        </r>
      </text>
    </comment>
  </commentList>
</comments>
</file>

<file path=xl/sharedStrings.xml><?xml version="1.0" encoding="utf-8"?>
<sst xmlns="http://schemas.openxmlformats.org/spreadsheetml/2006/main" count="330" uniqueCount="252">
  <si>
    <t xml:space="preserve"> </t>
  </si>
  <si>
    <t xml:space="preserve">DOCUMENTO DE ENTENDIMIENTO AUTOMATIZACIÓN
Documento de Visión</t>
  </si>
  <si>
    <t xml:space="preserve">Última Versión: 
2023/05/12
Proceso(s):
Gestionar Operaciones
/Procedimiento Gestionar Pruebas Automatizadas </t>
  </si>
  <si>
    <t xml:space="preserve">IDENTIFICACIÓN DEL PROYECTO</t>
  </si>
  <si>
    <t xml:space="preserve">Fecha de elaboración</t>
  </si>
  <si>
    <t xml:space="preserve">2026-06-05</t>
  </si>
  <si>
    <t xml:space="preserve">Nombre del cliente</t>
  </si>
  <si>
    <t xml:space="preserve">SQA S.A. (Reto inicial de onboarding)</t>
  </si>
  <si>
    <t xml:space="preserve">Nombre del proyecto</t>
  </si>
  <si>
    <t xml:space="preserve">Automatización HU-001 - jQuery UI Datepicker</t>
  </si>
  <si>
    <t xml:space="preserve">Líder Cliente</t>
  </si>
  <si>
    <t xml:space="preserve">Equipo Gestión del Conocimiento - SQA</t>
  </si>
  <si>
    <t xml:space="preserve">Realizada por:</t>
  </si>
  <si>
    <t xml:space="preserve">Marlon Alexis Castañeda Quiroz</t>
  </si>
  <si>
    <t xml:space="preserve">Líder SQA</t>
  </si>
  <si>
    <t xml:space="preserve">RESUMEN DEL ESFUERZO ESTIMADO</t>
  </si>
  <si>
    <t xml:space="preserve">Tiempo total estimado (Horas)</t>
  </si>
  <si>
    <t xml:space="preserve">Factor de incertidumbre</t>
  </si>
  <si>
    <t xml:space="preserve">ENTENDIMIENTO</t>
  </si>
  <si>
    <t xml:space="preserve">RESUMEN DE LA FUNCIONALIDAD</t>
  </si>
  <si>
    <t xml:space="preserve">La aplicación objeto de pruebas es la demostración pública del componente Datepicker de jQuery UI (https://jqueryui.com/datepicker/). La funcionalidad permite seleccionar una fecha desde un calendario emergente que se despliega al hacer clic en el campo de entrada, reflejándola en el campo en formato MM/DD/YYYY y evitando errores de digitación manual. El componente permite navegar entre meses y años. Corresponde a la Historia de Usuario HU-001.</t>
  </si>
  <si>
    <t xml:space="preserve">ALCANCE</t>
  </si>
  <si>
    <t xml:space="preserve">El alcance planteado debe indicar si es automatización nueva o un mantenimiento.  De acuerdo al enfoque, defina los siguientes puntos: </t>
  </si>
  <si>
    <t xml:space="preserve">Se estima como alcance la implementación (automatización NUEVA) de los escenarios de prueba de la HU-001 sobre la capa Front del componente jQuery UI Datepicker, en navegador Chrome (configurable a Firefox/Edge). Para lograr victorias tempranas, se propone la automatización por entregables:</t>
  </si>
  <si>
    <t xml:space="preserve">************************* ENTREGABLE 1 *************************
1. Apertura del calendario emergente al hacer clic en el campo (precondición).
2. Selección de una fecha en el mes actual.
3. Selección de una fecha específica en un mes diferente al actual, validando la fecha reflejada en el campo.
Para un total de 2 escenarios de prueba priorizados (ESC-03 y ESC-02), contemplando las validaciones pertinentes de cada uno.</t>
  </si>
  <si>
    <t xml:space="preserve"> </t>
  </si>
  <si>
    <t xml:space="preserve">ENFOQUE DE LA AUTOMATIZACIÓN</t>
  </si>
  <si>
    <t xml:space="preserve">Origen</t>
  </si>
  <si>
    <t xml:space="preserve">La automatización se realizará desde la capa Front del sistema jQuery UI Datepicker (https://jqueryui.com/datepicker/).</t>
  </si>
  <si>
    <t xml:space="preserve">Ambiente</t>
  </si>
  <si>
    <t xml:space="preserve">La automatización se realizará en el ambiente público de demostración de jQuery UI, disponible, estable y accesible tanto para el diseño de los scripts como para la ejecución.</t>
  </si>
  <si>
    <t xml:space="preserve">Puntos de Control</t>
  </si>
  <si>
    <t xml:space="preserve">Los flujos definidos contemplan como máximo 3 puntos de control: apertura del calendario, navegación de mes/año y validación de la fecha reflejada en el campo. Los métodos transversales (cambio al iframe y selección de día) se reutilizan.</t>
  </si>
  <si>
    <t xml:space="preserve">Sistema Operativo</t>
  </si>
  <si>
    <t xml:space="preserve">La automatización será desarrollada bajo sistema operativo Windows 10/11 y es ejecutable en Linux para integración continua.</t>
  </si>
  <si>
    <t xml:space="preserve">Técnica de desarrollo</t>
  </si>
  <si>
    <t xml:space="preserve">La automatización será desarrollada con la técnica Data Driven (Scenario Outline con Examples) bajo enfoque BDD.</t>
  </si>
  <si>
    <t xml:space="preserve">Navegador(es)</t>
  </si>
  <si>
    <t xml:space="preserve">La automatización será desarrollada sobre el navegador Google Chrome (versión estable vigente), con capacidad de ejecución en Firefox y Edge.</t>
  </si>
  <si>
    <t xml:space="preserve">Herramientas / Frameworks</t>
  </si>
  <si>
    <t xml:space="preserve">Se utilizará como herramienta de automatización Selenium, Serenity BDD y Cucumber, gestionados con Gradle; SonarQube para el análisis de código estático.</t>
  </si>
  <si>
    <t xml:space="preserve">Patrón de diseño (Arquetipo)</t>
  </si>
  <si>
    <t xml:space="preserve">Screenplay</t>
  </si>
  <si>
    <t xml:space="preserve">Lenguaje Programación</t>
  </si>
  <si>
    <t xml:space="preserve">El desarrollo de la automatización será realizado bajo lenguaje Java (JDK 17), cumpliendo los estándares de buenas prácticas establecidos en el Gobierno de Automatización de SQA.</t>
  </si>
  <si>
    <t xml:space="preserve">Generación evidencias automatización</t>
  </si>
  <si>
    <t xml:space="preserve">Se usarán las evidencias generadas por Serenity (reporte HTML con gráficas y capturas por paso).</t>
  </si>
  <si>
    <t xml:space="preserve">Parametrización Data de la automatización</t>
  </si>
  <si>
    <t xml:space="preserve">La data (día, mes, año y fecha esperada) se parametriza mediante Scenario Outline con Examples en el archivo .feature.</t>
  </si>
  <si>
    <t xml:space="preserve">Almacenamiento de la automatización</t>
  </si>
  <si>
    <t xml:space="preserve">Los scripts de automatización serán almacenados en un repositorio personal de GitHub creado a partir del template Proyecto-SQA/Reto_Tecnico.</t>
  </si>
  <si>
    <t xml:space="preserve">Las pruebas de automatización serán ejecutadas desde equipos de SQA.</t>
  </si>
  <si>
    <t xml:space="preserve">GARANTÍA</t>
  </si>
  <si>
    <t xml:space="preserve">SQA ofrece luego de la entrega oficial de la automatización un periodo de 30 días calendario como garantía de la automatización desarrollada, siempre y cuando se cumplan las siguientes premisas:
* La automatización fue entregada en ejecutables (.bat, .jar, etc) 
* El código de la automatización no fue alterado.
* No se hayan realizado modificaciones a las funcionalidades o casos de prueba. Para el caso que se haya realizado cambios en el nombramiento a los objetos utilizados en la automatización esta será tomada como un mantenimiento (no como garantía) y se deberá medir el esfuerzo necesario. 
* Se siguieron todas las indicaciones de configuraciones tecnicas. 
* La automatización se ejecutará desde un equipo PC el cual esta configurado de acuerdo a las indicaciones dadas en el manual de Usuario y Técnico. </t>
  </si>
  <si>
    <t xml:space="preserve">NO ALCANCE</t>
  </si>
  <si>
    <t xml:space="preserve">No se contempla dentro del alcance:
- La generación, adecuación o verificación de los datos insumo de las pruebas.
- Transacciones, soluciones o sistemas no especificadas dentro del numeral Alcance.
- Servidores físicos o virtuales, balanceadores, Firewalls, canales, red o cualquier otro elemento de infraestructura o arquitectura no contemplado en el numeral de Alcance.
- Capas de infraestructura o arquitectura no contemplado en el numeral de Alcance.
- El funcionamiento de páginas externas o aplicativos externos con los que se interactúe.
- Adecuación de pre-condiciones del proceso mencionado en el alcance.
- Compra/alquiler de herramientas necesarias para la implementación de RPA y/o automatización. 
- Mantenimiento de los scripts ante cualquier cambio que se de en el flujo o casos de prueba posterior a los tiempos de entrega (se refiere a la demostración realizada al cliente y/o usuario final) y mantenimiento y mejora que se han estimado en esta propuesta.
- Cualquier cosa que no esté descrita y documentada en el alcance.
- Pruebas funcionales y no funcionales.
- Configuración de usuarios/accesos a los aplicativos
- Creación o configuración de pipeline para la ejecución del script.</t>
  </si>
  <si>
    <t xml:space="preserve">RIESGOS DE PROYECTO</t>
  </si>
  <si>
    <t xml:space="preserve">Riesgo</t>
  </si>
  <si>
    <t xml:space="preserve">Impacto</t>
  </si>
  <si>
    <t xml:space="preserve">Acción para mitigar que no se materialice el riesgo</t>
  </si>
  <si>
    <t xml:space="preserve">Responsable de la acción</t>
  </si>
  <si>
    <t xml:space="preserve">Cambios de personal importantes para el proyecto</t>
  </si>
  <si>
    <t xml:space="preserve">Integridad de las pruebas debido al conocimiento del negocio y herramientas.</t>
  </si>
  <si>
    <t xml:space="preserve">Contar con al menos dos personas con conocimiento en cada subproceso contemplado en el alcance del proyecto por parte de ambas partes. </t>
  </si>
  <si>
    <t xml:space="preserve">&lt;CLIENTE&gt;  - SQA</t>
  </si>
  <si>
    <t xml:space="preserve">Ausentismos  no programados de personal conocedora del proceso</t>
  </si>
  <si>
    <t xml:space="preserve">Retrasos en la planeación de las actividades</t>
  </si>
  <si>
    <t xml:space="preserve">Problemas de comunicación entre equipo de QA, desarrollo y usuarios finales.</t>
  </si>
  <si>
    <t xml:space="preserve">Retrasos en la entrega de productos y/o resolución de incidentes.</t>
  </si>
  <si>
    <t xml:space="preserve">Sincronización con el equipo para abodar impedimento o situaciones especiales. </t>
  </si>
  <si>
    <t xml:space="preserve">RIESGOS DE PRODUCTO</t>
  </si>
  <si>
    <t xml:space="preserve">Para diligenciar esta sección, debe tener en cuenta la bitacora de riesgos publicada en el proceso de pruebas dentro del SGC, así cómo los riesgos a alto nivel identificados en el checklist de Automatización</t>
  </si>
  <si>
    <t xml:space="preserve">% Probabilidad</t>
  </si>
  <si>
    <t xml:space="preserve">Inestabilidad del ambiente de pruebas</t>
  </si>
  <si>
    <t xml:space="preserve">Afectación de las corridas de prueba que se lleven, suspensión parcial dela ejecución de pruebas</t>
  </si>
  <si>
    <t xml:space="preserve">El cliente debe asegurar la estabilidad del ambiente, asi como la certificación de las pruebas sobre las funcionalidades a automatizar. </t>
  </si>
  <si>
    <t xml:space="preserve">Media</t>
  </si>
  <si>
    <t xml:space="preserve">Retrasos en la entrega de artefactos para pruebas</t>
  </si>
  <si>
    <t xml:space="preserve">Retrasos en los tiempos estimados para la prueba.</t>
  </si>
  <si>
    <t xml:space="preserve">Acordar fechas de compromisos y sincronización constante con el equipo</t>
  </si>
  <si>
    <t xml:space="preserve">Set de datos no validos e insuficientes.</t>
  </si>
  <si>
    <t xml:space="preserve">Se genera reprocesos en el diseño y ejecución.
Afectando los tiempos estimados y los resultados de las pruebas. </t>
  </si>
  <si>
    <t xml:space="preserve">El cliente deberá proveer a SQA un set de datos adecuado y suficiente para realizar las pruebas, y demás datos que se necesiten para el acceso al aplicativo.</t>
  </si>
  <si>
    <t xml:space="preserve">Retrasos en la solución de incidentes</t>
  </si>
  <si>
    <t xml:space="preserve">Acordar ANS para la solución de impedimentos. </t>
  </si>
  <si>
    <t xml:space="preserve">Alta</t>
  </si>
  <si>
    <t xml:space="preserve">Cambios en el alcance de las pruebas, por modificaciones de los requerimientos</t>
  </si>
  <si>
    <t xml:space="preserve">Re diseño de escenarios de pruebas, desarrollo de la automatización, modificaciones a las estimaciones, planes de prueba y cronograma.</t>
  </si>
  <si>
    <t xml:space="preserve">Acordar alcance en conjunto al igual que prioridad de implementación. </t>
  </si>
  <si>
    <t xml:space="preserve">Objetos de difícil mapeo</t>
  </si>
  <si>
    <t xml:space="preserve">Realizar prueba de adherencia para determinar nivel de dificultad. </t>
  </si>
  <si>
    <t xml:space="preserve">Riesgo de producto</t>
  </si>
  <si>
    <t xml:space="preserve">ESTRATEGIA DE AUTOMATIZACIÓN</t>
  </si>
  <si>
    <t xml:space="preserve">La estrategia se define sobre una arquitectura Serenity BDD con dependencias orquestadas mediante Gradle, patrón de diseño Screenplay, lenguaje Java (JDK 17) y Gherkin para la escritura de los casos de prueba, con el fin de entregar scripts entendibles a nivel funcional. Se prioriza, mediante la matriz de priorización, la automatización de los casos que hacen parte de la ruta crítica/smoke y de la regresión, reutilizando Tasks, Questions y UserInterfaces. Se contempla manejo de excepciones a nivel de programación; ante respuestas no contempladas se tendrá como evidencia las capturas generadas por Serenity. El análisis de código estático se realiza con SonarQube y el código se versiona en GitHub.</t>
  </si>
  <si>
    <t xml:space="preserve">&lt;Se debe plasmar la arquitectura de acuerdo a la estrategia planteada&gt;</t>
  </si>
  <si>
    <t xml:space="preserve">Se propone definir entregables de acuerdo al alcance definido, con el fin que estos puedan ser utilizados en las etapas de regresión. Pendiente definir fechas de los mismos una vez se apruebe la estimación. 
&lt;Manejo de excepciones:&gt;
- Se contempla manejo de excepciones a nivel de programación. No se tiene contemplado el manejo de excepciones a nivel de negocio, es decir, todas aquellas que se presenten durante la ejecución del casos de prueba; salvo las validaciones propias de cada uno.
 Para el caso que se presenten excepciones o respuestas negativas no contempladas, se tendrá como evidencia las imágenes tomadas por el robot. Las cuales serán de utilidad para el analista al momento de realizar el análisis de la causa, y si es el caso reportar el incidente.</t>
  </si>
  <si>
    <t xml:space="preserve">PERFILES REQUERIDOS</t>
  </si>
  <si>
    <t xml:space="preserve">Los siguientes perfiles estarán involucrados en la ejecución del proyecto</t>
  </si>
  <si>
    <t xml:space="preserve">Perfil</t>
  </si>
  <si>
    <t xml:space="preserve"># de personas</t>
  </si>
  <si>
    <t xml:space="preserve">Gerente de Servicios</t>
  </si>
  <si>
    <t xml:space="preserve">Estratega de automatización</t>
  </si>
  <si>
    <t xml:space="preserve">Por definir</t>
  </si>
  <si>
    <t xml:space="preserve">Automatizador</t>
  </si>
  <si>
    <t xml:space="preserve">Líder de Cliente</t>
  </si>
  <si>
    <t xml:space="preserve">Analista de Negocio</t>
  </si>
  <si>
    <t xml:space="preserve">ENTREGABLES</t>
  </si>
  <si>
    <t xml:space="preserve">Entregable</t>
  </si>
  <si>
    <t xml:space="preserve">Observaciones</t>
  </si>
  <si>
    <t xml:space="preserve"> Plan de desarrollo de la automatización </t>
  </si>
  <si>
    <t xml:space="preserve">&lt; Este documento se ira entregrando por cada Fase o entregable definido, el cual contendrá el detalle del alcance pactado para la automatización en cada una de ellas. &gt;</t>
  </si>
  <si>
    <t xml:space="preserve"> Proyecto de automatización</t>
  </si>
  <si>
    <t xml:space="preserve">&lt; Para este caso se entregaría un proyecto el cual puede ser ejecutado desde un IDE de desarrollo (eclipse) o podrá ser un archivo .bat para su ejecución; esto según se defina con el equipo del Proyecto.  Se sugiere revisar al interior del Cliente si se tienen politicas de Integración continua para el despliegue de pruebas automatizadas; de contar con ellas SQA apoyaría la implementación de la automatización, como proyecto y alcance adicional&gt;</t>
  </si>
  <si>
    <t xml:space="preserve">Manual técnico y de usuario.</t>
  </si>
  <si>
    <t xml:space="preserve">&lt;Este documento, se puede ir amplliando de acuerdo a se vayan incrementando los entregables y de ser necesario. Este se entrega junto con el proyecto de automatizaciòn de cada Fase o  entregable.&gt;</t>
  </si>
  <si>
    <t xml:space="preserve">Inventario de Scripts</t>
  </si>
  <si>
    <t xml:space="preserve">&lt;Este documento contiene el listado de los scripts contstruidos y que se entregan al cliente. Este se entrega junto con el proyecto de automatizaciòn de cada Fase o  entregable.&gt;</t>
  </si>
  <si>
    <t xml:space="preserve">Acta de entrega </t>
  </si>
  <si>
    <t xml:space="preserve">&lt;Una vez finalizada cada fase o alcance definido se realizará una reunión donde se hará la demostración de la automatización y que lo entregado cumpla con lo pactado en el plan de desarrollo de la automatización.&gt;</t>
  </si>
  <si>
    <t xml:space="preserve">Capacitación</t>
  </si>
  <si>
    <t xml:space="preserve">&lt; Grabación de la sesión de entrega de la automatización, va dirigida a aquellas personas encargadas de ejecutar el robot desarrollado y explicación de todos los elementos necesarios para su implementación. </t>
  </si>
  <si>
    <t xml:space="preserve">SUPUESTOS Y REQUERIMIENTOS</t>
  </si>
  <si>
    <t xml:space="preserve">Requerimientos:</t>
  </si>
  <si>
    <t xml:space="preserve">* Los flujos, casos de prueba deben estar documentados; en caso de no estarlo, esto implicará un aumento en los tiempos presentados en esta propuesta.</t>
  </si>
  <si>
    <t xml:space="preserve">* Se deben tener usuarios, accesos y permisos a los diferentes aplicativos previo al inicio del servicio que no sean modificados durante todo el proyecto. De lo contrario esto implicará un aumento en los tiempos presentados en esta propuesta.</t>
  </si>
  <si>
    <t xml:space="preserve">* Si es necesario preparar las máquinas, estas deben estar listas previo al inicio del servicio.</t>
  </si>
  <si>
    <t xml:space="preserve">* Asignar a una persona con conocimiento en el proceso a automatizar que pueda dar aclaraciones en caso de ser necesario y contar con el personal necesario para atender cualquier eventualidad que se presente.</t>
  </si>
  <si>
    <t xml:space="preserve">* Proveer a SQA el set de datos adecuado, relevante y suficiente para la automatización de las pruebas. </t>
  </si>
  <si>
    <t xml:space="preserve">Supuestos:</t>
  </si>
  <si>
    <t xml:space="preserve">Se debe contar usuarios (roles) y data exclusiva para el equipo de automatización durante la construcción del desarrollo de la automatización. </t>
  </si>
  <si>
    <t xml:space="preserve">* La automatización se realizará en ambientes de &lt;calidad&gt; o &lt;producción&gt; disponibles, estables, accesibles y controlados tanto para el diseño de los scripts de automatización como para la ejecución. </t>
  </si>
  <si>
    <t xml:space="preserve">* Las funcionalidades fueron sometidas a pruebas funcionales y no tienen defectos detectados altos o bloqueantes.</t>
  </si>
  <si>
    <t xml:space="preserve">* Si el alcance definido en esta estimación cambia durante el desarrollo del proyecto se deberán validar las implicaciones técnicas, de tiempo y económicas que impacten al proyecto.</t>
  </si>
  <si>
    <t xml:space="preserve">* La versión de los aplicativos o browsers definidos en el proceso de automatización debe ser estable y no se deben implementar cambios durante el proceso de automatización.</t>
  </si>
  <si>
    <t xml:space="preserve">* Se contará con un puesto de trabajo adecuado para laborar y un punto de red de acuerdo a las especificaciones, en caso de que se requiera trabajo presencial en sus instalaciones.</t>
  </si>
  <si>
    <t xml:space="preserve">* Los equipos utilizados para el desarrollo de la automatización serán suministrados por SQA y el cliente debe garantizar una conexión estable a aquellos equipos y aplicativos que se requieren.</t>
  </si>
  <si>
    <t xml:space="preserve">* El ambiente sobre el cual se desarrolle la automatización tendrá datos que se podrán utilizar para los scripts. </t>
  </si>
  <si>
    <t xml:space="preserve">* Los perfiles de usuarios suministradas para las pruebas, no serán modificados durante todo el proceso de pruebas.</t>
  </si>
  <si>
    <t xml:space="preserve">*Los datos suministrados para la automatización será exclusivo, en caso que se realicen cambios sobre este tendrán que ser informados de forma oportuna.
</t>
  </si>
  <si>
    <t xml:space="preserve">* Para cada una de las aplicaciones contar con un inventario de objetos, estándares de desarrollo y estructuras organizacionales en función de las buenas practicas.</t>
  </si>
  <si>
    <t xml:space="preserve">DOCUMENTOS RECIBIDOS / PENDIENTES</t>
  </si>
  <si>
    <t xml:space="preserve">Pendientes:
CheckList.
Documento de Arquitectura (QA y Producción) *
Diagrama de Arquitectura (QA) **
Documento de Infraestructura (QA) *
Diagrama de Infraestructura (QA) **
Inventario de Servicios (Web Services) **
Manual de Usuario/Paso a Paso/Historias de Usuario **
Documento de Requisitos funcionales ***
Recibidos:
N/A
</t>
  </si>
  <si>
    <t xml:space="preserve">COPIA NO CONTROLADA AL IMPRIMIR O DESCARGAR DEL MANUAL DE CALIDAD.
 Antes de imprimir este documento asegúrese que sea necesario. Piense en el medio ambiente.
 Contáctenos: info@sqasa.com</t>
  </si>
  <si>
    <t xml:space="preserve">DOCUMENTO DE ENTENDIMIENTO AUTOMATIZACIÓN
Estimación del esfuerzo</t>
  </si>
  <si>
    <t xml:space="preserve">Última Versión: 
2023/04/10
Proceso(s):
Gestionar Operaciones
/Procedimiento Gestionar Pruebas Automatizadas </t>
  </si>
  <si>
    <t xml:space="preserve">PERSONAL INVOLUCRADO EN LAS PRUEBAS</t>
  </si>
  <si>
    <t xml:space="preserve">Nombre</t>
  </si>
  <si>
    <t xml:space="preserve">Cargo</t>
  </si>
  <si>
    <t xml:space="preserve">Organización</t>
  </si>
  <si>
    <t xml:space="preserve">&lt;NOMBRE ANALISTA&gt;</t>
  </si>
  <si>
    <t xml:space="preserve">&lt;CARGO ANALISTA&gt;</t>
  </si>
  <si>
    <t xml:space="preserve">SQA S.A.</t>
  </si>
  <si>
    <t xml:space="preserve">&lt;NOMBRE REVISOR&gt;</t>
  </si>
  <si>
    <t xml:space="preserve">&lt;CARGO REVISOR&gt; </t>
  </si>
  <si>
    <t xml:space="preserve">&lt;NOMBRE GERENTE COMERCIAL&gt;</t>
  </si>
  <si>
    <t xml:space="preserve">&lt;CARGO GERENTE COMERCIAL&gt; </t>
  </si>
  <si>
    <t xml:space="preserve">&lt;NOMBRE GERENTE CLIENTE&gt;</t>
  </si>
  <si>
    <t xml:space="preserve">&lt;CARGO DEL CLIENTE&gt;</t>
  </si>
  <si>
    <t xml:space="preserve">&lt;NOMBRE CLIENTE&gt;</t>
  </si>
  <si>
    <t xml:space="preserve">TIEMPOS POR ACTIVIDAD</t>
  </si>
  <si>
    <t xml:space="preserve">ACTIVIDADES A REALIZAR</t>
  </si>
  <si>
    <t xml:space="preserve">TIEMPO ESTIMADO (HORAS)</t>
  </si>
  <si>
    <t xml:space="preserve">OBSERVACIONES</t>
  </si>
  <si>
    <t xml:space="preserve">ENTENDIMIENTO Y PLANEACIÓN</t>
  </si>
  <si>
    <t xml:space="preserve">Levantamiento de alcance detallado</t>
  </si>
  <si>
    <t xml:space="preserve">Creación de escenarios</t>
  </si>
  <si>
    <t xml:space="preserve">Generación de Plan de desarrollo de automatización</t>
  </si>
  <si>
    <t xml:space="preserve">Ajustes Plan de desarrollo de automatización</t>
  </si>
  <si>
    <t xml:space="preserve">Plan de trabajo</t>
  </si>
  <si>
    <t xml:space="preserve">Verificación de accesos y permisos </t>
  </si>
  <si>
    <t xml:space="preserve">IMPLEMENTACIÓN Y EJECUCIÓN</t>
  </si>
  <si>
    <t xml:space="preserve">Smoke Test</t>
  </si>
  <si>
    <t xml:space="preserve">Generación de Complementos o Desarrollo</t>
  </si>
  <si>
    <t xml:space="preserve">En caso de ser necesario</t>
  </si>
  <si>
    <t xml:space="preserve">Generación de Scripts individuales</t>
  </si>
  <si>
    <t xml:space="preserve">Identificación y gestión de datos a variabilizar</t>
  </si>
  <si>
    <t xml:space="preserve">Variabilización de Scripts</t>
  </si>
  <si>
    <t xml:space="preserve">Validación de Scripts</t>
  </si>
  <si>
    <t xml:space="preserve">Ejecución de scripts de acuerdo con los escenarios / entregables definidos</t>
  </si>
  <si>
    <t xml:space="preserve">Ejecución de los robots de cada uno de los entregables. </t>
  </si>
  <si>
    <t xml:space="preserve">DOCUMENTACIÓN Y ENTREGA</t>
  </si>
  <si>
    <t xml:space="preserve">Documentación de la automatización</t>
  </si>
  <si>
    <t xml:space="preserve">Entrega automatización</t>
  </si>
  <si>
    <t xml:space="preserve">Capacitación usuario final</t>
  </si>
  <si>
    <t xml:space="preserve">GESTIÓN DEL PROYECTO</t>
  </si>
  <si>
    <t xml:space="preserve">Reuniones de seguimiento</t>
  </si>
  <si>
    <t xml:space="preserve">Gestión </t>
  </si>
  <si>
    <t xml:space="preserve">Si aplica</t>
  </si>
  <si>
    <t xml:space="preserve">TOTAL ESFUERZO (HORAS)</t>
  </si>
  <si>
    <t xml:space="preserve">CRONOGRAMA</t>
  </si>
  <si>
    <t xml:space="preserve">ACTIVIDAD</t>
  </si>
  <si>
    <t xml:space="preserve">MES 1</t>
  </si>
  <si>
    <t xml:space="preserve">MES 2</t>
  </si>
  <si>
    <t xml:space="preserve">MES 3</t>
  </si>
  <si>
    <t xml:space="preserve">S1</t>
  </si>
  <si>
    <t xml:space="preserve">S2</t>
  </si>
  <si>
    <t xml:space="preserve">S3</t>
  </si>
  <si>
    <t xml:space="preserve">S4</t>
  </si>
  <si>
    <t xml:space="preserve">Por: Equipo Élite</t>
  </si>
  <si>
    <t xml:space="preserve">Numeral</t>
  </si>
  <si>
    <t xml:space="preserve">Tiempo Sugerido</t>
  </si>
  <si>
    <t xml:space="preserve">Horas:</t>
  </si>
  <si>
    <t xml:space="preserve">Minutos:</t>
  </si>
  <si>
    <t xml:space="preserve">Documento</t>
  </si>
  <si>
    <t xml:space="preserve">Tipo</t>
  </si>
  <si>
    <t xml:space="preserve">Numero de Paginas</t>
  </si>
  <si>
    <t xml:space="preserve">Tiempo (Minutos)</t>
  </si>
  <si>
    <t xml:space="preserve">Observación</t>
  </si>
  <si>
    <t xml:space="preserve">Documento de Arquitectura (QA) *</t>
  </si>
  <si>
    <t xml:space="preserve">Negocio</t>
  </si>
  <si>
    <t xml:space="preserve">&lt;OBSERVACIONES&gt;</t>
  </si>
  <si>
    <t xml:space="preserve">Diagrama de Arquitectura (QA) **</t>
  </si>
  <si>
    <t xml:space="preserve">Técnico</t>
  </si>
  <si>
    <t xml:space="preserve">Documento de Infraestructura (QA) *</t>
  </si>
  <si>
    <t xml:space="preserve">Diagrama de Infraestructura (QA) **</t>
  </si>
  <si>
    <t xml:space="preserve">Inventario de Servicios (Web Services) **</t>
  </si>
  <si>
    <t xml:space="preserve">Manual de Usuario/Paso a Paso/Historias de usuario **</t>
  </si>
  <si>
    <t xml:space="preserve">Funcional</t>
  </si>
  <si>
    <t xml:space="preserve">Documento de Requisitos funcionales ***</t>
  </si>
  <si>
    <t xml:space="preserve">Anexo 1</t>
  </si>
  <si>
    <t xml:space="preserve">Función</t>
  </si>
  <si>
    <t xml:space="preserve">Nombre Función</t>
  </si>
  <si>
    <t xml:space="preserve">Descripción Función</t>
  </si>
  <si>
    <t xml:space="preserve">Número de Métodos</t>
  </si>
  <si>
    <t xml:space="preserve">Tiempo Diseño (Minutos)</t>
  </si>
  <si>
    <t xml:space="preserve">Tiempo Ajustes (Minutos)</t>
  </si>
  <si>
    <t xml:space="preserve">Factor de Mantenimiento Código</t>
  </si>
  <si>
    <t xml:space="preserve">Tiempo Total Diseño Función (Minutos)</t>
  </si>
  <si>
    <t xml:space="preserve">Función 1</t>
  </si>
  <si>
    <t xml:space="preserve">&lt;NOMBRE FUNCION&gt;</t>
  </si>
  <si>
    <t xml:space="preserve">&lt;DESCRIPCION FUNCION&gt;</t>
  </si>
  <si>
    <t xml:space="preserve">Función 2</t>
  </si>
  <si>
    <t xml:space="preserve">Minutos</t>
  </si>
  <si>
    <t xml:space="preserve">Transacción</t>
  </si>
  <si>
    <t xml:space="preserve">Nombre Transacción</t>
  </si>
  <si>
    <t xml:space="preserve">Número de Campos</t>
  </si>
  <si>
    <t xml:space="preserve">Minutos x campo</t>
  </si>
  <si>
    <t xml:space="preserve"># Puntos de Control</t>
  </si>
  <si>
    <t xml:space="preserve">verificacion (Puntos de control)</t>
  </si>
  <si>
    <t xml:space="preserve">Factor Mantenimiento</t>
  </si>
  <si>
    <t xml:space="preserve">Tiempo Total Diseño Script (Minutos)</t>
  </si>
  <si>
    <t xml:space="preserve">Tenga presente la compledidad para estimar el tiempo</t>
  </si>
  <si>
    <t xml:space="preserve">Baja</t>
  </si>
  <si>
    <t xml:space="preserve">Media </t>
  </si>
  <si>
    <t xml:space="preserve">Transacción 1</t>
  </si>
  <si>
    <t xml:space="preserve">&lt;NOMBRE TRANSACCION&gt;</t>
  </si>
  <si>
    <t xml:space="preserve">Minutos x Campo x Complejidad</t>
  </si>
  <si>
    <t xml:space="preserve">Transacción 2</t>
  </si>
  <si>
    <t xml:space="preserve">Minutos x Puntos de control</t>
  </si>
  <si>
    <t xml:space="preserve">Transacción 3</t>
  </si>
  <si>
    <t xml:space="preserve">Transacción 4</t>
  </si>
  <si>
    <t xml:space="preserve">Transacción 5</t>
  </si>
</sst>
</file>

<file path=xl/styles.xml><?xml version="1.0" encoding="utf-8"?>
<styleSheet xmlns="http://schemas.openxmlformats.org/spreadsheetml/2006/main">
  <numFmts count="6">
    <numFmt numFmtId="164" formatCode="General"/>
    <numFmt numFmtId="165" formatCode="0%"/>
    <numFmt numFmtId="166" formatCode="0.0"/>
    <numFmt numFmtId="167" formatCode="General"/>
    <numFmt numFmtId="168" formatCode="0"/>
    <numFmt numFmtId="169" formatCode="0.00"/>
  </numFmts>
  <fonts count="26">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sz val="11"/>
      <color theme="1"/>
      <name val="Calibri"/>
      <family val="2"/>
      <charset val="1"/>
    </font>
    <font>
      <sz val="10"/>
      <name val="Arial"/>
      <family val="2"/>
      <charset val="1"/>
    </font>
    <font>
      <b val="true"/>
      <sz val="10"/>
      <name val="Arial"/>
      <family val="2"/>
      <charset val="1"/>
    </font>
    <font>
      <b val="true"/>
      <sz val="9"/>
      <color rgb="FF000000"/>
      <name val="Arial"/>
      <family val="0"/>
      <charset val="1"/>
    </font>
    <font>
      <b val="true"/>
      <sz val="10"/>
      <color theme="1"/>
      <name val="Arial"/>
      <family val="2"/>
      <charset val="1"/>
    </font>
    <font>
      <sz val="10"/>
      <color theme="1"/>
      <name val="Arial"/>
      <family val="2"/>
      <charset val="1"/>
    </font>
    <font>
      <sz val="10"/>
      <color rgb="FFFF0000"/>
      <name val="Arial"/>
      <family val="2"/>
      <charset val="1"/>
    </font>
    <font>
      <i val="true"/>
      <sz val="10"/>
      <name val="Arial"/>
      <family val="2"/>
      <charset val="1"/>
    </font>
    <font>
      <b val="true"/>
      <sz val="10"/>
      <color rgb="FF000000"/>
      <name val="Arial"/>
      <family val="2"/>
      <charset val="1"/>
    </font>
    <font>
      <b val="true"/>
      <i val="true"/>
      <sz val="10"/>
      <name val="Arial"/>
      <family val="2"/>
      <charset val="1"/>
    </font>
    <font>
      <i val="true"/>
      <sz val="10"/>
      <color rgb="FF000000"/>
      <name val="Arial"/>
      <family val="2"/>
      <charset val="1"/>
    </font>
    <font>
      <sz val="9"/>
      <color rgb="FF000000"/>
      <name val="Arial"/>
      <family val="2"/>
      <charset val="1"/>
    </font>
    <font>
      <sz val="10"/>
      <name val="Arial"/>
      <family val="2"/>
    </font>
    <font>
      <b val="true"/>
      <sz val="9"/>
      <color rgb="FF000000"/>
      <name val="Arial"/>
      <family val="2"/>
      <charset val="1"/>
    </font>
    <font>
      <b val="true"/>
      <sz val="11"/>
      <name val="Arial"/>
      <family val="2"/>
      <charset val="1"/>
    </font>
    <font>
      <b val="true"/>
      <sz val="11"/>
      <color rgb="FF000000"/>
      <name val="Arial"/>
      <family val="2"/>
      <charset val="1"/>
    </font>
    <font>
      <sz val="6"/>
      <color rgb="FFCCCCCC"/>
      <name val="Arial"/>
      <family val="2"/>
      <charset val="1"/>
    </font>
    <font>
      <b val="true"/>
      <sz val="12"/>
      <name val="Arial"/>
      <family val="2"/>
      <charset val="1"/>
    </font>
    <font>
      <b val="true"/>
      <sz val="10"/>
      <color rgb="FF0070C0"/>
      <name val="Arial"/>
      <family val="2"/>
      <charset val="1"/>
    </font>
    <font>
      <b val="true"/>
      <sz val="10"/>
      <color theme="5"/>
      <name val="Arial"/>
      <family val="2"/>
      <charset val="1"/>
    </font>
    <font>
      <b val="true"/>
      <sz val="12"/>
      <color theme="0"/>
      <name val="Arial"/>
      <family val="2"/>
      <charset val="1"/>
    </font>
  </fonts>
  <fills count="8">
    <fill>
      <patternFill patternType="none"/>
    </fill>
    <fill>
      <patternFill patternType="gray125"/>
    </fill>
    <fill>
      <patternFill patternType="solid">
        <fgColor rgb="FFFFFFFF"/>
        <bgColor rgb="FFF2F2F2"/>
      </patternFill>
    </fill>
    <fill>
      <patternFill patternType="solid">
        <fgColor theme="0" tint="-0.15"/>
        <bgColor rgb="FFCCCCCC"/>
      </patternFill>
    </fill>
    <fill>
      <patternFill patternType="solid">
        <fgColor theme="0" tint="-0.05"/>
        <bgColor rgb="FFFFFFFF"/>
      </patternFill>
    </fill>
    <fill>
      <patternFill patternType="solid">
        <fgColor theme="7" tint="0.7999"/>
        <bgColor rgb="FFF2F2F2"/>
      </patternFill>
    </fill>
    <fill>
      <patternFill patternType="solid">
        <fgColor theme="6" tint="0.3999"/>
        <bgColor rgb="FFCCCCCC"/>
      </patternFill>
    </fill>
    <fill>
      <patternFill patternType="solid">
        <fgColor rgb="FF92D050"/>
        <bgColor rgb="FF969696"/>
      </patternFill>
    </fill>
  </fills>
  <borders count="14">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right/>
      <top style="thin"/>
      <bottom style="thin"/>
      <diagonal/>
    </border>
    <border diagonalUp="false" diagonalDown="false">
      <left style="thin"/>
      <right style="thin"/>
      <top style="thin"/>
      <bottom/>
      <diagonal/>
    </border>
    <border diagonalUp="false" diagonalDown="false">
      <left/>
      <right style="thin"/>
      <top/>
      <bottom style="thin"/>
      <diagonal/>
    </border>
    <border diagonalUp="false" diagonalDown="false">
      <left/>
      <right style="thin"/>
      <top/>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top style="thin"/>
      <bottom style="thin"/>
      <diagonal/>
    </border>
    <border diagonalUp="false" diagonalDown="false">
      <left style="thin"/>
      <right/>
      <top/>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1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8" fillId="2" borderId="2" xfId="0" applyFont="true" applyBorder="true" applyAlignment="true" applyProtection="false">
      <alignment horizontal="center" vertical="bottom"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3" xfId="0" applyFont="true" applyBorder="tru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7" fillId="3" borderId="4"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9" fillId="3" borderId="3" xfId="0" applyFont="true" applyBorder="true" applyAlignment="true" applyProtection="false">
      <alignment horizontal="general" vertical="center" textRotation="0" wrapText="false" indent="0" shrinkToFit="false"/>
      <protection locked="true" hidden="false"/>
    </xf>
    <xf numFmtId="164" fontId="10" fillId="0" borderId="2"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12" fillId="4" borderId="5" xfId="0" applyFont="tru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left" vertical="top" textRotation="0" wrapText="true" indent="0" shrinkToFit="false"/>
      <protection locked="true" hidden="false"/>
    </xf>
    <xf numFmtId="164" fontId="4" fillId="0" borderId="4" xfId="0" applyFont="true" applyBorder="true" applyAlignment="true" applyProtection="false">
      <alignment horizontal="left" vertical="top" textRotation="0" wrapText="true" indent="0" shrinkToFit="false"/>
      <protection locked="true" hidden="false"/>
    </xf>
    <xf numFmtId="164" fontId="7" fillId="3" borderId="3"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4" fillId="2" borderId="4" xfId="0" applyFont="true" applyBorder="true" applyAlignment="true" applyProtection="false">
      <alignment horizontal="left" vertical="center" textRotation="0" wrapText="true" indent="0" shrinkToFit="false"/>
      <protection locked="true" hidden="false"/>
    </xf>
    <xf numFmtId="164" fontId="4" fillId="2" borderId="4" xfId="0" applyFont="true" applyBorder="true" applyAlignment="true" applyProtection="false">
      <alignment horizontal="left" vertical="top" textRotation="0" wrapText="true" indent="0" shrinkToFit="false"/>
      <protection locked="true" hidden="false"/>
    </xf>
    <xf numFmtId="164" fontId="4" fillId="0" borderId="6" xfId="0" applyFont="true" applyBorder="true" applyAlignment="true" applyProtection="false">
      <alignment horizontal="left" vertical="top" textRotation="0" wrapText="true" indent="0" shrinkToFit="false"/>
      <protection locked="true" hidden="false"/>
    </xf>
    <xf numFmtId="164" fontId="13" fillId="0" borderId="3" xfId="0" applyFont="true" applyBorder="true" applyAlignment="true" applyProtection="false">
      <alignment horizontal="center" vertical="center" textRotation="0" wrapText="true" indent="0" shrinkToFit="false"/>
      <protection locked="true" hidden="false"/>
    </xf>
    <xf numFmtId="164" fontId="13" fillId="0" borderId="7" xfId="0" applyFont="true" applyBorder="true" applyAlignment="true" applyProtection="false">
      <alignment horizontal="center" vertical="center" textRotation="0" wrapText="true" indent="0" shrinkToFit="false"/>
      <protection locked="true" hidden="false"/>
    </xf>
    <xf numFmtId="164" fontId="4" fillId="0" borderId="3" xfId="0" applyFont="true" applyBorder="true" applyAlignment="true" applyProtection="false">
      <alignment horizontal="general" vertical="center" textRotation="0" wrapText="true" indent="0" shrinkToFit="false"/>
      <protection locked="true" hidden="false"/>
    </xf>
    <xf numFmtId="164" fontId="4" fillId="0" borderId="2" xfId="0" applyFont="true" applyBorder="true" applyAlignment="true" applyProtection="false">
      <alignment horizontal="general" vertical="center" textRotation="0" wrapText="true" indent="0" shrinkToFit="false"/>
      <protection locked="true" hidden="false"/>
    </xf>
    <xf numFmtId="164" fontId="4" fillId="0" borderId="3" xfId="0" applyFont="true" applyBorder="true" applyAlignment="true" applyProtection="false">
      <alignment horizontal="center" vertical="center" textRotation="0" wrapText="true" indent="0" shrinkToFit="false"/>
      <protection locked="true" hidden="false"/>
    </xf>
    <xf numFmtId="164" fontId="4" fillId="0" borderId="3" xfId="0" applyFont="true" applyBorder="true" applyAlignment="true" applyProtection="false">
      <alignment horizontal="general" vertical="bottom" textRotation="0" wrapText="true" indent="0" shrinkToFit="false"/>
      <protection locked="true" hidden="false"/>
    </xf>
    <xf numFmtId="164" fontId="4" fillId="0" borderId="8" xfId="0" applyFont="true" applyBorder="true" applyAlignment="true" applyProtection="false">
      <alignment horizontal="center" vertical="center" textRotation="0" wrapText="true" indent="0" shrinkToFit="false"/>
      <protection locked="true" hidden="false"/>
    </xf>
    <xf numFmtId="164" fontId="14" fillId="4" borderId="4" xfId="0" applyFont="true" applyBorder="true" applyAlignment="true" applyProtection="false">
      <alignment horizontal="left" vertical="center" textRotation="0" wrapText="true" indent="0" shrinkToFit="false"/>
      <protection locked="true" hidden="false"/>
    </xf>
    <xf numFmtId="164" fontId="13" fillId="0" borderId="4" xfId="0" applyFont="true" applyBorder="true" applyAlignment="true" applyProtection="false">
      <alignment horizontal="center" vertical="center" textRotation="0" wrapText="true" indent="0" shrinkToFit="false"/>
      <protection locked="true" hidden="false"/>
    </xf>
    <xf numFmtId="164" fontId="13" fillId="0" borderId="9"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bottom" textRotation="0" wrapText="true" indent="0" shrinkToFit="false"/>
      <protection locked="true" hidden="false"/>
    </xf>
    <xf numFmtId="164" fontId="13" fillId="0" borderId="10" xfId="0" applyFont="true" applyBorder="true" applyAlignment="true" applyProtection="false">
      <alignment horizontal="center" vertical="center" textRotation="0" wrapText="true" indent="0" shrinkToFit="false"/>
      <protection locked="true" hidden="false"/>
    </xf>
    <xf numFmtId="164" fontId="13" fillId="0" borderId="8" xfId="0" applyFont="tru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5" fontId="4" fillId="4" borderId="2"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4" fontId="4" fillId="0" borderId="3" xfId="0" applyFont="true" applyBorder="true" applyAlignment="true" applyProtection="false">
      <alignment horizontal="general" vertical="top" textRotation="0" wrapText="true" indent="0" shrinkToFit="false"/>
      <protection locked="true" hidden="false"/>
    </xf>
    <xf numFmtId="164" fontId="4" fillId="0" borderId="7"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7" fillId="2" borderId="5" xfId="0" applyFont="true" applyBorder="true" applyAlignment="true" applyProtection="false">
      <alignment horizontal="center" vertical="center" textRotation="0" wrapText="true" indent="0" shrinkToFit="false"/>
      <protection locked="true" hidden="false"/>
    </xf>
    <xf numFmtId="165" fontId="7" fillId="2" borderId="0" xfId="0" applyFont="true" applyBorder="false" applyAlignment="true" applyProtection="false">
      <alignment horizontal="center" vertical="center" textRotation="0" wrapText="tru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false">
      <alignment horizontal="center"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6" fillId="0" borderId="1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0" borderId="8" xfId="0" applyFont="true" applyBorder="true" applyAlignment="true" applyProtection="false">
      <alignment horizontal="left" vertical="top" textRotation="0" wrapText="true" indent="0" shrinkToFit="false"/>
      <protection locked="true" hidden="false"/>
    </xf>
    <xf numFmtId="164" fontId="9" fillId="3" borderId="1" xfId="21" applyFont="true" applyBorder="true" applyAlignment="true" applyProtection="true">
      <alignment horizontal="center" vertical="center" textRotation="0" wrapText="true" indent="0" shrinkToFit="false"/>
      <protection locked="false" hidden="false"/>
    </xf>
    <xf numFmtId="164" fontId="10" fillId="0" borderId="1" xfId="21" applyFont="true" applyBorder="true" applyAlignment="true" applyProtection="true">
      <alignment horizontal="left" vertical="center" textRotation="0" wrapText="true" indent="0" shrinkToFit="false"/>
      <protection locked="false" hidden="false"/>
    </xf>
    <xf numFmtId="164" fontId="10" fillId="0" borderId="1" xfId="21" applyFont="true" applyBorder="true" applyAlignment="true" applyProtection="true">
      <alignment horizontal="center" vertical="center" textRotation="0" wrapText="true" indent="0" shrinkToFit="false"/>
      <protection locked="false" hidden="false"/>
    </xf>
    <xf numFmtId="164" fontId="6" fillId="0" borderId="1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center" vertical="bottom"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15" fillId="0" borderId="6"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13" fillId="0" borderId="6" xfId="0" applyFont="true" applyBorder="true" applyAlignment="true" applyProtection="false">
      <alignment horizontal="general" vertical="bottom" textRotation="0" wrapText="true" indent="0" shrinkToFit="false"/>
      <protection locked="true" hidden="false"/>
    </xf>
    <xf numFmtId="164" fontId="4" fillId="0" borderId="4" xfId="0" applyFont="true" applyBorder="true" applyAlignment="true" applyProtection="false">
      <alignment horizontal="left" vertical="bottom" textRotation="0" wrapText="true" indent="0" shrinkToFit="false"/>
      <protection locked="true" hidden="false"/>
    </xf>
    <xf numFmtId="164" fontId="4" fillId="0" borderId="11" xfId="0" applyFont="true" applyBorder="tru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0" borderId="8" xfId="0" applyFont="true" applyBorder="true" applyAlignment="true" applyProtection="false">
      <alignment horizontal="left" vertical="bottom" textRotation="0" wrapText="true" indent="0" shrinkToFit="false"/>
      <protection locked="true" hidden="false"/>
    </xf>
    <xf numFmtId="164" fontId="13" fillId="0" borderId="4" xfId="0" applyFont="true" applyBorder="true" applyAlignment="true" applyProtection="false">
      <alignment horizontal="general" vertical="top" textRotation="0" wrapText="true" indent="0" shrinkToFit="false"/>
      <protection locked="true" hidden="false"/>
    </xf>
    <xf numFmtId="164" fontId="4" fillId="0" borderId="0" xfId="20" applyFont="true" applyBorder="false" applyAlignment="true" applyProtection="false">
      <alignment horizontal="general" vertical="center" textRotation="0" wrapText="false" indent="0" shrinkToFit="false"/>
      <protection locked="true" hidden="false"/>
    </xf>
    <xf numFmtId="164" fontId="4" fillId="0" borderId="4" xfId="0" applyFont="true" applyBorder="true" applyAlignment="true" applyProtection="false">
      <alignment horizontal="general" vertical="bottom" textRotation="0" wrapText="true" indent="0" shrinkToFit="false"/>
      <protection locked="true" hidden="false"/>
    </xf>
    <xf numFmtId="164" fontId="4" fillId="0" borderId="4" xfId="0" applyFont="true" applyBorder="true" applyAlignment="true" applyProtection="false">
      <alignment horizontal="general" vertical="top" textRotation="0" wrapText="true" indent="0" shrinkToFit="false"/>
      <protection locked="true" hidden="false"/>
    </xf>
    <xf numFmtId="164" fontId="4" fillId="0" borderId="4" xfId="20" applyFont="true" applyBorder="true" applyAlignment="true" applyProtection="false">
      <alignment horizontal="left" vertical="top" textRotation="0" wrapText="true" indent="0" shrinkToFit="false"/>
      <protection locked="true" hidden="false"/>
    </xf>
    <xf numFmtId="164" fontId="4" fillId="0" borderId="1" xfId="2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9" fillId="3" borderId="1" xfId="0" applyFont="true" applyBorder="true" applyAlignment="true" applyProtection="false">
      <alignment horizontal="center" vertical="center" textRotation="0" wrapText="false" indent="0" shrinkToFit="false"/>
      <protection locked="true" hidden="false"/>
    </xf>
    <xf numFmtId="164" fontId="6" fillId="0" borderId="12"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19" fillId="3" borderId="1" xfId="0" applyFont="true" applyBorder="true" applyAlignment="true" applyProtection="false">
      <alignment horizontal="center" vertical="center" textRotation="0" wrapText="true" indent="0" shrinkToFit="false"/>
      <protection locked="true" hidden="false"/>
    </xf>
    <xf numFmtId="164" fontId="20" fillId="3" borderId="1" xfId="0" applyFont="true" applyBorder="true" applyAlignment="true" applyProtection="false">
      <alignment horizontal="center" vertical="center" textRotation="0" wrapText="true" indent="0" shrinkToFit="false"/>
      <protection locked="true" hidden="false"/>
    </xf>
    <xf numFmtId="167" fontId="13" fillId="3"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4" fillId="0" borderId="2" xfId="0" applyFont="true" applyBorder="true" applyAlignment="true" applyProtection="false">
      <alignment horizontal="left" vertical="top" textRotation="0" wrapText="false" indent="0" shrinkToFit="false"/>
      <protection locked="true" hidden="false"/>
    </xf>
    <xf numFmtId="167" fontId="20" fillId="3" borderId="1" xfId="0" applyFont="tru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7" fontId="19" fillId="3"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19" fillId="3" borderId="13"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21" fillId="0" borderId="0" xfId="0" applyFont="true" applyBorder="false" applyAlignment="true" applyProtection="false">
      <alignment horizontal="right" vertical="bottom"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right" vertical="center" textRotation="0" wrapText="false" indent="0" shrinkToFit="false"/>
      <protection locked="true" hidden="false"/>
    </xf>
    <xf numFmtId="167" fontId="7" fillId="6"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4" fontId="7" fillId="6" borderId="5"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7" fillId="6" borderId="7" xfId="0" applyFont="true" applyBorder="true" applyAlignment="true" applyProtection="false">
      <alignment horizontal="center" vertical="center" textRotation="0" wrapText="true" indent="0" shrinkToFit="false"/>
      <protection locked="true" hidden="false"/>
    </xf>
    <xf numFmtId="164" fontId="7" fillId="0" borderId="7"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5" fontId="6" fillId="0" borderId="2" xfId="0" applyFont="true" applyBorder="true" applyAlignment="true" applyProtection="false">
      <alignment horizontal="center" vertical="center" textRotation="0" wrapText="true" indent="0" shrinkToFit="false"/>
      <protection locked="true" hidden="false"/>
    </xf>
    <xf numFmtId="164" fontId="6" fillId="0" borderId="7" xfId="0" applyFont="true" applyBorder="true" applyAlignment="true" applyProtection="false">
      <alignment horizontal="left" vertical="center" textRotation="0" wrapText="true" indent="0" shrinkToFit="false"/>
      <protection locked="true" hidden="false"/>
    </xf>
    <xf numFmtId="164" fontId="6" fillId="0" borderId="7" xfId="0" applyFont="true" applyBorder="true" applyAlignment="true" applyProtection="false">
      <alignment horizontal="general" vertical="top" textRotation="0" wrapText="true" indent="0" shrinkToFit="false"/>
      <protection locked="true" hidden="false"/>
    </xf>
    <xf numFmtId="164" fontId="6" fillId="0" borderId="7"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6" fillId="0" borderId="7" xfId="0" applyFont="true" applyBorder="true" applyAlignment="true" applyProtection="false">
      <alignment horizontal="general" vertical="center" textRotation="0" wrapText="true" indent="0" shrinkToFit="false"/>
      <protection locked="true" hidden="false"/>
    </xf>
    <xf numFmtId="165" fontId="6" fillId="0" borderId="7"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left" vertical="bottom" textRotation="0" wrapText="false" indent="0" shrinkToFit="false"/>
      <protection locked="true" hidden="false"/>
    </xf>
    <xf numFmtId="164" fontId="7" fillId="6" borderId="1" xfId="0" applyFont="true" applyBorder="true" applyAlignment="true" applyProtection="false">
      <alignment horizontal="right" vertical="bottom" textRotation="0" wrapText="false" indent="0" shrinkToFit="false"/>
      <protection locked="true" hidden="false"/>
    </xf>
    <xf numFmtId="164" fontId="22" fillId="7" borderId="1" xfId="0" applyFont="true" applyBorder="true" applyAlignment="true" applyProtection="false">
      <alignment horizontal="center" vertical="center" textRotation="0" wrapText="false" indent="0" shrinkToFit="false"/>
      <protection locked="true" hidden="false"/>
    </xf>
    <xf numFmtId="169" fontId="22" fillId="7" borderId="1" xfId="0" applyFont="true" applyBorder="true" applyAlignment="true" applyProtection="false">
      <alignment horizontal="center" vertical="center" textRotation="0" wrapText="false" indent="0" shrinkToFit="false"/>
      <protection locked="true" hidden="false"/>
    </xf>
    <xf numFmtId="164" fontId="7" fillId="6" borderId="2"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true" applyProtection="false">
      <alignment horizontal="right"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center" vertical="center" textRotation="0" wrapText="true" indent="0" shrinkToFit="false"/>
      <protection locked="true" hidden="false"/>
    </xf>
    <xf numFmtId="164" fontId="25" fillId="7"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7" borderId="2"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5" fontId="0" fillId="0" borderId="1" xfId="19" applyFont="true" applyBorder="true" applyAlignment="true" applyProtection="false">
      <alignment horizontal="center" vertical="center" textRotation="0" wrapText="false" indent="0" shrinkToFit="false"/>
      <protection locked="true" hidden="false"/>
    </xf>
    <xf numFmtId="164" fontId="6" fillId="7"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6" fillId="0" borderId="8"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7" xfId="0"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Porcentaje 2" xfId="22"/>
    <cellStyle name="Porcentaje 3"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9999FF"/>
      <rgbColor rgb="FF993366"/>
      <rgbColor rgb="FFFFF2CC"/>
      <rgbColor rgb="FFF2F2F2"/>
      <rgbColor rgb="FF660066"/>
      <rgbColor rgb="FFFF8080"/>
      <rgbColor rgb="FF0070C0"/>
      <rgbColor rgb="FFCCCCCC"/>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2D050"/>
      <rgbColor rgb="FFFFCC00"/>
      <rgbColor rgb="FFFF9900"/>
      <rgbColor rgb="FFED7D31"/>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434520</xdr:colOff>
      <xdr:row>0</xdr:row>
      <xdr:rowOff>255240</xdr:rowOff>
    </xdr:from>
    <xdr:to>
      <xdr:col>0</xdr:col>
      <xdr:colOff>1791720</xdr:colOff>
      <xdr:row>0</xdr:row>
      <xdr:rowOff>947520</xdr:rowOff>
    </xdr:to>
    <xdr:pic>
      <xdr:nvPicPr>
        <xdr:cNvPr id="0" name="Imagen 1" descr=""/>
        <xdr:cNvPicPr/>
      </xdr:nvPicPr>
      <xdr:blipFill>
        <a:blip r:embed="rId1"/>
        <a:stretch/>
      </xdr:blipFill>
      <xdr:spPr>
        <a:xfrm>
          <a:off x="434520" y="255240"/>
          <a:ext cx="1357200" cy="692280"/>
        </a:xfrm>
        <a:prstGeom prst="rect">
          <a:avLst/>
        </a:prstGeom>
        <a:ln w="0">
          <a:noFill/>
        </a:ln>
      </xdr:spPr>
    </xdr:pic>
    <xdr:clientData/>
  </xdr:twoCellAnchor>
  <xdr:twoCellAnchor editAs="oneCell">
    <xdr:from>
      <xdr:col>2</xdr:col>
      <xdr:colOff>230760</xdr:colOff>
      <xdr:row>103</xdr:row>
      <xdr:rowOff>311040</xdr:rowOff>
    </xdr:from>
    <xdr:to>
      <xdr:col>4</xdr:col>
      <xdr:colOff>1136880</xdr:colOff>
      <xdr:row>108</xdr:row>
      <xdr:rowOff>272880</xdr:rowOff>
    </xdr:to>
    <xdr:pic>
      <xdr:nvPicPr>
        <xdr:cNvPr id="1" name="Imagen 2" descr=""/>
        <xdr:cNvPicPr/>
      </xdr:nvPicPr>
      <xdr:blipFill>
        <a:blip r:embed="rId2"/>
        <a:stretch/>
      </xdr:blipFill>
      <xdr:spPr>
        <a:xfrm>
          <a:off x="3412080" y="27581040"/>
          <a:ext cx="3443040" cy="21528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272880</xdr:colOff>
      <xdr:row>0</xdr:row>
      <xdr:rowOff>279360</xdr:rowOff>
    </xdr:from>
    <xdr:to>
      <xdr:col>0</xdr:col>
      <xdr:colOff>1748880</xdr:colOff>
      <xdr:row>0</xdr:row>
      <xdr:rowOff>971640</xdr:rowOff>
    </xdr:to>
    <xdr:pic>
      <xdr:nvPicPr>
        <xdr:cNvPr id="2" name="Imagen 3" descr=""/>
        <xdr:cNvPicPr/>
      </xdr:nvPicPr>
      <xdr:blipFill>
        <a:blip r:embed="rId1"/>
        <a:stretch/>
      </xdr:blipFill>
      <xdr:spPr>
        <a:xfrm>
          <a:off x="272880" y="279360"/>
          <a:ext cx="1476000" cy="6922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22"/>
  <sheetViews>
    <sheetView showFormulas="false" showGridLines="false" showRowColHeaders="true" showZeros="true" rightToLeft="false" tabSelected="true" showOutlineSymbols="true" defaultGridColor="true" view="normal" topLeftCell="A91" colorId="64" zoomScale="90" zoomScaleNormal="90" zoomScalePageLayoutView="100" workbookViewId="0">
      <selection pane="topLeft" activeCell="B89" activeCellId="0" sqref="B89"/>
    </sheetView>
  </sheetViews>
  <sheetFormatPr defaultColWidth="14.42578125" defaultRowHeight="15.75" zeroHeight="false" outlineLevelRow="0" outlineLevelCol="0"/>
  <cols>
    <col collapsed="false" customWidth="true" hidden="false" outlineLevel="0" max="1" min="1" style="1" width="28.57"/>
    <col collapsed="false" customWidth="true" hidden="false" outlineLevel="0" max="2" min="2" style="2" width="16.57"/>
    <col collapsed="false" customWidth="true" hidden="false" outlineLevel="0" max="3" min="3" style="2" width="21.57"/>
    <col collapsed="false" customWidth="false" hidden="false" outlineLevel="0" max="4" min="4" style="2" width="14.42"/>
    <col collapsed="false" customWidth="true" hidden="false" outlineLevel="0" max="5" min="5" style="2" width="18.14"/>
    <col collapsed="false" customWidth="true" hidden="false" outlineLevel="0" max="6" min="6" style="2" width="23.29"/>
    <col collapsed="false" customWidth="true" hidden="false" outlineLevel="0" max="7" min="7" style="2" width="35.14"/>
    <col collapsed="false" customWidth="false" hidden="false" outlineLevel="0" max="16384" min="8" style="2" width="14.42"/>
  </cols>
  <sheetData>
    <row r="1" customFormat="false" ht="87" hidden="false" customHeight="true" outlineLevel="0" collapsed="false">
      <c r="A1" s="3" t="s">
        <v>0</v>
      </c>
      <c r="B1" s="4" t="s">
        <v>1</v>
      </c>
      <c r="C1" s="4"/>
      <c r="D1" s="4"/>
      <c r="E1" s="4"/>
      <c r="F1" s="4"/>
      <c r="G1" s="5" t="s">
        <v>2</v>
      </c>
    </row>
    <row r="3" customFormat="false" ht="15.75" hidden="false" customHeight="true" outlineLevel="0" collapsed="false">
      <c r="A3" s="6" t="s">
        <v>3</v>
      </c>
      <c r="B3" s="6"/>
      <c r="C3" s="6"/>
      <c r="D3" s="6"/>
      <c r="E3" s="6"/>
      <c r="F3" s="6"/>
      <c r="G3" s="6"/>
    </row>
    <row r="4" customFormat="false" ht="15.75" hidden="false" customHeight="true" outlineLevel="0" collapsed="false">
      <c r="A4" s="7" t="s">
        <v>4</v>
      </c>
      <c r="B4" s="8" t="s">
        <v>5</v>
      </c>
      <c r="C4" s="8"/>
      <c r="D4" s="8"/>
      <c r="E4" s="8"/>
      <c r="F4" s="8"/>
      <c r="G4" s="8"/>
    </row>
    <row r="5" customFormat="false" ht="15.75" hidden="false" customHeight="true" outlineLevel="0" collapsed="false">
      <c r="A5" s="7" t="s">
        <v>6</v>
      </c>
      <c r="B5" s="8" t="s">
        <v>7</v>
      </c>
      <c r="C5" s="8"/>
      <c r="D5" s="8"/>
      <c r="E5" s="8"/>
      <c r="F5" s="8"/>
      <c r="G5" s="8"/>
    </row>
    <row r="6" customFormat="false" ht="15.75" hidden="false" customHeight="true" outlineLevel="0" collapsed="false">
      <c r="A6" s="9" t="s">
        <v>8</v>
      </c>
      <c r="B6" s="8" t="s">
        <v>9</v>
      </c>
      <c r="C6" s="8"/>
      <c r="D6" s="8"/>
      <c r="E6" s="8"/>
      <c r="F6" s="8"/>
      <c r="G6" s="8"/>
    </row>
    <row r="7" customFormat="false" ht="15.75" hidden="false" customHeight="true" outlineLevel="0" collapsed="false">
      <c r="A7" s="10" t="s">
        <v>10</v>
      </c>
      <c r="B7" s="8" t="s">
        <v>11</v>
      </c>
      <c r="C7" s="8"/>
      <c r="D7" s="8"/>
      <c r="E7" s="8"/>
      <c r="F7" s="8"/>
      <c r="G7" s="8"/>
    </row>
    <row r="8" customFormat="false" ht="15.75" hidden="false" customHeight="true" outlineLevel="0" collapsed="false">
      <c r="A8" s="7" t="s">
        <v>12</v>
      </c>
      <c r="B8" s="8" t="s">
        <v>13</v>
      </c>
      <c r="C8" s="8"/>
      <c r="D8" s="8"/>
      <c r="E8" s="8"/>
      <c r="F8" s="8"/>
      <c r="G8" s="8"/>
    </row>
    <row r="9" s="13" customFormat="true" ht="15.75" hidden="false" customHeight="true" outlineLevel="0" collapsed="false">
      <c r="A9" s="11" t="s">
        <v>14</v>
      </c>
      <c r="B9" s="12" t="s">
        <v>11</v>
      </c>
      <c r="C9" s="12"/>
      <c r="D9" s="12"/>
      <c r="E9" s="12"/>
      <c r="F9" s="12"/>
      <c r="G9" s="12"/>
    </row>
    <row r="11" customFormat="false" ht="15.75" hidden="false" customHeight="true" outlineLevel="0" collapsed="false">
      <c r="A11" s="6" t="s">
        <v>15</v>
      </c>
      <c r="B11" s="6"/>
      <c r="C11" s="6"/>
      <c r="D11" s="6"/>
      <c r="E11" s="6"/>
      <c r="F11" s="6"/>
      <c r="G11" s="6"/>
    </row>
    <row r="12" customFormat="false" ht="15.75" hidden="false" customHeight="true" outlineLevel="0" collapsed="false">
      <c r="A12" s="7" t="s">
        <v>16</v>
      </c>
      <c r="B12" s="8" t="n">
        <v>18</v>
      </c>
      <c r="C12" s="8"/>
      <c r="D12" s="8"/>
      <c r="E12" s="8"/>
      <c r="F12" s="8"/>
      <c r="G12" s="8"/>
    </row>
    <row r="13" customFormat="false" ht="15.75" hidden="false" customHeight="true" outlineLevel="0" collapsed="false">
      <c r="A13" s="7" t="s">
        <v>17</v>
      </c>
      <c r="B13" s="8"/>
      <c r="C13" s="8"/>
      <c r="D13" s="8"/>
      <c r="E13" s="8"/>
      <c r="F13" s="8"/>
      <c r="G13" s="8"/>
    </row>
    <row r="14" customFormat="false" ht="15.75" hidden="false" customHeight="true" outlineLevel="0" collapsed="false">
      <c r="B14" s="1"/>
      <c r="C14" s="1"/>
      <c r="D14" s="14"/>
      <c r="E14" s="14"/>
      <c r="F14" s="14"/>
      <c r="G14" s="14"/>
    </row>
    <row r="15" customFormat="false" ht="15.75" hidden="false" customHeight="true" outlineLevel="0" collapsed="false">
      <c r="A15" s="6" t="s">
        <v>18</v>
      </c>
      <c r="B15" s="6"/>
      <c r="C15" s="6"/>
      <c r="D15" s="6"/>
      <c r="E15" s="6"/>
      <c r="F15" s="6"/>
      <c r="G15" s="6"/>
    </row>
    <row r="16" customFormat="false" ht="15.75" hidden="false" customHeight="true" outlineLevel="0" collapsed="false">
      <c r="A16" s="6" t="s">
        <v>19</v>
      </c>
      <c r="B16" s="6"/>
      <c r="C16" s="6"/>
      <c r="D16" s="6"/>
      <c r="E16" s="6"/>
      <c r="F16" s="6"/>
      <c r="G16" s="6"/>
    </row>
    <row r="17" customFormat="false" ht="15.75" hidden="false" customHeight="true" outlineLevel="0" collapsed="false">
      <c r="A17" s="15" t="s">
        <v>20</v>
      </c>
      <c r="B17" s="15"/>
      <c r="C17" s="15"/>
      <c r="D17" s="15"/>
      <c r="E17" s="15"/>
      <c r="F17" s="15"/>
      <c r="G17" s="15"/>
    </row>
    <row r="18" customFormat="false" ht="15.75" hidden="false" customHeight="true" outlineLevel="0" collapsed="false">
      <c r="A18" s="15"/>
      <c r="B18" s="15"/>
      <c r="C18" s="15"/>
      <c r="D18" s="15"/>
      <c r="E18" s="15"/>
      <c r="F18" s="15"/>
      <c r="G18" s="15"/>
    </row>
    <row r="19" customFormat="false" ht="15.75" hidden="false" customHeight="true" outlineLevel="0" collapsed="false">
      <c r="A19" s="15"/>
      <c r="B19" s="15"/>
      <c r="C19" s="15"/>
      <c r="D19" s="15"/>
      <c r="E19" s="15"/>
      <c r="F19" s="15"/>
      <c r="G19" s="15"/>
    </row>
    <row r="20" customFormat="false" ht="15.75" hidden="false" customHeight="true" outlineLevel="0" collapsed="false">
      <c r="A20" s="6" t="s">
        <v>21</v>
      </c>
      <c r="B20" s="6"/>
      <c r="C20" s="6"/>
      <c r="D20" s="6"/>
      <c r="E20" s="6"/>
      <c r="F20" s="6"/>
      <c r="G20" s="6"/>
    </row>
    <row r="21" customFormat="false" ht="15.75" hidden="false" customHeight="true" outlineLevel="0" collapsed="false">
      <c r="A21" s="16" t="s">
        <v>22</v>
      </c>
      <c r="B21" s="16"/>
      <c r="C21" s="16"/>
      <c r="D21" s="16"/>
      <c r="E21" s="16"/>
      <c r="F21" s="16"/>
      <c r="G21" s="16"/>
    </row>
    <row r="22" customFormat="false" ht="15.75" hidden="false" customHeight="true" outlineLevel="0" collapsed="false">
      <c r="A22" s="17" t="s">
        <v>23</v>
      </c>
      <c r="B22" s="17"/>
      <c r="C22" s="17"/>
      <c r="D22" s="17"/>
      <c r="E22" s="17"/>
      <c r="F22" s="17"/>
      <c r="G22" s="17"/>
    </row>
    <row r="23" customFormat="false" ht="15.75" hidden="false" customHeight="true" outlineLevel="0" collapsed="false">
      <c r="A23" s="17"/>
      <c r="B23" s="17"/>
      <c r="C23" s="17"/>
      <c r="D23" s="17"/>
      <c r="E23" s="17"/>
      <c r="F23" s="17"/>
      <c r="G23" s="17"/>
    </row>
    <row r="24" customFormat="false" ht="20.25" hidden="false" customHeight="true" outlineLevel="0" collapsed="false">
      <c r="A24" s="17"/>
      <c r="B24" s="17"/>
      <c r="C24" s="17"/>
      <c r="D24" s="17"/>
      <c r="E24" s="17"/>
      <c r="F24" s="17"/>
      <c r="G24" s="17"/>
    </row>
    <row r="25" customFormat="false" ht="14.25" hidden="false" customHeight="true" outlineLevel="0" collapsed="false">
      <c r="A25" s="18" t="s">
        <v>24</v>
      </c>
      <c r="B25" s="18"/>
      <c r="C25" s="18"/>
      <c r="D25" s="18"/>
      <c r="E25" s="18"/>
      <c r="F25" s="18"/>
      <c r="G25" s="18"/>
    </row>
    <row r="26" customFormat="false" ht="14.25" hidden="false" customHeight="true" outlineLevel="0" collapsed="false">
      <c r="A26" s="18"/>
      <c r="B26" s="18"/>
      <c r="C26" s="18"/>
      <c r="D26" s="18"/>
      <c r="E26" s="18"/>
      <c r="F26" s="18"/>
      <c r="G26" s="18"/>
    </row>
    <row r="27" customFormat="false" ht="14.25" hidden="false" customHeight="true" outlineLevel="0" collapsed="false">
      <c r="A27" s="18"/>
      <c r="B27" s="18"/>
      <c r="C27" s="18"/>
      <c r="D27" s="18"/>
      <c r="E27" s="18"/>
      <c r="F27" s="18"/>
      <c r="G27" s="18"/>
    </row>
    <row r="28" customFormat="false" ht="14.25" hidden="false" customHeight="true" outlineLevel="0" collapsed="false">
      <c r="A28" s="18"/>
      <c r="B28" s="18"/>
      <c r="C28" s="18"/>
      <c r="D28" s="18"/>
      <c r="E28" s="18"/>
      <c r="F28" s="18"/>
      <c r="G28" s="18"/>
    </row>
    <row r="29" customFormat="false" ht="14.25" hidden="false" customHeight="true" outlineLevel="0" collapsed="false">
      <c r="A29" s="18"/>
      <c r="B29" s="18"/>
      <c r="C29" s="18"/>
      <c r="D29" s="18"/>
      <c r="E29" s="18"/>
      <c r="F29" s="18"/>
      <c r="G29" s="18"/>
    </row>
    <row r="30" customFormat="false" ht="14.25" hidden="false" customHeight="true" outlineLevel="0" collapsed="false">
      <c r="A30" s="18"/>
      <c r="B30" s="18"/>
      <c r="C30" s="18"/>
      <c r="D30" s="18"/>
      <c r="E30" s="18"/>
      <c r="F30" s="18"/>
      <c r="G30" s="18"/>
    </row>
    <row r="31" customFormat="false" ht="16.5" hidden="false" customHeight="true" outlineLevel="0" collapsed="false">
      <c r="A31" s="19" t="s">
        <v>25</v>
      </c>
      <c r="B31" s="19"/>
      <c r="C31" s="19"/>
      <c r="D31" s="19"/>
      <c r="E31" s="19"/>
      <c r="F31" s="19"/>
      <c r="G31" s="19"/>
    </row>
    <row r="32" customFormat="false" ht="16.5" hidden="false" customHeight="true" outlineLevel="0" collapsed="false">
      <c r="A32" s="19"/>
      <c r="B32" s="19"/>
      <c r="C32" s="19"/>
      <c r="D32" s="19"/>
      <c r="E32" s="19"/>
      <c r="F32" s="19"/>
      <c r="G32" s="19"/>
    </row>
    <row r="33" customFormat="false" ht="16.5" hidden="false" customHeight="true" outlineLevel="0" collapsed="false">
      <c r="A33" s="19"/>
      <c r="B33" s="19"/>
      <c r="C33" s="19"/>
      <c r="D33" s="19"/>
      <c r="E33" s="19"/>
      <c r="F33" s="19"/>
      <c r="G33" s="19"/>
    </row>
    <row r="34" customFormat="false" ht="15.75" hidden="false" customHeight="true" outlineLevel="0" collapsed="false">
      <c r="A34" s="19"/>
      <c r="B34" s="19"/>
      <c r="C34" s="19"/>
      <c r="D34" s="19"/>
      <c r="E34" s="19"/>
      <c r="F34" s="19"/>
      <c r="G34" s="19"/>
    </row>
    <row r="35" customFormat="false" ht="33.75" hidden="false" customHeight="true" outlineLevel="0" collapsed="false">
      <c r="A35" s="19"/>
      <c r="B35" s="19"/>
      <c r="C35" s="19"/>
      <c r="D35" s="19"/>
      <c r="E35" s="19"/>
      <c r="F35" s="19"/>
      <c r="G35" s="19"/>
    </row>
    <row r="36" customFormat="false" ht="25.5" hidden="false" customHeight="true" outlineLevel="0" collapsed="false">
      <c r="A36" s="6" t="s">
        <v>26</v>
      </c>
      <c r="B36" s="6"/>
      <c r="C36" s="6"/>
      <c r="D36" s="6"/>
      <c r="E36" s="6"/>
      <c r="F36" s="6"/>
      <c r="G36" s="6"/>
    </row>
    <row r="37" customFormat="false" ht="33.75" hidden="false" customHeight="true" outlineLevel="0" collapsed="false">
      <c r="A37" s="7" t="s">
        <v>27</v>
      </c>
      <c r="B37" s="15" t="s">
        <v>28</v>
      </c>
      <c r="C37" s="15"/>
      <c r="D37" s="15"/>
      <c r="E37" s="15"/>
      <c r="F37" s="15"/>
      <c r="G37" s="15"/>
    </row>
    <row r="38" customFormat="false" ht="33.75" hidden="false" customHeight="true" outlineLevel="0" collapsed="false">
      <c r="A38" s="20" t="s">
        <v>29</v>
      </c>
      <c r="B38" s="15" t="s">
        <v>30</v>
      </c>
      <c r="C38" s="15"/>
      <c r="D38" s="15"/>
      <c r="E38" s="15"/>
      <c r="F38" s="15"/>
      <c r="G38" s="15"/>
    </row>
    <row r="39" customFormat="false" ht="75" hidden="false" customHeight="true" outlineLevel="0" collapsed="false">
      <c r="A39" s="20" t="s">
        <v>31</v>
      </c>
      <c r="B39" s="15" t="s">
        <v>32</v>
      </c>
      <c r="C39" s="15"/>
      <c r="D39" s="15"/>
      <c r="E39" s="15"/>
      <c r="F39" s="15"/>
      <c r="G39" s="15"/>
    </row>
    <row r="40" customFormat="false" ht="33.75" hidden="false" customHeight="true" outlineLevel="0" collapsed="false">
      <c r="A40" s="20" t="s">
        <v>33</v>
      </c>
      <c r="B40" s="15" t="s">
        <v>34</v>
      </c>
      <c r="C40" s="15"/>
      <c r="D40" s="15"/>
      <c r="E40" s="15"/>
      <c r="F40" s="15"/>
      <c r="G40" s="15"/>
    </row>
    <row r="41" customFormat="false" ht="33.75" hidden="false" customHeight="true" outlineLevel="0" collapsed="false">
      <c r="A41" s="20" t="s">
        <v>35</v>
      </c>
      <c r="B41" s="15" t="s">
        <v>36</v>
      </c>
      <c r="C41" s="15"/>
      <c r="D41" s="15"/>
      <c r="E41" s="15"/>
      <c r="F41" s="15"/>
      <c r="G41" s="15"/>
    </row>
    <row r="42" customFormat="false" ht="33.75" hidden="false" customHeight="true" outlineLevel="0" collapsed="false">
      <c r="A42" s="20" t="s">
        <v>37</v>
      </c>
      <c r="B42" s="15" t="s">
        <v>38</v>
      </c>
      <c r="C42" s="15"/>
      <c r="D42" s="15"/>
      <c r="E42" s="15"/>
      <c r="F42" s="15"/>
      <c r="G42" s="15"/>
    </row>
    <row r="43" customFormat="false" ht="33.75" hidden="false" customHeight="true" outlineLevel="0" collapsed="false">
      <c r="A43" s="20" t="s">
        <v>39</v>
      </c>
      <c r="B43" s="15" t="s">
        <v>40</v>
      </c>
      <c r="C43" s="15"/>
      <c r="D43" s="15"/>
      <c r="E43" s="15"/>
      <c r="F43" s="15"/>
      <c r="G43" s="15"/>
    </row>
    <row r="44" customFormat="false" ht="33.75" hidden="false" customHeight="true" outlineLevel="0" collapsed="false">
      <c r="A44" s="20" t="s">
        <v>41</v>
      </c>
      <c r="B44" s="21" t="s">
        <v>42</v>
      </c>
      <c r="C44" s="21"/>
      <c r="D44" s="21"/>
      <c r="E44" s="21"/>
      <c r="F44" s="21"/>
      <c r="G44" s="21"/>
    </row>
    <row r="45" customFormat="false" ht="57" hidden="false" customHeight="true" outlineLevel="0" collapsed="false">
      <c r="A45" s="20" t="s">
        <v>43</v>
      </c>
      <c r="B45" s="15" t="s">
        <v>44</v>
      </c>
      <c r="C45" s="15"/>
      <c r="D45" s="15"/>
      <c r="E45" s="15"/>
      <c r="F45" s="15"/>
      <c r="G45" s="15"/>
    </row>
    <row r="46" customFormat="false" ht="33.75" hidden="false" customHeight="true" outlineLevel="0" collapsed="false">
      <c r="A46" s="20" t="s">
        <v>45</v>
      </c>
      <c r="B46" s="21" t="s">
        <v>46</v>
      </c>
      <c r="C46" s="21"/>
      <c r="D46" s="21"/>
      <c r="E46" s="21"/>
      <c r="F46" s="21"/>
      <c r="G46" s="21"/>
    </row>
    <row r="47" customFormat="false" ht="33.75" hidden="false" customHeight="true" outlineLevel="0" collapsed="false">
      <c r="A47" s="20" t="s">
        <v>47</v>
      </c>
      <c r="B47" s="21" t="s">
        <v>48</v>
      </c>
      <c r="C47" s="21"/>
      <c r="D47" s="21"/>
      <c r="E47" s="21"/>
      <c r="F47" s="21"/>
      <c r="G47" s="21"/>
    </row>
    <row r="48" customFormat="false" ht="33.75" hidden="false" customHeight="true" outlineLevel="0" collapsed="false">
      <c r="A48" s="20" t="s">
        <v>49</v>
      </c>
      <c r="B48" s="21" t="s">
        <v>50</v>
      </c>
      <c r="C48" s="21"/>
      <c r="D48" s="21"/>
      <c r="E48" s="21"/>
      <c r="F48" s="21"/>
      <c r="G48" s="21"/>
    </row>
    <row r="49" customFormat="false" ht="20.25" hidden="false" customHeight="true" outlineLevel="0" collapsed="false">
      <c r="A49" s="22" t="s">
        <v>51</v>
      </c>
      <c r="B49" s="22"/>
      <c r="C49" s="22"/>
      <c r="D49" s="22"/>
      <c r="E49" s="22"/>
      <c r="F49" s="22"/>
      <c r="G49" s="22"/>
    </row>
    <row r="50" customFormat="false" ht="12" hidden="false" customHeight="true" outlineLevel="0" collapsed="false">
      <c r="A50" s="22"/>
      <c r="B50" s="22"/>
      <c r="C50" s="22"/>
      <c r="D50" s="22"/>
      <c r="E50" s="22"/>
      <c r="F50" s="22"/>
      <c r="G50" s="22"/>
    </row>
    <row r="51" customFormat="false" ht="12" hidden="false" customHeight="true" outlineLevel="0" collapsed="false">
      <c r="A51" s="22"/>
      <c r="B51" s="22"/>
      <c r="C51" s="22"/>
      <c r="D51" s="22"/>
      <c r="E51" s="22"/>
      <c r="F51" s="22"/>
      <c r="G51" s="22"/>
    </row>
    <row r="52" customFormat="false" ht="16.5" hidden="false" customHeight="true" outlineLevel="0" collapsed="false">
      <c r="A52" s="6" t="s">
        <v>52</v>
      </c>
      <c r="B52" s="6"/>
      <c r="C52" s="6"/>
      <c r="D52" s="6"/>
      <c r="E52" s="6"/>
      <c r="F52" s="6"/>
      <c r="G52" s="6"/>
    </row>
    <row r="53" customFormat="false" ht="12.75" hidden="false" customHeight="true" outlineLevel="0" collapsed="false">
      <c r="A53" s="23" t="s">
        <v>53</v>
      </c>
      <c r="B53" s="23"/>
      <c r="C53" s="23"/>
      <c r="D53" s="23"/>
      <c r="E53" s="23"/>
      <c r="F53" s="23"/>
      <c r="G53" s="23"/>
    </row>
    <row r="54" customFormat="false" ht="12" hidden="false" customHeight="true" outlineLevel="0" collapsed="false">
      <c r="A54" s="23"/>
      <c r="B54" s="23"/>
      <c r="C54" s="23"/>
      <c r="D54" s="23"/>
      <c r="E54" s="23"/>
      <c r="F54" s="23"/>
      <c r="G54" s="23"/>
    </row>
    <row r="55" customFormat="false" ht="12" hidden="false" customHeight="true" outlineLevel="0" collapsed="false">
      <c r="A55" s="23"/>
      <c r="B55" s="23"/>
      <c r="C55" s="23"/>
      <c r="D55" s="23"/>
      <c r="E55" s="23"/>
      <c r="F55" s="23"/>
      <c r="G55" s="23"/>
    </row>
    <row r="56" customFormat="false" ht="12" hidden="false" customHeight="true" outlineLevel="0" collapsed="false">
      <c r="A56" s="23"/>
      <c r="B56" s="23"/>
      <c r="C56" s="23"/>
      <c r="D56" s="23"/>
      <c r="E56" s="23"/>
      <c r="F56" s="23"/>
      <c r="G56" s="23"/>
    </row>
    <row r="57" customFormat="false" ht="12" hidden="false" customHeight="true" outlineLevel="0" collapsed="false">
      <c r="A57" s="23"/>
      <c r="B57" s="23"/>
      <c r="C57" s="23"/>
      <c r="D57" s="23"/>
      <c r="E57" s="23"/>
      <c r="F57" s="23"/>
      <c r="G57" s="23"/>
    </row>
    <row r="58" customFormat="false" ht="12" hidden="false" customHeight="true" outlineLevel="0" collapsed="false">
      <c r="A58" s="23"/>
      <c r="B58" s="23"/>
      <c r="C58" s="23"/>
      <c r="D58" s="23"/>
      <c r="E58" s="23"/>
      <c r="F58" s="23"/>
      <c r="G58" s="23"/>
    </row>
    <row r="59" customFormat="false" ht="12" hidden="false" customHeight="true" outlineLevel="0" collapsed="false">
      <c r="A59" s="23"/>
      <c r="B59" s="23"/>
      <c r="C59" s="23"/>
      <c r="D59" s="23"/>
      <c r="E59" s="23"/>
      <c r="F59" s="23"/>
      <c r="G59" s="23"/>
    </row>
    <row r="60" customFormat="false" ht="12" hidden="false" customHeight="true" outlineLevel="0" collapsed="false">
      <c r="A60" s="23"/>
      <c r="B60" s="23"/>
      <c r="C60" s="23"/>
      <c r="D60" s="23"/>
      <c r="E60" s="23"/>
      <c r="F60" s="23"/>
      <c r="G60" s="23"/>
    </row>
    <row r="61" customFormat="false" ht="12" hidden="false" customHeight="true" outlineLevel="0" collapsed="false">
      <c r="A61" s="23"/>
      <c r="B61" s="23"/>
      <c r="C61" s="23"/>
      <c r="D61" s="23"/>
      <c r="E61" s="23"/>
      <c r="F61" s="23"/>
      <c r="G61" s="23"/>
    </row>
    <row r="62" customFormat="false" ht="12" hidden="false" customHeight="true" outlineLevel="0" collapsed="false">
      <c r="A62" s="23"/>
      <c r="B62" s="23"/>
      <c r="C62" s="23"/>
      <c r="D62" s="23"/>
      <c r="E62" s="23"/>
      <c r="F62" s="23"/>
      <c r="G62" s="23"/>
    </row>
    <row r="63" customFormat="false" ht="12" hidden="false" customHeight="true" outlineLevel="0" collapsed="false">
      <c r="A63" s="23"/>
      <c r="B63" s="23"/>
      <c r="C63" s="23"/>
      <c r="D63" s="23"/>
      <c r="E63" s="23"/>
      <c r="F63" s="23"/>
      <c r="G63" s="23"/>
    </row>
    <row r="64" customFormat="false" ht="18.75" hidden="false" customHeight="true" outlineLevel="0" collapsed="false">
      <c r="A64" s="6" t="s">
        <v>54</v>
      </c>
      <c r="B64" s="6"/>
      <c r="C64" s="6"/>
      <c r="D64" s="6"/>
      <c r="E64" s="6"/>
      <c r="F64" s="6"/>
      <c r="G64" s="6"/>
    </row>
    <row r="65" customFormat="false" ht="12.75" hidden="false" customHeight="true" outlineLevel="0" collapsed="false">
      <c r="A65" s="24" t="s">
        <v>55</v>
      </c>
      <c r="B65" s="24"/>
      <c r="C65" s="24"/>
      <c r="D65" s="24"/>
      <c r="E65" s="24"/>
      <c r="F65" s="24"/>
      <c r="G65" s="24"/>
    </row>
    <row r="66" customFormat="false" ht="12.75" hidden="false" customHeight="true" outlineLevel="0" collapsed="false">
      <c r="A66" s="24"/>
      <c r="B66" s="24"/>
      <c r="C66" s="24"/>
      <c r="D66" s="24"/>
      <c r="E66" s="24"/>
      <c r="F66" s="24"/>
      <c r="G66" s="24"/>
    </row>
    <row r="67" customFormat="false" ht="12.75" hidden="false" customHeight="true" outlineLevel="0" collapsed="false">
      <c r="A67" s="24"/>
      <c r="B67" s="24"/>
      <c r="C67" s="24"/>
      <c r="D67" s="24"/>
      <c r="E67" s="24"/>
      <c r="F67" s="24"/>
      <c r="G67" s="24"/>
    </row>
    <row r="68" customFormat="false" ht="12.75" hidden="false" customHeight="true" outlineLevel="0" collapsed="false">
      <c r="A68" s="24"/>
      <c r="B68" s="24"/>
      <c r="C68" s="24"/>
      <c r="D68" s="24"/>
      <c r="E68" s="24"/>
      <c r="F68" s="24"/>
      <c r="G68" s="24"/>
    </row>
    <row r="69" customFormat="false" ht="12.75" hidden="false" customHeight="true" outlineLevel="0" collapsed="false">
      <c r="A69" s="24"/>
      <c r="B69" s="24"/>
      <c r="C69" s="24"/>
      <c r="D69" s="24"/>
      <c r="E69" s="24"/>
      <c r="F69" s="24"/>
      <c r="G69" s="24"/>
    </row>
    <row r="70" customFormat="false" ht="12.75" hidden="false" customHeight="true" outlineLevel="0" collapsed="false">
      <c r="A70" s="24"/>
      <c r="B70" s="24"/>
      <c r="C70" s="24"/>
      <c r="D70" s="24"/>
      <c r="E70" s="24"/>
      <c r="F70" s="24"/>
      <c r="G70" s="24"/>
    </row>
    <row r="71" customFormat="false" ht="12.75" hidden="false" customHeight="true" outlineLevel="0" collapsed="false">
      <c r="A71" s="24"/>
      <c r="B71" s="24"/>
      <c r="C71" s="24"/>
      <c r="D71" s="24"/>
      <c r="E71" s="24"/>
      <c r="F71" s="24"/>
      <c r="G71" s="24"/>
    </row>
    <row r="72" customFormat="false" ht="12.75" hidden="false" customHeight="true" outlineLevel="0" collapsed="false">
      <c r="A72" s="24"/>
      <c r="B72" s="24"/>
      <c r="C72" s="24"/>
      <c r="D72" s="24"/>
      <c r="E72" s="24"/>
      <c r="F72" s="24"/>
      <c r="G72" s="24"/>
    </row>
    <row r="73" customFormat="false" ht="12.75" hidden="false" customHeight="true" outlineLevel="0" collapsed="false">
      <c r="A73" s="24"/>
      <c r="B73" s="24"/>
      <c r="C73" s="24"/>
      <c r="D73" s="24"/>
      <c r="E73" s="24"/>
      <c r="F73" s="24"/>
      <c r="G73" s="24"/>
    </row>
    <row r="74" customFormat="false" ht="12.75" hidden="false" customHeight="true" outlineLevel="0" collapsed="false">
      <c r="A74" s="24"/>
      <c r="B74" s="24"/>
      <c r="C74" s="24"/>
      <c r="D74" s="24"/>
      <c r="E74" s="24"/>
      <c r="F74" s="24"/>
      <c r="G74" s="24"/>
    </row>
    <row r="75" customFormat="false" ht="12.75" hidden="false" customHeight="true" outlineLevel="0" collapsed="false">
      <c r="A75" s="24"/>
      <c r="B75" s="24"/>
      <c r="C75" s="24"/>
      <c r="D75" s="24"/>
      <c r="E75" s="24"/>
      <c r="F75" s="24"/>
      <c r="G75" s="24"/>
    </row>
    <row r="76" customFormat="false" ht="12.75" hidden="false" customHeight="true" outlineLevel="0" collapsed="false">
      <c r="A76" s="24"/>
      <c r="B76" s="24"/>
      <c r="C76" s="24"/>
      <c r="D76" s="24"/>
      <c r="E76" s="24"/>
      <c r="F76" s="24"/>
      <c r="G76" s="24"/>
    </row>
    <row r="77" customFormat="false" ht="12.75" hidden="false" customHeight="true" outlineLevel="0" collapsed="false">
      <c r="A77" s="24"/>
      <c r="B77" s="24"/>
      <c r="C77" s="24"/>
      <c r="D77" s="24"/>
      <c r="E77" s="24"/>
      <c r="F77" s="24"/>
      <c r="G77" s="24"/>
    </row>
    <row r="78" customFormat="false" ht="12.75" hidden="false" customHeight="true" outlineLevel="0" collapsed="false">
      <c r="A78" s="24"/>
      <c r="B78" s="24"/>
      <c r="C78" s="24"/>
      <c r="D78" s="24"/>
      <c r="E78" s="24"/>
      <c r="F78" s="24"/>
      <c r="G78" s="24"/>
    </row>
    <row r="79" customFormat="false" ht="12.75" hidden="false" customHeight="true" outlineLevel="0" collapsed="false">
      <c r="A79" s="24"/>
      <c r="B79" s="24"/>
      <c r="C79" s="24"/>
      <c r="D79" s="24"/>
      <c r="E79" s="24"/>
      <c r="F79" s="24"/>
      <c r="G79" s="24"/>
    </row>
    <row r="80" customFormat="false" ht="12.75" hidden="false" customHeight="true" outlineLevel="0" collapsed="false">
      <c r="A80" s="24"/>
      <c r="B80" s="24"/>
      <c r="C80" s="24"/>
      <c r="D80" s="24"/>
      <c r="E80" s="24"/>
      <c r="F80" s="24"/>
      <c r="G80" s="24"/>
    </row>
    <row r="81" customFormat="false" ht="17.25" hidden="false" customHeight="true" outlineLevel="0" collapsed="false">
      <c r="A81" s="6" t="s">
        <v>56</v>
      </c>
      <c r="B81" s="6"/>
      <c r="C81" s="6"/>
      <c r="D81" s="6"/>
      <c r="E81" s="6"/>
      <c r="F81" s="6"/>
      <c r="G81" s="6"/>
    </row>
    <row r="82" customFormat="false" ht="30.75" hidden="false" customHeight="true" outlineLevel="0" collapsed="false">
      <c r="A82" s="25" t="s">
        <v>57</v>
      </c>
      <c r="B82" s="26" t="s">
        <v>58</v>
      </c>
      <c r="C82" s="26"/>
      <c r="D82" s="26" t="s">
        <v>59</v>
      </c>
      <c r="E82" s="26"/>
      <c r="F82" s="26"/>
      <c r="G82" s="26" t="s">
        <v>60</v>
      </c>
    </row>
    <row r="83" customFormat="false" ht="39" hidden="false" customHeight="true" outlineLevel="0" collapsed="false">
      <c r="A83" s="27" t="s">
        <v>61</v>
      </c>
      <c r="B83" s="28" t="s">
        <v>62</v>
      </c>
      <c r="C83" s="28"/>
      <c r="D83" s="15" t="s">
        <v>63</v>
      </c>
      <c r="E83" s="15"/>
      <c r="F83" s="15"/>
      <c r="G83" s="29" t="s">
        <v>64</v>
      </c>
    </row>
    <row r="84" customFormat="false" ht="35.25" hidden="false" customHeight="true" outlineLevel="0" collapsed="false">
      <c r="A84" s="27" t="s">
        <v>65</v>
      </c>
      <c r="B84" s="28" t="s">
        <v>66</v>
      </c>
      <c r="C84" s="28"/>
      <c r="D84" s="15"/>
      <c r="E84" s="15"/>
      <c r="F84" s="15"/>
      <c r="G84" s="29"/>
    </row>
    <row r="85" customFormat="false" ht="36" hidden="false" customHeight="true" outlineLevel="0" collapsed="false">
      <c r="A85" s="30" t="s">
        <v>67</v>
      </c>
      <c r="B85" s="8" t="s">
        <v>68</v>
      </c>
      <c r="C85" s="8"/>
      <c r="D85" s="8" t="s">
        <v>69</v>
      </c>
      <c r="E85" s="8"/>
      <c r="F85" s="8"/>
      <c r="G85" s="31" t="s">
        <v>64</v>
      </c>
    </row>
    <row r="86" customFormat="false" ht="22.5" hidden="false" customHeight="true" outlineLevel="0" collapsed="false">
      <c r="A86" s="6" t="s">
        <v>70</v>
      </c>
      <c r="B86" s="6"/>
      <c r="C86" s="6"/>
      <c r="D86" s="6"/>
      <c r="E86" s="6"/>
      <c r="F86" s="6"/>
      <c r="G86" s="6"/>
    </row>
    <row r="87" customFormat="false" ht="25.5" hidden="false" customHeight="true" outlineLevel="0" collapsed="false">
      <c r="A87" s="32" t="s">
        <v>71</v>
      </c>
      <c r="B87" s="32"/>
      <c r="C87" s="32"/>
      <c r="D87" s="32"/>
      <c r="E87" s="32"/>
      <c r="F87" s="32"/>
      <c r="G87" s="32"/>
    </row>
    <row r="88" customFormat="false" ht="27.75" hidden="false" customHeight="true" outlineLevel="0" collapsed="false">
      <c r="A88" s="33" t="s">
        <v>57</v>
      </c>
      <c r="B88" s="34" t="s">
        <v>58</v>
      </c>
      <c r="C88" s="34"/>
      <c r="D88" s="35" t="s">
        <v>59</v>
      </c>
      <c r="E88" s="35"/>
      <c r="F88" s="36" t="s">
        <v>72</v>
      </c>
      <c r="G88" s="37" t="s">
        <v>60</v>
      </c>
    </row>
    <row r="89" customFormat="false" ht="38.25" hidden="false" customHeight="true" outlineLevel="0" collapsed="false">
      <c r="A89" s="38" t="s">
        <v>73</v>
      </c>
      <c r="B89" s="39" t="s">
        <v>74</v>
      </c>
      <c r="C89" s="39"/>
      <c r="D89" s="40" t="s">
        <v>75</v>
      </c>
      <c r="E89" s="40"/>
      <c r="F89" s="41" t="s">
        <v>76</v>
      </c>
      <c r="G89" s="42" t="s">
        <v>64</v>
      </c>
    </row>
    <row r="90" customFormat="false" ht="24.75" hidden="false" customHeight="true" outlineLevel="0" collapsed="false">
      <c r="A90" s="43" t="s">
        <v>77</v>
      </c>
      <c r="B90" s="39" t="s">
        <v>78</v>
      </c>
      <c r="C90" s="39"/>
      <c r="D90" s="40" t="s">
        <v>79</v>
      </c>
      <c r="E90" s="40"/>
      <c r="F90" s="41" t="s">
        <v>76</v>
      </c>
      <c r="G90" s="44" t="s">
        <v>64</v>
      </c>
    </row>
    <row r="91" customFormat="false" ht="48" hidden="false" customHeight="true" outlineLevel="0" collapsed="false">
      <c r="A91" s="43" t="s">
        <v>80</v>
      </c>
      <c r="B91" s="39" t="s">
        <v>81</v>
      </c>
      <c r="C91" s="39"/>
      <c r="D91" s="40" t="s">
        <v>82</v>
      </c>
      <c r="E91" s="40"/>
      <c r="F91" s="41" t="s">
        <v>76</v>
      </c>
      <c r="G91" s="44" t="s">
        <v>64</v>
      </c>
    </row>
    <row r="92" customFormat="false" ht="26.25" hidden="false" customHeight="true" outlineLevel="0" collapsed="false">
      <c r="A92" s="43" t="s">
        <v>83</v>
      </c>
      <c r="B92" s="39" t="s">
        <v>78</v>
      </c>
      <c r="C92" s="39"/>
      <c r="D92" s="40" t="s">
        <v>84</v>
      </c>
      <c r="E92" s="40"/>
      <c r="F92" s="41" t="s">
        <v>85</v>
      </c>
      <c r="G92" s="44" t="s">
        <v>64</v>
      </c>
    </row>
    <row r="93" customFormat="false" ht="52.5" hidden="false" customHeight="true" outlineLevel="0" collapsed="false">
      <c r="A93" s="43" t="s">
        <v>86</v>
      </c>
      <c r="B93" s="39" t="s">
        <v>87</v>
      </c>
      <c r="C93" s="39"/>
      <c r="D93" s="40" t="s">
        <v>88</v>
      </c>
      <c r="E93" s="40"/>
      <c r="F93" s="41" t="s">
        <v>76</v>
      </c>
      <c r="G93" s="44" t="s">
        <v>64</v>
      </c>
    </row>
    <row r="94" customFormat="false" ht="52.5" hidden="false" customHeight="true" outlineLevel="0" collapsed="false">
      <c r="A94" s="43" t="s">
        <v>89</v>
      </c>
      <c r="B94" s="39" t="s">
        <v>78</v>
      </c>
      <c r="C94" s="39"/>
      <c r="D94" s="40" t="s">
        <v>90</v>
      </c>
      <c r="E94" s="40"/>
      <c r="F94" s="41" t="s">
        <v>85</v>
      </c>
      <c r="G94" s="44" t="s">
        <v>64</v>
      </c>
    </row>
    <row r="95" customFormat="false" ht="24.75" hidden="false" customHeight="true" outlineLevel="0" collapsed="false">
      <c r="A95" s="45" t="s">
        <v>0</v>
      </c>
      <c r="B95" s="46" t="s">
        <v>0</v>
      </c>
      <c r="C95" s="46" t="s">
        <v>0</v>
      </c>
      <c r="D95" s="47" t="s">
        <v>91</v>
      </c>
      <c r="E95" s="47"/>
      <c r="F95" s="48" t="n">
        <f aca="false">((COUNTIF(F89:F94,"Alta")*3)+(COUNTIF(F89:F94,"Media")*2)+(COUNTIF(F89:F94,"Baja")*1))/((COUNTA(F89:F94))*3)</f>
        <v>0.777777777777778</v>
      </c>
      <c r="G95" s="46" t="s">
        <v>0</v>
      </c>
      <c r="H95" s="49"/>
    </row>
    <row r="96" customFormat="false" ht="12.75" hidden="false" customHeight="true" outlineLevel="0" collapsed="false">
      <c r="A96" s="6" t="s">
        <v>92</v>
      </c>
      <c r="B96" s="6"/>
      <c r="C96" s="6"/>
      <c r="D96" s="6"/>
      <c r="E96" s="6"/>
      <c r="F96" s="6"/>
      <c r="G96" s="6"/>
    </row>
    <row r="97" customFormat="false" ht="12" hidden="false" customHeight="true" outlineLevel="0" collapsed="false">
      <c r="A97" s="50" t="s">
        <v>93</v>
      </c>
      <c r="B97" s="50"/>
      <c r="C97" s="50"/>
      <c r="D97" s="50"/>
      <c r="E97" s="50"/>
      <c r="F97" s="50"/>
      <c r="G97" s="50"/>
    </row>
    <row r="98" customFormat="false" ht="12" hidden="false" customHeight="true" outlineLevel="0" collapsed="false">
      <c r="A98" s="50"/>
      <c r="B98" s="50"/>
      <c r="C98" s="50"/>
      <c r="D98" s="50"/>
      <c r="E98" s="50"/>
      <c r="F98" s="50"/>
      <c r="G98" s="50"/>
    </row>
    <row r="99" customFormat="false" ht="12" hidden="false" customHeight="true" outlineLevel="0" collapsed="false">
      <c r="A99" s="50"/>
      <c r="B99" s="50"/>
      <c r="C99" s="50"/>
      <c r="D99" s="50"/>
      <c r="E99" s="50"/>
      <c r="F99" s="50"/>
      <c r="G99" s="50"/>
    </row>
    <row r="100" customFormat="false" ht="12" hidden="false" customHeight="true" outlineLevel="0" collapsed="false">
      <c r="A100" s="50"/>
      <c r="B100" s="50"/>
      <c r="C100" s="50"/>
      <c r="D100" s="50"/>
      <c r="E100" s="50"/>
      <c r="F100" s="50"/>
      <c r="G100" s="50"/>
    </row>
    <row r="101" customFormat="false" ht="12" hidden="false" customHeight="true" outlineLevel="0" collapsed="false">
      <c r="A101" s="50"/>
      <c r="B101" s="50"/>
      <c r="C101" s="50"/>
      <c r="D101" s="50"/>
      <c r="E101" s="50"/>
      <c r="F101" s="50"/>
      <c r="G101" s="50"/>
    </row>
    <row r="102" customFormat="false" ht="12" hidden="false" customHeight="true" outlineLevel="0" collapsed="false">
      <c r="A102" s="50"/>
      <c r="B102" s="50"/>
      <c r="C102" s="50"/>
      <c r="D102" s="50"/>
      <c r="E102" s="50"/>
      <c r="F102" s="50"/>
      <c r="G102" s="50"/>
    </row>
    <row r="103" customFormat="false" ht="12" hidden="false" customHeight="true" outlineLevel="0" collapsed="false">
      <c r="A103" s="50"/>
      <c r="B103" s="50"/>
      <c r="C103" s="50"/>
      <c r="D103" s="50"/>
      <c r="E103" s="50"/>
      <c r="F103" s="50"/>
      <c r="G103" s="50"/>
    </row>
    <row r="104" customFormat="false" ht="34.5" hidden="false" customHeight="true" outlineLevel="0" collapsed="false">
      <c r="A104" s="51" t="s">
        <v>94</v>
      </c>
      <c r="B104" s="51"/>
      <c r="C104" s="51"/>
      <c r="D104" s="51"/>
      <c r="E104" s="51"/>
      <c r="F104" s="51"/>
      <c r="G104" s="51"/>
    </row>
    <row r="105" customFormat="false" ht="34.5" hidden="false" customHeight="true" outlineLevel="0" collapsed="false">
      <c r="A105" s="51"/>
      <c r="B105" s="51"/>
      <c r="C105" s="51"/>
      <c r="D105" s="51"/>
      <c r="E105" s="51"/>
      <c r="F105" s="51"/>
      <c r="G105" s="51"/>
    </row>
    <row r="106" customFormat="false" ht="34.5" hidden="false" customHeight="true" outlineLevel="0" collapsed="false">
      <c r="A106" s="51"/>
      <c r="B106" s="51"/>
      <c r="C106" s="51"/>
      <c r="D106" s="51"/>
      <c r="E106" s="51"/>
      <c r="F106" s="51"/>
      <c r="G106" s="51"/>
    </row>
    <row r="107" customFormat="false" ht="34.5" hidden="false" customHeight="true" outlineLevel="0" collapsed="false">
      <c r="A107" s="51"/>
      <c r="B107" s="51"/>
      <c r="C107" s="51"/>
      <c r="D107" s="51"/>
      <c r="E107" s="51"/>
      <c r="F107" s="51"/>
      <c r="G107" s="51"/>
    </row>
    <row r="108" customFormat="false" ht="34.5" hidden="false" customHeight="true" outlineLevel="0" collapsed="false">
      <c r="A108" s="51"/>
      <c r="B108" s="51"/>
      <c r="C108" s="51"/>
      <c r="D108" s="51"/>
      <c r="E108" s="51"/>
      <c r="F108" s="51"/>
      <c r="G108" s="51"/>
    </row>
    <row r="109" customFormat="false" ht="34.5" hidden="false" customHeight="true" outlineLevel="0" collapsed="false">
      <c r="A109" s="51"/>
      <c r="B109" s="51"/>
      <c r="C109" s="51"/>
      <c r="D109" s="51"/>
      <c r="E109" s="51"/>
      <c r="F109" s="51"/>
      <c r="G109" s="51"/>
    </row>
    <row r="110" customFormat="false" ht="12" hidden="false" customHeight="true" outlineLevel="0" collapsed="false">
      <c r="A110" s="52" t="s">
        <v>95</v>
      </c>
      <c r="B110" s="52"/>
      <c r="C110" s="52"/>
      <c r="D110" s="52"/>
      <c r="E110" s="52"/>
      <c r="F110" s="52"/>
      <c r="G110" s="52"/>
    </row>
    <row r="111" customFormat="false" ht="12" hidden="false" customHeight="true" outlineLevel="0" collapsed="false">
      <c r="A111" s="52"/>
      <c r="B111" s="52"/>
      <c r="C111" s="52"/>
      <c r="D111" s="52"/>
      <c r="E111" s="52"/>
      <c r="F111" s="52"/>
      <c r="G111" s="52"/>
    </row>
    <row r="112" customFormat="false" ht="12" hidden="false" customHeight="true" outlineLevel="0" collapsed="false">
      <c r="A112" s="52"/>
      <c r="B112" s="52"/>
      <c r="C112" s="52"/>
      <c r="D112" s="52"/>
      <c r="E112" s="52"/>
      <c r="F112" s="52"/>
      <c r="G112" s="52"/>
    </row>
    <row r="113" customFormat="false" ht="12" hidden="false" customHeight="true" outlineLevel="0" collapsed="false">
      <c r="A113" s="52"/>
      <c r="B113" s="52"/>
      <c r="C113" s="52"/>
      <c r="D113" s="52"/>
      <c r="E113" s="52"/>
      <c r="F113" s="52"/>
      <c r="G113" s="52"/>
    </row>
    <row r="114" customFormat="false" ht="12" hidden="false" customHeight="true" outlineLevel="0" collapsed="false">
      <c r="A114" s="52"/>
      <c r="B114" s="52"/>
      <c r="C114" s="52"/>
      <c r="D114" s="52"/>
      <c r="E114" s="52"/>
      <c r="F114" s="52"/>
      <c r="G114" s="52"/>
    </row>
    <row r="115" customFormat="false" ht="12" hidden="false" customHeight="true" outlineLevel="0" collapsed="false">
      <c r="A115" s="52"/>
      <c r="B115" s="52"/>
      <c r="C115" s="52"/>
      <c r="D115" s="52"/>
      <c r="E115" s="52"/>
      <c r="F115" s="52"/>
      <c r="G115" s="52"/>
    </row>
    <row r="116" customFormat="false" ht="12" hidden="false" customHeight="true" outlineLevel="0" collapsed="false">
      <c r="A116" s="52"/>
      <c r="B116" s="52"/>
      <c r="C116" s="52"/>
      <c r="D116" s="52"/>
      <c r="E116" s="52"/>
      <c r="F116" s="52"/>
      <c r="G116" s="52"/>
    </row>
    <row r="117" customFormat="false" ht="12" hidden="false" customHeight="true" outlineLevel="0" collapsed="false">
      <c r="A117" s="52"/>
      <c r="B117" s="52"/>
      <c r="C117" s="52"/>
      <c r="D117" s="52"/>
      <c r="E117" s="52"/>
      <c r="F117" s="52"/>
      <c r="G117" s="52"/>
    </row>
    <row r="118" customFormat="false" ht="12" hidden="false" customHeight="true" outlineLevel="0" collapsed="false">
      <c r="A118" s="52"/>
      <c r="B118" s="52"/>
      <c r="C118" s="52"/>
      <c r="D118" s="52"/>
      <c r="E118" s="52"/>
      <c r="F118" s="52"/>
      <c r="G118" s="52"/>
    </row>
    <row r="119" customFormat="false" ht="12" hidden="false" customHeight="true" outlineLevel="0" collapsed="false">
      <c r="A119" s="52"/>
      <c r="B119" s="52"/>
      <c r="C119" s="52"/>
      <c r="D119" s="52"/>
      <c r="E119" s="52"/>
      <c r="F119" s="52"/>
      <c r="G119" s="52"/>
    </row>
    <row r="120" customFormat="false" ht="12.75" hidden="false" customHeight="true" outlineLevel="0" collapsed="false">
      <c r="A120" s="6" t="s">
        <v>96</v>
      </c>
      <c r="B120" s="6"/>
      <c r="C120" s="6"/>
      <c r="D120" s="6"/>
      <c r="E120" s="6"/>
      <c r="F120" s="6"/>
      <c r="G120" s="6"/>
    </row>
    <row r="121" customFormat="false" ht="12" hidden="false" customHeight="true" outlineLevel="0" collapsed="false">
      <c r="A121" s="50" t="s">
        <v>97</v>
      </c>
      <c r="B121" s="50"/>
      <c r="C121" s="50"/>
      <c r="D121" s="50"/>
      <c r="E121" s="50"/>
      <c r="F121" s="50"/>
      <c r="G121" s="50"/>
    </row>
    <row r="122" customFormat="false" ht="12" hidden="false" customHeight="true" outlineLevel="0" collapsed="false">
      <c r="A122" s="53"/>
      <c r="B122" s="54"/>
      <c r="C122" s="54"/>
      <c r="D122" s="54"/>
      <c r="E122" s="54"/>
      <c r="F122" s="54"/>
      <c r="G122" s="55"/>
    </row>
    <row r="123" customFormat="false" ht="12.75" hidden="false" customHeight="true" outlineLevel="0" collapsed="false">
      <c r="A123" s="56" t="s">
        <v>98</v>
      </c>
      <c r="B123" s="56" t="s">
        <v>99</v>
      </c>
      <c r="C123" s="54"/>
      <c r="D123" s="54"/>
      <c r="E123" s="54"/>
      <c r="F123" s="54"/>
      <c r="G123" s="55"/>
    </row>
    <row r="124" customFormat="false" ht="12" hidden="false" customHeight="true" outlineLevel="0" collapsed="false">
      <c r="A124" s="57" t="s">
        <v>100</v>
      </c>
      <c r="B124" s="58" t="n">
        <v>1</v>
      </c>
      <c r="C124" s="54"/>
      <c r="D124" s="54"/>
      <c r="E124" s="54"/>
      <c r="F124" s="54"/>
      <c r="G124" s="55"/>
    </row>
    <row r="125" customFormat="false" ht="12" hidden="false" customHeight="true" outlineLevel="0" collapsed="false">
      <c r="A125" s="57" t="s">
        <v>101</v>
      </c>
      <c r="B125" s="58" t="s">
        <v>102</v>
      </c>
      <c r="C125" s="54"/>
      <c r="D125" s="54"/>
      <c r="E125" s="54"/>
      <c r="F125" s="54"/>
      <c r="G125" s="55"/>
    </row>
    <row r="126" customFormat="false" ht="12" hidden="false" customHeight="true" outlineLevel="0" collapsed="false">
      <c r="A126" s="57" t="s">
        <v>103</v>
      </c>
      <c r="B126" s="58" t="s">
        <v>102</v>
      </c>
      <c r="C126" s="54"/>
      <c r="D126" s="54"/>
      <c r="E126" s="54"/>
      <c r="F126" s="54"/>
      <c r="G126" s="55"/>
    </row>
    <row r="127" customFormat="false" ht="12" hidden="false" customHeight="true" outlineLevel="0" collapsed="false">
      <c r="A127" s="57" t="s">
        <v>104</v>
      </c>
      <c r="B127" s="58" t="s">
        <v>102</v>
      </c>
      <c r="C127" s="54"/>
      <c r="D127" s="54"/>
      <c r="E127" s="54"/>
      <c r="F127" s="54"/>
      <c r="G127" s="55"/>
    </row>
    <row r="128" customFormat="false" ht="12" hidden="false" customHeight="true" outlineLevel="0" collapsed="false">
      <c r="A128" s="57" t="s">
        <v>105</v>
      </c>
      <c r="B128" s="58" t="s">
        <v>102</v>
      </c>
      <c r="C128" s="54"/>
      <c r="D128" s="54"/>
      <c r="E128" s="54"/>
      <c r="F128" s="54"/>
      <c r="G128" s="55"/>
    </row>
    <row r="129" customFormat="false" ht="12" hidden="false" customHeight="true" outlineLevel="0" collapsed="false">
      <c r="A129" s="59"/>
      <c r="B129" s="60"/>
      <c r="C129" s="60"/>
      <c r="D129" s="60"/>
      <c r="E129" s="60"/>
      <c r="F129" s="60"/>
      <c r="G129" s="61"/>
    </row>
    <row r="130" customFormat="false" ht="12.75" hidden="false" customHeight="true" outlineLevel="0" collapsed="false">
      <c r="A130" s="6" t="s">
        <v>106</v>
      </c>
      <c r="B130" s="6"/>
      <c r="C130" s="6"/>
      <c r="D130" s="6"/>
      <c r="E130" s="6"/>
      <c r="F130" s="6"/>
      <c r="G130" s="6"/>
    </row>
    <row r="131" customFormat="false" ht="12.75" hidden="false" customHeight="true" outlineLevel="0" collapsed="false">
      <c r="A131" s="62" t="s">
        <v>107</v>
      </c>
      <c r="B131" s="62"/>
      <c r="C131" s="62"/>
      <c r="D131" s="62" t="s">
        <v>108</v>
      </c>
      <c r="E131" s="62"/>
      <c r="F131" s="62"/>
      <c r="G131" s="62"/>
    </row>
    <row r="132" customFormat="false" ht="29.25" hidden="false" customHeight="true" outlineLevel="0" collapsed="false">
      <c r="A132" s="63" t="s">
        <v>109</v>
      </c>
      <c r="B132" s="63"/>
      <c r="C132" s="63"/>
      <c r="D132" s="64" t="s">
        <v>110</v>
      </c>
      <c r="E132" s="64"/>
      <c r="F132" s="64"/>
      <c r="G132" s="64"/>
    </row>
    <row r="133" customFormat="false" ht="81" hidden="false" customHeight="true" outlineLevel="0" collapsed="false">
      <c r="A133" s="63" t="s">
        <v>111</v>
      </c>
      <c r="B133" s="63"/>
      <c r="C133" s="63"/>
      <c r="D133" s="64" t="s">
        <v>112</v>
      </c>
      <c r="E133" s="64"/>
      <c r="F133" s="64"/>
      <c r="G133" s="64"/>
    </row>
    <row r="134" customFormat="false" ht="41.25" hidden="false" customHeight="true" outlineLevel="0" collapsed="false">
      <c r="A134" s="63" t="s">
        <v>113</v>
      </c>
      <c r="B134" s="63"/>
      <c r="C134" s="63"/>
      <c r="D134" s="64" t="s">
        <v>114</v>
      </c>
      <c r="E134" s="64"/>
      <c r="F134" s="64"/>
      <c r="G134" s="64"/>
    </row>
    <row r="135" customFormat="false" ht="41.25" hidden="false" customHeight="true" outlineLevel="0" collapsed="false">
      <c r="A135" s="63" t="s">
        <v>115</v>
      </c>
      <c r="B135" s="63"/>
      <c r="C135" s="63"/>
      <c r="D135" s="64" t="s">
        <v>116</v>
      </c>
      <c r="E135" s="64"/>
      <c r="F135" s="64"/>
      <c r="G135" s="64"/>
    </row>
    <row r="136" customFormat="false" ht="48.75" hidden="false" customHeight="true" outlineLevel="0" collapsed="false">
      <c r="A136" s="63" t="s">
        <v>117</v>
      </c>
      <c r="B136" s="63"/>
      <c r="C136" s="63"/>
      <c r="D136" s="64" t="s">
        <v>118</v>
      </c>
      <c r="E136" s="64"/>
      <c r="F136" s="64"/>
      <c r="G136" s="64"/>
    </row>
    <row r="137" customFormat="false" ht="54" hidden="false" customHeight="true" outlineLevel="0" collapsed="false">
      <c r="A137" s="63" t="s">
        <v>119</v>
      </c>
      <c r="B137" s="63"/>
      <c r="C137" s="63"/>
      <c r="D137" s="65" t="s">
        <v>120</v>
      </c>
      <c r="E137" s="65"/>
      <c r="F137" s="65"/>
      <c r="G137" s="65"/>
    </row>
    <row r="138" customFormat="false" ht="12.75" hidden="false" customHeight="true" outlineLevel="0" collapsed="false">
      <c r="A138" s="6" t="s">
        <v>121</v>
      </c>
      <c r="B138" s="6"/>
      <c r="C138" s="6"/>
      <c r="D138" s="6"/>
      <c r="E138" s="6"/>
      <c r="F138" s="6"/>
      <c r="G138" s="6"/>
    </row>
    <row r="139" customFormat="false" ht="12.75" hidden="false" customHeight="true" outlineLevel="0" collapsed="false">
      <c r="A139" s="66" t="s">
        <v>122</v>
      </c>
      <c r="B139" s="66"/>
      <c r="C139" s="66"/>
      <c r="D139" s="66"/>
      <c r="E139" s="66"/>
      <c r="F139" s="66"/>
      <c r="G139" s="66"/>
    </row>
    <row r="140" customFormat="false" ht="12" hidden="false" customHeight="true" outlineLevel="0" collapsed="false">
      <c r="A140" s="67" t="s">
        <v>123</v>
      </c>
      <c r="B140" s="67"/>
      <c r="C140" s="67"/>
      <c r="D140" s="67"/>
      <c r="E140" s="67"/>
      <c r="F140" s="67"/>
      <c r="G140" s="67"/>
    </row>
    <row r="141" customFormat="false" ht="12" hidden="false" customHeight="true" outlineLevel="0" collapsed="false">
      <c r="A141" s="67" t="s">
        <v>124</v>
      </c>
      <c r="B141" s="67"/>
      <c r="C141" s="67"/>
      <c r="D141" s="67"/>
      <c r="E141" s="67"/>
      <c r="F141" s="67"/>
      <c r="G141" s="67"/>
    </row>
    <row r="142" customFormat="false" ht="12" hidden="false" customHeight="true" outlineLevel="0" collapsed="false">
      <c r="A142" s="19" t="s">
        <v>125</v>
      </c>
      <c r="B142" s="19"/>
      <c r="C142" s="19"/>
      <c r="D142" s="19"/>
      <c r="E142" s="19"/>
      <c r="F142" s="19"/>
      <c r="G142" s="19"/>
    </row>
    <row r="143" customFormat="false" ht="12" hidden="false" customHeight="true" outlineLevel="0" collapsed="false">
      <c r="A143" s="19" t="s">
        <v>126</v>
      </c>
      <c r="B143" s="19"/>
      <c r="C143" s="19"/>
      <c r="D143" s="19"/>
      <c r="E143" s="19"/>
      <c r="F143" s="19"/>
      <c r="G143" s="19"/>
    </row>
    <row r="144" customFormat="false" ht="12" hidden="false" customHeight="true" outlineLevel="0" collapsed="false">
      <c r="A144" s="67" t="s">
        <v>127</v>
      </c>
      <c r="B144" s="67"/>
      <c r="C144" s="67"/>
      <c r="D144" s="67"/>
      <c r="E144" s="67"/>
      <c r="F144" s="67"/>
      <c r="G144" s="67"/>
    </row>
    <row r="145" customFormat="false" ht="12" hidden="false" customHeight="true" outlineLevel="0" collapsed="false">
      <c r="A145" s="68"/>
      <c r="B145" s="69"/>
      <c r="C145" s="69"/>
      <c r="D145" s="69"/>
      <c r="E145" s="69"/>
      <c r="F145" s="69"/>
      <c r="G145" s="70"/>
    </row>
    <row r="146" s="72" customFormat="true" ht="15" hidden="false" customHeight="true" outlineLevel="0" collapsed="false">
      <c r="A146" s="71" t="s">
        <v>128</v>
      </c>
      <c r="B146" s="71"/>
      <c r="C146" s="71"/>
      <c r="D146" s="71"/>
      <c r="E146" s="71"/>
      <c r="F146" s="71"/>
      <c r="G146" s="71"/>
    </row>
    <row r="147" s="72" customFormat="true" ht="15" hidden="false" customHeight="true" outlineLevel="0" collapsed="false">
      <c r="A147" s="73" t="s">
        <v>129</v>
      </c>
      <c r="B147" s="73"/>
      <c r="C147" s="73"/>
      <c r="D147" s="73"/>
      <c r="E147" s="73"/>
      <c r="F147" s="73"/>
      <c r="G147" s="73"/>
    </row>
    <row r="148" s="72" customFormat="true" ht="30" hidden="false" customHeight="true" outlineLevel="0" collapsed="false">
      <c r="A148" s="73" t="s">
        <v>130</v>
      </c>
      <c r="B148" s="73"/>
      <c r="C148" s="73"/>
      <c r="D148" s="73"/>
      <c r="E148" s="73"/>
      <c r="F148" s="73"/>
      <c r="G148" s="73"/>
    </row>
    <row r="149" s="72" customFormat="true" ht="12" hidden="false" customHeight="true" outlineLevel="0" collapsed="false">
      <c r="A149" s="73" t="s">
        <v>131</v>
      </c>
      <c r="B149" s="73"/>
      <c r="C149" s="73"/>
      <c r="D149" s="73"/>
      <c r="E149" s="73"/>
      <c r="F149" s="73"/>
      <c r="G149" s="73"/>
    </row>
    <row r="150" s="72" customFormat="true" ht="12" hidden="false" customHeight="true" outlineLevel="0" collapsed="false">
      <c r="A150" s="73" t="s">
        <v>132</v>
      </c>
      <c r="B150" s="73"/>
      <c r="C150" s="73"/>
      <c r="D150" s="73"/>
      <c r="E150" s="73"/>
      <c r="F150" s="73"/>
      <c r="G150" s="73"/>
    </row>
    <row r="151" s="72" customFormat="true" ht="12" hidden="false" customHeight="true" outlineLevel="0" collapsed="false">
      <c r="A151" s="73" t="s">
        <v>133</v>
      </c>
      <c r="B151" s="73"/>
      <c r="C151" s="73"/>
      <c r="D151" s="73"/>
      <c r="E151" s="73"/>
      <c r="F151" s="73"/>
      <c r="G151" s="73"/>
    </row>
    <row r="152" s="72" customFormat="true" ht="12" hidden="false" customHeight="true" outlineLevel="0" collapsed="false">
      <c r="A152" s="74" t="s">
        <v>134</v>
      </c>
      <c r="B152" s="74"/>
      <c r="C152" s="74"/>
      <c r="D152" s="74"/>
      <c r="E152" s="74"/>
      <c r="F152" s="74"/>
      <c r="G152" s="74"/>
    </row>
    <row r="153" s="72" customFormat="true" ht="24" hidden="false" customHeight="true" outlineLevel="0" collapsed="false">
      <c r="A153" s="75" t="s">
        <v>135</v>
      </c>
      <c r="B153" s="75"/>
      <c r="C153" s="75"/>
      <c r="D153" s="75"/>
      <c r="E153" s="75"/>
      <c r="F153" s="75"/>
      <c r="G153" s="75"/>
    </row>
    <row r="154" s="72" customFormat="true" ht="15.75" hidden="false" customHeight="true" outlineLevel="0" collapsed="false">
      <c r="A154" s="74" t="s">
        <v>136</v>
      </c>
      <c r="B154" s="74"/>
      <c r="C154" s="74"/>
      <c r="D154" s="74"/>
      <c r="E154" s="74"/>
      <c r="F154" s="74"/>
      <c r="G154" s="74"/>
    </row>
    <row r="155" s="72" customFormat="true" ht="15.75" hidden="false" customHeight="true" outlineLevel="0" collapsed="false">
      <c r="A155" s="74" t="s">
        <v>137</v>
      </c>
      <c r="B155" s="74"/>
      <c r="C155" s="74"/>
      <c r="D155" s="74"/>
      <c r="E155" s="74"/>
      <c r="F155" s="74"/>
      <c r="G155" s="74"/>
    </row>
    <row r="156" s="72" customFormat="true" ht="15.75" hidden="false" customHeight="true" outlineLevel="0" collapsed="false">
      <c r="A156" s="19" t="s">
        <v>138</v>
      </c>
      <c r="B156" s="19"/>
      <c r="C156" s="19"/>
      <c r="D156" s="19"/>
      <c r="E156" s="19"/>
      <c r="F156" s="19"/>
      <c r="G156" s="19"/>
    </row>
    <row r="157" s="72" customFormat="true" ht="15.75" hidden="false" customHeight="true" outlineLevel="0" collapsed="false">
      <c r="A157" s="74" t="s">
        <v>139</v>
      </c>
      <c r="B157" s="74"/>
      <c r="C157" s="74"/>
      <c r="D157" s="74"/>
      <c r="E157" s="74"/>
      <c r="F157" s="74"/>
      <c r="G157" s="74"/>
    </row>
    <row r="158" s="72" customFormat="true" ht="15.75" hidden="false" customHeight="true" outlineLevel="0" collapsed="false">
      <c r="A158" s="43"/>
      <c r="B158" s="43"/>
      <c r="C158" s="43"/>
      <c r="D158" s="43"/>
      <c r="E158" s="43"/>
      <c r="F158" s="43"/>
      <c r="G158" s="43"/>
    </row>
    <row r="159" s="72" customFormat="true" ht="15.75" hidden="false" customHeight="true" outlineLevel="0" collapsed="false">
      <c r="A159" s="6" t="s">
        <v>140</v>
      </c>
      <c r="B159" s="6"/>
      <c r="C159" s="6"/>
      <c r="D159" s="6"/>
      <c r="E159" s="6"/>
      <c r="F159" s="6"/>
      <c r="G159" s="6"/>
    </row>
    <row r="160" s="72" customFormat="true" ht="30" hidden="false" customHeight="true" outlineLevel="0" collapsed="false">
      <c r="A160" s="76" t="s">
        <v>141</v>
      </c>
      <c r="B160" s="76"/>
      <c r="C160" s="76"/>
      <c r="D160" s="76"/>
      <c r="E160" s="76"/>
      <c r="F160" s="76"/>
      <c r="G160" s="76"/>
    </row>
    <row r="161" s="72" customFormat="true" ht="30" hidden="false" customHeight="true" outlineLevel="0" collapsed="false">
      <c r="A161" s="76"/>
      <c r="B161" s="76"/>
      <c r="C161" s="76"/>
      <c r="D161" s="76"/>
      <c r="E161" s="76"/>
      <c r="F161" s="76"/>
      <c r="G161" s="76"/>
    </row>
    <row r="162" s="72" customFormat="true" ht="30" hidden="false" customHeight="true" outlineLevel="0" collapsed="false">
      <c r="A162" s="76"/>
      <c r="B162" s="76"/>
      <c r="C162" s="76"/>
      <c r="D162" s="76"/>
      <c r="E162" s="76"/>
      <c r="F162" s="76"/>
      <c r="G162" s="76"/>
    </row>
    <row r="163" s="72" customFormat="true" ht="30" hidden="false" customHeight="true" outlineLevel="0" collapsed="false">
      <c r="A163" s="76"/>
      <c r="B163" s="76"/>
      <c r="C163" s="76"/>
      <c r="D163" s="76"/>
      <c r="E163" s="76"/>
      <c r="F163" s="76"/>
      <c r="G163" s="76"/>
    </row>
    <row r="164" s="72" customFormat="true" ht="30" hidden="false" customHeight="true" outlineLevel="0" collapsed="false">
      <c r="A164" s="76"/>
      <c r="B164" s="76"/>
      <c r="C164" s="76"/>
      <c r="D164" s="76"/>
      <c r="E164" s="76"/>
      <c r="F164" s="76"/>
      <c r="G164" s="76"/>
    </row>
    <row r="165" s="72" customFormat="true" ht="16.5" hidden="false" customHeight="true" outlineLevel="0" collapsed="false">
      <c r="A165" s="76"/>
      <c r="B165" s="76"/>
      <c r="C165" s="76"/>
      <c r="D165" s="76"/>
      <c r="E165" s="76"/>
      <c r="F165" s="76"/>
      <c r="G165" s="76"/>
    </row>
    <row r="166" customFormat="false" ht="12" hidden="false" customHeight="true" outlineLevel="0" collapsed="false">
      <c r="H166" s="72"/>
      <c r="I166" s="72"/>
      <c r="J166" s="72"/>
      <c r="K166" s="72"/>
      <c r="L166" s="72"/>
      <c r="M166" s="72"/>
    </row>
    <row r="167" customFormat="false" ht="12" hidden="false" customHeight="true" outlineLevel="0" collapsed="false">
      <c r="A167" s="77" t="s">
        <v>142</v>
      </c>
      <c r="B167" s="77"/>
      <c r="C167" s="77"/>
      <c r="D167" s="77"/>
      <c r="E167" s="77"/>
      <c r="F167" s="77"/>
      <c r="G167" s="77"/>
      <c r="H167" s="72"/>
      <c r="I167" s="72"/>
      <c r="J167" s="72"/>
      <c r="K167" s="72"/>
      <c r="L167" s="72"/>
      <c r="M167" s="72"/>
    </row>
    <row r="168" customFormat="false" ht="12" hidden="false" customHeight="true" outlineLevel="0" collapsed="false">
      <c r="A168" s="77"/>
      <c r="B168" s="77"/>
      <c r="C168" s="77"/>
      <c r="D168" s="77"/>
      <c r="E168" s="77"/>
      <c r="F168" s="77"/>
      <c r="G168" s="77"/>
      <c r="H168" s="72"/>
      <c r="I168" s="72"/>
      <c r="J168" s="72"/>
      <c r="K168" s="72"/>
      <c r="L168" s="72"/>
      <c r="M168" s="72"/>
    </row>
    <row r="169" customFormat="false" ht="12" hidden="false" customHeight="true" outlineLevel="0" collapsed="false">
      <c r="A169" s="77"/>
      <c r="B169" s="77"/>
      <c r="C169" s="77"/>
      <c r="D169" s="77"/>
      <c r="E169" s="77"/>
      <c r="F169" s="77"/>
      <c r="G169" s="77"/>
      <c r="H169" s="72"/>
      <c r="I169" s="72"/>
      <c r="J169" s="72"/>
      <c r="K169" s="72"/>
      <c r="L169" s="72"/>
      <c r="M169" s="72"/>
    </row>
    <row r="170" customFormat="false" ht="12" hidden="false" customHeight="true" outlineLevel="0" collapsed="false">
      <c r="A170" s="77"/>
      <c r="B170" s="77"/>
      <c r="C170" s="77"/>
      <c r="D170" s="77"/>
      <c r="E170" s="77"/>
      <c r="F170" s="77"/>
      <c r="G170" s="77"/>
      <c r="H170" s="72"/>
      <c r="I170" s="72"/>
      <c r="J170" s="72"/>
      <c r="K170" s="72"/>
      <c r="L170" s="72"/>
      <c r="M170" s="72"/>
    </row>
    <row r="171" customFormat="false" ht="12" hidden="false" customHeight="true" outlineLevel="0" collapsed="false">
      <c r="H171" s="72"/>
      <c r="I171" s="72"/>
      <c r="J171" s="72"/>
      <c r="K171" s="72"/>
      <c r="L171" s="72"/>
      <c r="M171" s="72"/>
    </row>
    <row r="172" customFormat="false" ht="12" hidden="false" customHeight="true" outlineLevel="0" collapsed="false">
      <c r="H172" s="72"/>
      <c r="I172" s="72"/>
      <c r="J172" s="72"/>
      <c r="K172" s="72"/>
      <c r="L172" s="72"/>
      <c r="M172" s="72"/>
    </row>
    <row r="173" customFormat="false" ht="12" hidden="false" customHeight="true" outlineLevel="0" collapsed="false"/>
    <row r="174" customFormat="false" ht="12" hidden="false" customHeight="true" outlineLevel="0" collapsed="false"/>
    <row r="175" customFormat="false" ht="12" hidden="false" customHeight="true" outlineLevel="0" collapsed="false"/>
    <row r="176" customFormat="false" ht="12" hidden="false" customHeight="true" outlineLevel="0" collapsed="false"/>
    <row r="177" customFormat="false" ht="12" hidden="false" customHeight="true" outlineLevel="0" collapsed="false"/>
    <row r="178" customFormat="false" ht="12" hidden="false" customHeight="true" outlineLevel="0" collapsed="false"/>
    <row r="179" customFormat="false" ht="12" hidden="false" customHeight="true" outlineLevel="0" collapsed="false"/>
    <row r="180" customFormat="false" ht="12" hidden="false" customHeight="true" outlineLevel="0" collapsed="false"/>
    <row r="181" customFormat="false" ht="12" hidden="false" customHeight="true" outlineLevel="0" collapsed="false"/>
    <row r="182" customFormat="false" ht="12" hidden="false" customHeight="true" outlineLevel="0" collapsed="false"/>
    <row r="183" customFormat="false" ht="12" hidden="false" customHeight="true" outlineLevel="0" collapsed="false"/>
    <row r="184" customFormat="false" ht="12" hidden="false" customHeight="true" outlineLevel="0" collapsed="false"/>
    <row r="185" customFormat="false" ht="12" hidden="false" customHeight="true" outlineLevel="0" collapsed="false"/>
    <row r="186" customFormat="false" ht="12.75" hidden="false" customHeight="true" outlineLevel="0" collapsed="false"/>
    <row r="187" customFormat="false" ht="25.5" hidden="false" customHeight="true" outlineLevel="0" collapsed="false"/>
    <row r="188" customFormat="false" ht="12.75" hidden="false" customHeight="true" outlineLevel="0" collapsed="false"/>
    <row r="189" customFormat="false" ht="12.75" hidden="false" customHeight="true" outlineLevel="0" collapsed="false"/>
    <row r="190" customFormat="false" ht="30"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27" hidden="false" customHeight="true" outlineLevel="0" collapsed="false"/>
    <row r="195" customFormat="false" ht="39" hidden="false" customHeight="true" outlineLevel="0" collapsed="false"/>
    <row r="196" customFormat="false" ht="12.75" hidden="false" customHeight="true" outlineLevel="0" collapsed="false"/>
    <row r="197" customFormat="false" ht="24.75" hidden="false" customHeight="true" outlineLevel="0" collapsed="false"/>
    <row r="198" customFormat="false" ht="12" hidden="false" customHeight="true" outlineLevel="0" collapsed="false"/>
    <row r="199" customFormat="false" ht="12" hidden="false" customHeight="true" outlineLevel="0" collapsed="false"/>
    <row r="200" customFormat="false" ht="12" hidden="false" customHeight="true" outlineLevel="0" collapsed="false"/>
    <row r="201" customFormat="false" ht="12" hidden="false" customHeight="true" outlineLevel="0" collapsed="false"/>
    <row r="202" customFormat="false" ht="12" hidden="false" customHeight="true" outlineLevel="0" collapsed="false"/>
    <row r="203" customFormat="false" ht="12" hidden="false" customHeight="true" outlineLevel="0" collapsed="false"/>
    <row r="204" customFormat="false" ht="12" hidden="false" customHeight="true" outlineLevel="0" collapsed="false"/>
    <row r="205" customFormat="false" ht="12" hidden="false" customHeight="true" outlineLevel="0" collapsed="false"/>
    <row r="206" customFormat="false" ht="12" hidden="false" customHeight="true" outlineLevel="0" collapsed="false"/>
    <row r="207" customFormat="false" ht="12" hidden="false" customHeight="true" outlineLevel="0" collapsed="false"/>
    <row r="208" customFormat="false" ht="12" hidden="false" customHeight="true" outlineLevel="0" collapsed="false"/>
    <row r="209" customFormat="false" ht="12" hidden="false" customHeight="true" outlineLevel="0" collapsed="false"/>
    <row r="210" customFormat="false" ht="12" hidden="false" customHeight="true" outlineLevel="0" collapsed="false"/>
    <row r="211" customFormat="false" ht="12" hidden="false" customHeight="true" outlineLevel="0" collapsed="false"/>
    <row r="212" customFormat="false" ht="12" hidden="false" customHeight="true" outlineLevel="0" collapsed="false"/>
    <row r="213" customFormat="false" ht="12" hidden="false" customHeight="true" outlineLevel="0" collapsed="false"/>
    <row r="214" customFormat="false" ht="12" hidden="false" customHeight="true" outlineLevel="0" collapsed="false"/>
    <row r="215" customFormat="false" ht="12" hidden="false" customHeight="true" outlineLevel="0" collapsed="false"/>
    <row r="216" customFormat="false" ht="12" hidden="false" customHeight="true" outlineLevel="0" collapsed="false"/>
    <row r="217" customFormat="false" ht="12" hidden="false" customHeight="true" outlineLevel="0" collapsed="false"/>
    <row r="218" customFormat="false" ht="12" hidden="false" customHeight="true" outlineLevel="0" collapsed="false"/>
    <row r="219" customFormat="false" ht="12" hidden="false" customHeight="true" outlineLevel="0" collapsed="false"/>
    <row r="220" customFormat="false" ht="12" hidden="false" customHeight="true" outlineLevel="0" collapsed="false"/>
    <row r="221" customFormat="false" ht="12" hidden="false" customHeight="true" outlineLevel="0" collapsed="false"/>
    <row r="222" customFormat="false" ht="12" hidden="false" customHeight="true" outlineLevel="0" collapsed="false"/>
  </sheetData>
  <mergeCells count="107">
    <mergeCell ref="B1:F1"/>
    <mergeCell ref="A3:G3"/>
    <mergeCell ref="B4:G4"/>
    <mergeCell ref="B5:G5"/>
    <mergeCell ref="B6:G6"/>
    <mergeCell ref="B7:G7"/>
    <mergeCell ref="B8:G8"/>
    <mergeCell ref="B9:G9"/>
    <mergeCell ref="A11:G11"/>
    <mergeCell ref="B12:G12"/>
    <mergeCell ref="B13:G13"/>
    <mergeCell ref="A15:G15"/>
    <mergeCell ref="A16:G16"/>
    <mergeCell ref="A17:G19"/>
    <mergeCell ref="A20:G20"/>
    <mergeCell ref="A21:G21"/>
    <mergeCell ref="A22:G24"/>
    <mergeCell ref="A25:G30"/>
    <mergeCell ref="A31:G35"/>
    <mergeCell ref="A36:G36"/>
    <mergeCell ref="B37:G37"/>
    <mergeCell ref="B38:G38"/>
    <mergeCell ref="B39:G39"/>
    <mergeCell ref="B40:G40"/>
    <mergeCell ref="B41:G41"/>
    <mergeCell ref="B42:G42"/>
    <mergeCell ref="B43:G43"/>
    <mergeCell ref="B44:G44"/>
    <mergeCell ref="B45:G45"/>
    <mergeCell ref="B46:G46"/>
    <mergeCell ref="B47:G47"/>
    <mergeCell ref="B48:G48"/>
    <mergeCell ref="A49:G51"/>
    <mergeCell ref="A52:G52"/>
    <mergeCell ref="A53:G63"/>
    <mergeCell ref="A64:G64"/>
    <mergeCell ref="A65:G80"/>
    <mergeCell ref="A81:G81"/>
    <mergeCell ref="B82:C82"/>
    <mergeCell ref="D82:F82"/>
    <mergeCell ref="B83:C83"/>
    <mergeCell ref="D83:F84"/>
    <mergeCell ref="G83:G84"/>
    <mergeCell ref="B84:C84"/>
    <mergeCell ref="B85:C85"/>
    <mergeCell ref="D85:F85"/>
    <mergeCell ref="A86:G86"/>
    <mergeCell ref="A87:G87"/>
    <mergeCell ref="B88:C88"/>
    <mergeCell ref="D88:E88"/>
    <mergeCell ref="B89:C89"/>
    <mergeCell ref="D89:E89"/>
    <mergeCell ref="B90:C90"/>
    <mergeCell ref="D90:E90"/>
    <mergeCell ref="B91:C91"/>
    <mergeCell ref="D91:E91"/>
    <mergeCell ref="B92:C92"/>
    <mergeCell ref="D92:E92"/>
    <mergeCell ref="B93:C93"/>
    <mergeCell ref="D93:E93"/>
    <mergeCell ref="B94:C94"/>
    <mergeCell ref="D94:E94"/>
    <mergeCell ref="D95:E95"/>
    <mergeCell ref="A96:G96"/>
    <mergeCell ref="A97:G103"/>
    <mergeCell ref="A104:G109"/>
    <mergeCell ref="A110:G119"/>
    <mergeCell ref="A120:G120"/>
    <mergeCell ref="A121:G121"/>
    <mergeCell ref="A130:G130"/>
    <mergeCell ref="A131:C131"/>
    <mergeCell ref="D131:G131"/>
    <mergeCell ref="A132:C132"/>
    <mergeCell ref="D132:G132"/>
    <mergeCell ref="A133:C133"/>
    <mergeCell ref="D133:G133"/>
    <mergeCell ref="A134:C134"/>
    <mergeCell ref="D134:G134"/>
    <mergeCell ref="A135:C135"/>
    <mergeCell ref="D135:G135"/>
    <mergeCell ref="A136:C136"/>
    <mergeCell ref="D136:G136"/>
    <mergeCell ref="A137:C137"/>
    <mergeCell ref="D137:G137"/>
    <mergeCell ref="A138:G138"/>
    <mergeCell ref="A139:G139"/>
    <mergeCell ref="A140:G140"/>
    <mergeCell ref="A141:G141"/>
    <mergeCell ref="A142:G142"/>
    <mergeCell ref="A143:G143"/>
    <mergeCell ref="A144:G144"/>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5"/>
    <mergeCell ref="A167:G170"/>
  </mergeCells>
  <dataValidations count="1">
    <dataValidation allowBlank="true" errorStyle="stop" operator="between" showDropDown="false" showErrorMessage="true" showInputMessage="true" sqref="F89:F94" type="list">
      <formula1>"Alta,Media,Baja"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0"/>
  <sheetViews>
    <sheetView showFormulas="false" showGridLines="false" showRowColHeaders="true" showZeros="true" rightToLeft="false" tabSelected="false" showOutlineSymbols="true" defaultGridColor="true" view="normal" topLeftCell="A31" colorId="64" zoomScale="100" zoomScaleNormal="100" zoomScalePageLayoutView="100" workbookViewId="0">
      <selection pane="topLeft" activeCell="A47" activeCellId="0" sqref="A47"/>
    </sheetView>
  </sheetViews>
  <sheetFormatPr defaultColWidth="14.42578125" defaultRowHeight="15.75" zeroHeight="false" outlineLevelRow="0" outlineLevelCol="0"/>
  <cols>
    <col collapsed="false" customWidth="true" hidden="false" outlineLevel="0" max="1" min="1" style="0" width="27"/>
    <col collapsed="false" customWidth="true" hidden="false" outlineLevel="0" max="2" min="2" style="0" width="13.57"/>
    <col collapsed="false" customWidth="true" hidden="false" outlineLevel="0" max="12" min="3" style="0" width="5.57"/>
    <col collapsed="false" customWidth="true" hidden="false" outlineLevel="0" max="14" min="13" style="0" width="4.86"/>
    <col collapsed="false" customWidth="true" hidden="false" outlineLevel="0" max="16" min="15" style="0" width="8.15"/>
  </cols>
  <sheetData>
    <row r="1" customFormat="false" ht="101.25" hidden="false" customHeight="true" outlineLevel="0" collapsed="false">
      <c r="A1" s="3" t="s">
        <v>0</v>
      </c>
      <c r="B1" s="4" t="s">
        <v>143</v>
      </c>
      <c r="C1" s="4"/>
      <c r="D1" s="4"/>
      <c r="E1" s="4"/>
      <c r="F1" s="4"/>
      <c r="G1" s="4"/>
      <c r="H1" s="78" t="s">
        <v>144</v>
      </c>
      <c r="I1" s="78"/>
      <c r="J1" s="78"/>
      <c r="K1" s="78"/>
      <c r="L1" s="78"/>
    </row>
    <row r="2" customFormat="false" ht="12" hidden="false" customHeight="true" outlineLevel="0" collapsed="false"/>
    <row r="3" customFormat="false" ht="15" hidden="false" customHeight="true" outlineLevel="0" collapsed="false"/>
    <row r="4" customFormat="false" ht="15" hidden="false" customHeight="true" outlineLevel="0" collapsed="false">
      <c r="A4" s="79" t="s">
        <v>145</v>
      </c>
      <c r="B4" s="79"/>
      <c r="C4" s="79"/>
      <c r="D4" s="79"/>
      <c r="E4" s="79"/>
      <c r="F4" s="79"/>
      <c r="G4" s="79"/>
      <c r="H4" s="79"/>
      <c r="I4" s="79"/>
      <c r="J4" s="79"/>
      <c r="K4" s="79"/>
      <c r="L4" s="79"/>
    </row>
    <row r="5" customFormat="false" ht="15" hidden="false" customHeight="true" outlineLevel="0" collapsed="false">
      <c r="A5" s="6" t="s">
        <v>146</v>
      </c>
      <c r="B5" s="6"/>
      <c r="C5" s="6" t="s">
        <v>147</v>
      </c>
      <c r="D5" s="6"/>
      <c r="E5" s="6"/>
      <c r="F5" s="6"/>
      <c r="G5" s="6" t="s">
        <v>148</v>
      </c>
      <c r="H5" s="6"/>
      <c r="I5" s="6"/>
      <c r="J5" s="6"/>
      <c r="K5" s="6"/>
      <c r="L5" s="6"/>
    </row>
    <row r="6" customFormat="false" ht="15" hidden="false" customHeight="true" outlineLevel="0" collapsed="false">
      <c r="A6" s="80" t="s">
        <v>149</v>
      </c>
      <c r="B6" s="80"/>
      <c r="C6" s="81" t="s">
        <v>150</v>
      </c>
      <c r="D6" s="81"/>
      <c r="E6" s="81"/>
      <c r="F6" s="81"/>
      <c r="G6" s="82" t="s">
        <v>151</v>
      </c>
      <c r="H6" s="82"/>
      <c r="I6" s="82"/>
      <c r="J6" s="82"/>
      <c r="K6" s="82"/>
      <c r="L6" s="82"/>
    </row>
    <row r="7" customFormat="false" ht="15" hidden="false" customHeight="true" outlineLevel="0" collapsed="false">
      <c r="A7" s="80" t="s">
        <v>152</v>
      </c>
      <c r="B7" s="80"/>
      <c r="C7" s="81" t="s">
        <v>153</v>
      </c>
      <c r="D7" s="81"/>
      <c r="E7" s="81"/>
      <c r="F7" s="81"/>
      <c r="G7" s="82" t="s">
        <v>151</v>
      </c>
      <c r="H7" s="82"/>
      <c r="I7" s="82"/>
      <c r="J7" s="82"/>
      <c r="K7" s="82"/>
      <c r="L7" s="82"/>
    </row>
    <row r="8" customFormat="false" ht="15" hidden="false" customHeight="true" outlineLevel="0" collapsed="false">
      <c r="A8" s="80" t="s">
        <v>154</v>
      </c>
      <c r="B8" s="80"/>
      <c r="C8" s="81" t="s">
        <v>155</v>
      </c>
      <c r="D8" s="81"/>
      <c r="E8" s="81"/>
      <c r="F8" s="81"/>
      <c r="G8" s="82" t="s">
        <v>151</v>
      </c>
      <c r="H8" s="82"/>
      <c r="I8" s="82"/>
      <c r="J8" s="82"/>
      <c r="K8" s="82"/>
      <c r="L8" s="82"/>
    </row>
    <row r="9" customFormat="false" ht="15" hidden="false" customHeight="true" outlineLevel="0" collapsed="false">
      <c r="A9" s="80" t="s">
        <v>156</v>
      </c>
      <c r="B9" s="80"/>
      <c r="C9" s="81" t="s">
        <v>157</v>
      </c>
      <c r="D9" s="81"/>
      <c r="E9" s="81"/>
      <c r="F9" s="81"/>
      <c r="G9" s="82" t="s">
        <v>158</v>
      </c>
      <c r="H9" s="82"/>
      <c r="I9" s="82"/>
      <c r="J9" s="82"/>
      <c r="K9" s="82"/>
      <c r="L9" s="82"/>
    </row>
    <row r="10" customFormat="false" ht="15" hidden="false" customHeight="true" outlineLevel="0" collapsed="false"/>
    <row r="11" customFormat="false" ht="15" hidden="false" customHeight="true" outlineLevel="0" collapsed="false">
      <c r="A11" s="79" t="s">
        <v>159</v>
      </c>
      <c r="B11" s="79"/>
      <c r="C11" s="79"/>
      <c r="D11" s="79"/>
      <c r="E11" s="79"/>
      <c r="F11" s="79"/>
      <c r="G11" s="79"/>
      <c r="H11" s="79"/>
      <c r="I11" s="79"/>
      <c r="J11" s="79"/>
      <c r="K11" s="79"/>
      <c r="L11" s="79"/>
    </row>
    <row r="12" customFormat="false" ht="34.5" hidden="false" customHeight="true" outlineLevel="0" collapsed="false">
      <c r="A12" s="79" t="s">
        <v>160</v>
      </c>
      <c r="B12" s="79"/>
      <c r="C12" s="83" t="s">
        <v>161</v>
      </c>
      <c r="D12" s="83"/>
      <c r="E12" s="83"/>
      <c r="F12" s="83"/>
      <c r="G12" s="79" t="s">
        <v>162</v>
      </c>
      <c r="H12" s="79"/>
      <c r="I12" s="79"/>
      <c r="J12" s="79"/>
      <c r="K12" s="79"/>
      <c r="L12" s="79"/>
    </row>
    <row r="13" customFormat="false" ht="15" hidden="false" customHeight="true" outlineLevel="0" collapsed="false">
      <c r="A13" s="84" t="s">
        <v>163</v>
      </c>
      <c r="B13" s="84"/>
      <c r="C13" s="85" t="n">
        <f aca="false">ROUNDUP(SUM(C14:F19),)</f>
        <v>2</v>
      </c>
      <c r="D13" s="85"/>
      <c r="E13" s="85"/>
      <c r="F13" s="85"/>
      <c r="G13" s="86"/>
      <c r="H13" s="86"/>
      <c r="I13" s="86"/>
      <c r="J13" s="86"/>
      <c r="K13" s="86"/>
      <c r="L13" s="86"/>
    </row>
    <row r="14" customFormat="false" ht="15" hidden="false" customHeight="true" outlineLevel="0" collapsed="false">
      <c r="A14" s="87" t="s">
        <v>164</v>
      </c>
      <c r="B14" s="87"/>
      <c r="C14" s="88" t="n">
        <f aca="false">Conocimiento!D2</f>
        <v>1</v>
      </c>
      <c r="D14" s="88"/>
      <c r="E14" s="88"/>
      <c r="F14" s="88"/>
      <c r="G14" s="89"/>
      <c r="H14" s="89"/>
      <c r="I14" s="89"/>
      <c r="J14" s="89"/>
      <c r="K14" s="89"/>
      <c r="L14" s="89"/>
    </row>
    <row r="15" customFormat="false" ht="15" hidden="false" customHeight="true" outlineLevel="0" collapsed="false">
      <c r="A15" s="87" t="s">
        <v>165</v>
      </c>
      <c r="B15" s="87"/>
      <c r="C15" s="88" t="n">
        <v>0</v>
      </c>
      <c r="D15" s="88"/>
      <c r="E15" s="88"/>
      <c r="F15" s="88"/>
      <c r="G15" s="89"/>
      <c r="H15" s="89"/>
      <c r="I15" s="89"/>
      <c r="J15" s="89"/>
      <c r="K15" s="89"/>
      <c r="L15" s="89"/>
    </row>
    <row r="16" customFormat="false" ht="15" hidden="false" customHeight="true" outlineLevel="0" collapsed="false">
      <c r="A16" s="87" t="s">
        <v>166</v>
      </c>
      <c r="B16" s="87"/>
      <c r="C16" s="88" t="n">
        <f aca="false">C20*5%</f>
        <v>0.4</v>
      </c>
      <c r="D16" s="88"/>
      <c r="E16" s="88"/>
      <c r="F16" s="88"/>
      <c r="G16" s="89"/>
      <c r="H16" s="89"/>
      <c r="I16" s="89"/>
      <c r="J16" s="89"/>
      <c r="K16" s="89"/>
      <c r="L16" s="89"/>
    </row>
    <row r="17" customFormat="false" ht="15" hidden="false" customHeight="true" outlineLevel="0" collapsed="false">
      <c r="A17" s="90" t="s">
        <v>167</v>
      </c>
      <c r="B17" s="90"/>
      <c r="C17" s="88" t="n">
        <v>0</v>
      </c>
      <c r="D17" s="88"/>
      <c r="E17" s="88"/>
      <c r="F17" s="88"/>
      <c r="G17" s="89"/>
      <c r="H17" s="89"/>
      <c r="I17" s="89"/>
      <c r="J17" s="89"/>
      <c r="K17" s="89"/>
      <c r="L17" s="89"/>
    </row>
    <row r="18" customFormat="false" ht="15" hidden="false" customHeight="true" outlineLevel="0" collapsed="false">
      <c r="A18" s="87" t="s">
        <v>168</v>
      </c>
      <c r="B18" s="87"/>
      <c r="C18" s="88" t="n">
        <v>0</v>
      </c>
      <c r="D18" s="88"/>
      <c r="E18" s="88"/>
      <c r="F18" s="88"/>
      <c r="G18" s="89"/>
      <c r="H18" s="89"/>
      <c r="I18" s="89"/>
      <c r="J18" s="89"/>
      <c r="K18" s="89"/>
      <c r="L18" s="89"/>
    </row>
    <row r="19" customFormat="false" ht="15" hidden="false" customHeight="true" outlineLevel="0" collapsed="false">
      <c r="A19" s="91" t="s">
        <v>169</v>
      </c>
      <c r="B19" s="91"/>
      <c r="C19" s="88" t="n">
        <v>0</v>
      </c>
      <c r="D19" s="88"/>
      <c r="E19" s="88"/>
      <c r="F19" s="88"/>
      <c r="G19" s="89"/>
      <c r="H19" s="89"/>
      <c r="I19" s="89"/>
      <c r="J19" s="89"/>
      <c r="K19" s="89"/>
      <c r="L19" s="89"/>
    </row>
    <row r="20" customFormat="false" ht="15" hidden="false" customHeight="true" outlineLevel="0" collapsed="false">
      <c r="A20" s="84" t="s">
        <v>170</v>
      </c>
      <c r="B20" s="84"/>
      <c r="C20" s="92" t="n">
        <f aca="false">SUM(C21:F27)</f>
        <v>8</v>
      </c>
      <c r="D20" s="92"/>
      <c r="E20" s="92"/>
      <c r="F20" s="92"/>
      <c r="G20" s="86"/>
      <c r="H20" s="86"/>
      <c r="I20" s="86"/>
      <c r="J20" s="86"/>
      <c r="K20" s="86"/>
      <c r="L20" s="86"/>
    </row>
    <row r="21" customFormat="false" ht="15" hidden="false" customHeight="true" outlineLevel="0" collapsed="false">
      <c r="A21" s="87" t="s">
        <v>171</v>
      </c>
      <c r="B21" s="87"/>
      <c r="C21" s="88" t="n">
        <f aca="false">ROUNDUP(C23*1%,)</f>
        <v>1</v>
      </c>
      <c r="D21" s="88"/>
      <c r="E21" s="88"/>
      <c r="F21" s="88"/>
      <c r="G21" s="89"/>
      <c r="H21" s="89"/>
      <c r="I21" s="89"/>
      <c r="J21" s="89"/>
      <c r="K21" s="89"/>
      <c r="L21" s="89"/>
    </row>
    <row r="22" customFormat="false" ht="15" hidden="false" customHeight="true" outlineLevel="0" collapsed="false">
      <c r="A22" s="87" t="s">
        <v>172</v>
      </c>
      <c r="B22" s="87"/>
      <c r="C22" s="88" t="n">
        <f aca="false">Desarrollo!I2</f>
        <v>2</v>
      </c>
      <c r="D22" s="88"/>
      <c r="E22" s="88"/>
      <c r="F22" s="88"/>
      <c r="G22" s="82" t="s">
        <v>173</v>
      </c>
      <c r="H22" s="82"/>
      <c r="I22" s="82"/>
      <c r="J22" s="82"/>
      <c r="K22" s="82"/>
      <c r="L22" s="82"/>
    </row>
    <row r="23" customFormat="false" ht="15" hidden="false" customHeight="true" outlineLevel="0" collapsed="false">
      <c r="A23" s="87" t="s">
        <v>174</v>
      </c>
      <c r="B23" s="87"/>
      <c r="C23" s="93" t="n">
        <f aca="false">Diseño!I2</f>
        <v>2</v>
      </c>
      <c r="D23" s="93"/>
      <c r="E23" s="93"/>
      <c r="F23" s="93"/>
      <c r="G23" s="89"/>
      <c r="H23" s="89"/>
      <c r="I23" s="89"/>
      <c r="J23" s="89"/>
      <c r="K23" s="89"/>
      <c r="L23" s="89"/>
    </row>
    <row r="24" customFormat="false" ht="15" hidden="false" customHeight="true" outlineLevel="0" collapsed="false">
      <c r="A24" s="87" t="s">
        <v>175</v>
      </c>
      <c r="B24" s="87"/>
      <c r="C24" s="88" t="n">
        <f aca="false">ROUND(C23*5%,)</f>
        <v>0</v>
      </c>
      <c r="D24" s="88"/>
      <c r="E24" s="88"/>
      <c r="F24" s="88"/>
      <c r="G24" s="89"/>
      <c r="H24" s="89"/>
      <c r="I24" s="89"/>
      <c r="J24" s="89"/>
      <c r="K24" s="89"/>
      <c r="L24" s="89"/>
    </row>
    <row r="25" customFormat="false" ht="16.5" hidden="false" customHeight="true" outlineLevel="0" collapsed="false">
      <c r="A25" s="90" t="s">
        <v>176</v>
      </c>
      <c r="B25" s="90"/>
      <c r="C25" s="88" t="n">
        <f aca="false">ROUNDUP(C23*30%,)</f>
        <v>1</v>
      </c>
      <c r="D25" s="88"/>
      <c r="E25" s="88"/>
      <c r="F25" s="88"/>
      <c r="G25" s="89"/>
      <c r="H25" s="89"/>
      <c r="I25" s="89"/>
      <c r="J25" s="89"/>
      <c r="K25" s="89"/>
      <c r="L25" s="89"/>
    </row>
    <row r="26" customFormat="false" ht="16.5" hidden="false" customHeight="true" outlineLevel="0" collapsed="false">
      <c r="A26" s="90" t="s">
        <v>177</v>
      </c>
      <c r="B26" s="90"/>
      <c r="C26" s="88" t="n">
        <f aca="false">ROUNDUP(SUM(C22:F25)*5%,)</f>
        <v>1</v>
      </c>
      <c r="D26" s="88"/>
      <c r="E26" s="88"/>
      <c r="F26" s="88"/>
      <c r="G26" s="89"/>
      <c r="H26" s="89"/>
      <c r="I26" s="89"/>
      <c r="J26" s="89"/>
      <c r="K26" s="89"/>
      <c r="L26" s="89"/>
    </row>
    <row r="27" customFormat="false" ht="31.5" hidden="false" customHeight="true" outlineLevel="0" collapsed="false">
      <c r="A27" s="40" t="s">
        <v>178</v>
      </c>
      <c r="B27" s="40"/>
      <c r="C27" s="88" t="n">
        <f aca="false">ROUNDUP((C23+C25)*10%,)</f>
        <v>1</v>
      </c>
      <c r="D27" s="88"/>
      <c r="E27" s="88"/>
      <c r="F27" s="88"/>
      <c r="G27" s="15" t="s">
        <v>179</v>
      </c>
      <c r="H27" s="15"/>
      <c r="I27" s="15"/>
      <c r="J27" s="15"/>
      <c r="K27" s="15"/>
      <c r="L27" s="15"/>
    </row>
    <row r="28" customFormat="false" ht="16.5" hidden="false" customHeight="true" outlineLevel="0" collapsed="false">
      <c r="A28" s="84" t="s">
        <v>180</v>
      </c>
      <c r="B28" s="84"/>
      <c r="C28" s="92" t="n">
        <f aca="false">SUM(C29:F32)</f>
        <v>6</v>
      </c>
      <c r="D28" s="92"/>
      <c r="E28" s="92"/>
      <c r="F28" s="92"/>
      <c r="G28" s="86"/>
      <c r="H28" s="86"/>
      <c r="I28" s="86"/>
      <c r="J28" s="86"/>
      <c r="K28" s="86"/>
      <c r="L28" s="86"/>
    </row>
    <row r="29" customFormat="false" ht="16.5" hidden="false" customHeight="true" outlineLevel="0" collapsed="false">
      <c r="A29" s="90" t="s">
        <v>181</v>
      </c>
      <c r="B29" s="90"/>
      <c r="C29" s="88" t="n">
        <f aca="false">ROUNDUP((C20*15%),)</f>
        <v>2</v>
      </c>
      <c r="D29" s="88"/>
      <c r="E29" s="88"/>
      <c r="F29" s="88"/>
      <c r="G29" s="89"/>
      <c r="H29" s="89"/>
      <c r="I29" s="89"/>
      <c r="J29" s="89"/>
      <c r="K29" s="89"/>
      <c r="L29" s="89"/>
    </row>
    <row r="30" customFormat="false" ht="16.5" hidden="false" customHeight="true" outlineLevel="0" collapsed="false">
      <c r="A30" s="90" t="s">
        <v>49</v>
      </c>
      <c r="B30" s="90"/>
      <c r="C30" s="88" t="n">
        <f aca="false">ROUNDUP((C20*25%),)</f>
        <v>2</v>
      </c>
      <c r="D30" s="88"/>
      <c r="E30" s="88"/>
      <c r="F30" s="88"/>
      <c r="G30" s="89"/>
      <c r="H30" s="89"/>
      <c r="I30" s="89"/>
      <c r="J30" s="89"/>
      <c r="K30" s="89"/>
      <c r="L30" s="89"/>
    </row>
    <row r="31" customFormat="false" ht="16.5" hidden="false" customHeight="true" outlineLevel="0" collapsed="false">
      <c r="A31" s="90" t="s">
        <v>182</v>
      </c>
      <c r="B31" s="90"/>
      <c r="C31" s="88" t="n">
        <f aca="false">ROUNDUP((C20*5%),)</f>
        <v>1</v>
      </c>
      <c r="D31" s="88"/>
      <c r="E31" s="88"/>
      <c r="F31" s="88"/>
      <c r="G31" s="89"/>
      <c r="H31" s="89"/>
      <c r="I31" s="89"/>
      <c r="J31" s="89"/>
      <c r="K31" s="89"/>
      <c r="L31" s="89"/>
    </row>
    <row r="32" customFormat="false" ht="16.5" hidden="false" customHeight="true" outlineLevel="0" collapsed="false">
      <c r="A32" s="90" t="s">
        <v>183</v>
      </c>
      <c r="B32" s="90"/>
      <c r="C32" s="88" t="n">
        <f aca="false">ROUNDUP((C20*5%),)</f>
        <v>1</v>
      </c>
      <c r="D32" s="88"/>
      <c r="E32" s="88"/>
      <c r="F32" s="88"/>
      <c r="G32" s="89"/>
      <c r="H32" s="89"/>
      <c r="I32" s="89"/>
      <c r="J32" s="89"/>
      <c r="K32" s="89"/>
      <c r="L32" s="89"/>
    </row>
    <row r="33" customFormat="false" ht="16.5" hidden="false" customHeight="true" outlineLevel="0" collapsed="false">
      <c r="A33" s="84" t="s">
        <v>184</v>
      </c>
      <c r="B33" s="84"/>
      <c r="C33" s="92" t="n">
        <f aca="false">SUM(C34:F35)</f>
        <v>2</v>
      </c>
      <c r="D33" s="92"/>
      <c r="E33" s="92"/>
      <c r="F33" s="92"/>
      <c r="G33" s="86"/>
      <c r="H33" s="86"/>
      <c r="I33" s="86"/>
      <c r="J33" s="86"/>
      <c r="K33" s="86"/>
      <c r="L33" s="86"/>
    </row>
    <row r="34" customFormat="false" ht="16.5" hidden="false" customHeight="true" outlineLevel="0" collapsed="false">
      <c r="A34" s="90" t="s">
        <v>185</v>
      </c>
      <c r="B34" s="90"/>
      <c r="C34" s="88" t="n">
        <f aca="false">ROUNDUP((SUM(C13,C20,C28)*5%),)</f>
        <v>1</v>
      </c>
      <c r="D34" s="88"/>
      <c r="E34" s="88"/>
      <c r="F34" s="88"/>
      <c r="G34" s="89"/>
      <c r="H34" s="89"/>
      <c r="I34" s="89"/>
      <c r="J34" s="89"/>
      <c r="K34" s="89"/>
      <c r="L34" s="89"/>
    </row>
    <row r="35" customFormat="false" ht="16.5" hidden="false" customHeight="true" outlineLevel="0" collapsed="false">
      <c r="A35" s="90" t="s">
        <v>186</v>
      </c>
      <c r="B35" s="90"/>
      <c r="C35" s="88" t="n">
        <f aca="false">ROUNDUP((SUM(C13,C20,C28)*5%),)</f>
        <v>1</v>
      </c>
      <c r="D35" s="88"/>
      <c r="E35" s="88"/>
      <c r="F35" s="88"/>
      <c r="G35" s="82" t="s">
        <v>187</v>
      </c>
      <c r="H35" s="82"/>
      <c r="I35" s="82"/>
      <c r="J35" s="82"/>
      <c r="K35" s="82"/>
      <c r="L35" s="82"/>
    </row>
    <row r="36" customFormat="false" ht="16.5" hidden="false" customHeight="true" outlineLevel="0" collapsed="false">
      <c r="A36" s="79" t="s">
        <v>188</v>
      </c>
      <c r="B36" s="79"/>
      <c r="C36" s="94" t="n">
        <f aca="false">SUM(C13,C20,C28,C33)</f>
        <v>18</v>
      </c>
      <c r="D36" s="94"/>
      <c r="E36" s="94"/>
      <c r="F36" s="94"/>
      <c r="G36" s="79"/>
      <c r="H36" s="79"/>
      <c r="I36" s="79"/>
      <c r="J36" s="79"/>
      <c r="K36" s="79"/>
      <c r="L36" s="79"/>
    </row>
    <row r="37" customFormat="false" ht="16.5" hidden="false" customHeight="true" outlineLevel="0" collapsed="false">
      <c r="A37" s="95"/>
      <c r="B37" s="96"/>
      <c r="C37" s="97"/>
      <c r="D37" s="97"/>
      <c r="E37" s="97"/>
      <c r="F37" s="97"/>
      <c r="G37" s="98"/>
      <c r="H37" s="98"/>
      <c r="I37" s="98"/>
      <c r="J37" s="98"/>
      <c r="K37" s="98"/>
      <c r="L37" s="97"/>
    </row>
    <row r="38" customFormat="false" ht="16.5" hidden="false" customHeight="true" outlineLevel="0" collapsed="false"/>
    <row r="39" customFormat="false" ht="16.5" hidden="false" customHeight="true" outlineLevel="0" collapsed="false">
      <c r="A39" s="99" t="s">
        <v>189</v>
      </c>
      <c r="B39" s="99"/>
      <c r="C39" s="99"/>
      <c r="D39" s="99"/>
      <c r="E39" s="99"/>
      <c r="F39" s="99"/>
      <c r="G39" s="99"/>
      <c r="H39" s="99"/>
      <c r="I39" s="99"/>
      <c r="J39" s="99"/>
      <c r="K39" s="99"/>
      <c r="L39" s="99"/>
      <c r="M39" s="99"/>
      <c r="N39" s="99"/>
    </row>
    <row r="40" customFormat="false" ht="16.5" hidden="false" customHeight="true" outlineLevel="0" collapsed="false">
      <c r="A40" s="79" t="s">
        <v>190</v>
      </c>
      <c r="B40" s="79"/>
      <c r="C40" s="94" t="s">
        <v>191</v>
      </c>
      <c r="D40" s="94"/>
      <c r="E40" s="94"/>
      <c r="F40" s="94"/>
      <c r="G40" s="94" t="s">
        <v>192</v>
      </c>
      <c r="H40" s="94"/>
      <c r="I40" s="94"/>
      <c r="J40" s="94"/>
      <c r="K40" s="94" t="s">
        <v>193</v>
      </c>
      <c r="L40" s="94"/>
      <c r="M40" s="94"/>
      <c r="N40" s="94"/>
    </row>
    <row r="41" customFormat="false" ht="16.5" hidden="false" customHeight="true" outlineLevel="0" collapsed="false">
      <c r="A41" s="79"/>
      <c r="B41" s="79"/>
      <c r="C41" s="79" t="s">
        <v>194</v>
      </c>
      <c r="D41" s="79" t="s">
        <v>195</v>
      </c>
      <c r="E41" s="79" t="s">
        <v>196</v>
      </c>
      <c r="F41" s="79" t="s">
        <v>197</v>
      </c>
      <c r="G41" s="79" t="s">
        <v>194</v>
      </c>
      <c r="H41" s="79" t="s">
        <v>195</v>
      </c>
      <c r="I41" s="79" t="s">
        <v>196</v>
      </c>
      <c r="J41" s="79" t="s">
        <v>197</v>
      </c>
      <c r="K41" s="79" t="s">
        <v>194</v>
      </c>
      <c r="L41" s="79" t="s">
        <v>195</v>
      </c>
      <c r="M41" s="79" t="s">
        <v>196</v>
      </c>
      <c r="N41" s="79" t="s">
        <v>197</v>
      </c>
    </row>
    <row r="42" customFormat="false" ht="16.5" hidden="false" customHeight="true" outlineLevel="0" collapsed="false">
      <c r="A42" s="100" t="s">
        <v>163</v>
      </c>
      <c r="B42" s="100"/>
      <c r="C42" s="101"/>
      <c r="D42" s="89"/>
      <c r="E42" s="89"/>
      <c r="F42" s="89"/>
      <c r="G42" s="89"/>
      <c r="H42" s="89"/>
      <c r="I42" s="89"/>
      <c r="J42" s="89"/>
      <c r="K42" s="89"/>
      <c r="L42" s="89"/>
      <c r="M42" s="102"/>
      <c r="N42" s="102"/>
    </row>
    <row r="43" customFormat="false" ht="16.5" hidden="false" customHeight="true" outlineLevel="0" collapsed="false">
      <c r="A43" s="100" t="s">
        <v>170</v>
      </c>
      <c r="B43" s="100"/>
      <c r="C43" s="101"/>
      <c r="E43" s="89"/>
      <c r="F43" s="89"/>
      <c r="G43" s="89"/>
      <c r="H43" s="89"/>
      <c r="I43" s="89"/>
      <c r="J43" s="89"/>
      <c r="K43" s="89"/>
      <c r="L43" s="89"/>
      <c r="M43" s="102"/>
      <c r="N43" s="102"/>
    </row>
    <row r="44" customFormat="false" ht="16.5" hidden="false" customHeight="true" outlineLevel="0" collapsed="false">
      <c r="A44" s="100" t="s">
        <v>180</v>
      </c>
      <c r="B44" s="100"/>
      <c r="C44" s="101"/>
      <c r="D44" s="89"/>
      <c r="E44" s="89"/>
      <c r="F44" s="89"/>
      <c r="G44" s="89"/>
      <c r="H44" s="89"/>
      <c r="I44" s="89"/>
      <c r="J44" s="89"/>
      <c r="K44" s="89"/>
      <c r="L44" s="89"/>
      <c r="M44" s="102"/>
      <c r="N44" s="102"/>
    </row>
    <row r="45" customFormat="false" ht="16.5" hidden="false" customHeight="true" outlineLevel="0" collapsed="false">
      <c r="A45" s="100" t="s">
        <v>184</v>
      </c>
      <c r="B45" s="100"/>
      <c r="C45" s="101"/>
      <c r="D45" s="89"/>
      <c r="E45" s="89"/>
      <c r="F45" s="89"/>
      <c r="G45" s="89"/>
      <c r="H45" s="89"/>
      <c r="I45" s="89"/>
      <c r="J45" s="89"/>
      <c r="K45" s="89"/>
      <c r="L45" s="89"/>
      <c r="M45" s="102"/>
      <c r="N45" s="102"/>
    </row>
    <row r="46" customFormat="false" ht="15" hidden="false" customHeight="true" outlineLevel="0" collapsed="false"/>
    <row r="47" customFormat="false" ht="12" hidden="false" customHeight="true" outlineLevel="0" collapsed="false">
      <c r="A47" s="77" t="s">
        <v>142</v>
      </c>
      <c r="B47" s="77"/>
      <c r="C47" s="77"/>
      <c r="D47" s="77"/>
      <c r="E47" s="77"/>
      <c r="F47" s="77"/>
      <c r="G47" s="77"/>
      <c r="H47" s="77"/>
      <c r="I47" s="77"/>
      <c r="J47" s="77"/>
      <c r="K47" s="77"/>
      <c r="L47" s="77"/>
      <c r="M47" s="77"/>
    </row>
    <row r="48" customFormat="false" ht="12" hidden="false" customHeight="true" outlineLevel="0" collapsed="false">
      <c r="A48" s="77"/>
      <c r="B48" s="77"/>
      <c r="C48" s="77"/>
      <c r="D48" s="77"/>
      <c r="E48" s="77"/>
      <c r="F48" s="77"/>
      <c r="G48" s="77"/>
      <c r="H48" s="77"/>
      <c r="I48" s="77"/>
      <c r="J48" s="77"/>
      <c r="K48" s="77"/>
      <c r="L48" s="77"/>
      <c r="M48" s="77"/>
    </row>
    <row r="49" customFormat="false" ht="12" hidden="false" customHeight="true" outlineLevel="0" collapsed="false">
      <c r="A49" s="77"/>
      <c r="B49" s="77"/>
      <c r="C49" s="77"/>
      <c r="D49" s="77"/>
      <c r="E49" s="77"/>
      <c r="F49" s="77"/>
      <c r="G49" s="77"/>
      <c r="H49" s="77"/>
      <c r="I49" s="77"/>
      <c r="J49" s="77"/>
      <c r="K49" s="77"/>
      <c r="L49" s="77"/>
      <c r="M49" s="77"/>
    </row>
    <row r="50" customFormat="false" ht="12" hidden="false" customHeight="true" outlineLevel="0" collapsed="false">
      <c r="A50" s="77"/>
      <c r="B50" s="77"/>
      <c r="C50" s="77"/>
      <c r="D50" s="77"/>
      <c r="E50" s="77"/>
      <c r="F50" s="77"/>
      <c r="G50" s="77"/>
      <c r="H50" s="77"/>
      <c r="I50" s="77"/>
      <c r="J50" s="77"/>
      <c r="K50" s="77"/>
      <c r="L50" s="77"/>
      <c r="M50" s="77"/>
    </row>
    <row r="51" customFormat="false" ht="12" hidden="false" customHeight="true" outlineLevel="0" collapsed="false">
      <c r="A51" s="103"/>
    </row>
    <row r="52" customFormat="false" ht="12" hidden="false" customHeight="true" outlineLevel="0" collapsed="false">
      <c r="A52" s="103"/>
    </row>
    <row r="53" customFormat="false" ht="12" hidden="false" customHeight="true" outlineLevel="0" collapsed="false">
      <c r="A53" s="103"/>
      <c r="M53" s="104" t="s">
        <v>198</v>
      </c>
    </row>
    <row r="54" customFormat="false" ht="12" hidden="false" customHeight="true" outlineLevel="0" collapsed="false">
      <c r="A54" s="103"/>
    </row>
    <row r="55" customFormat="false" ht="12" hidden="false" customHeight="true" outlineLevel="0" collapsed="false">
      <c r="A55" s="103"/>
    </row>
    <row r="56" customFormat="false" ht="12" hidden="false" customHeight="true" outlineLevel="0" collapsed="false">
      <c r="A56" s="103"/>
    </row>
    <row r="57" customFormat="false" ht="12" hidden="false" customHeight="true" outlineLevel="0" collapsed="false">
      <c r="A57" s="103"/>
    </row>
    <row r="58" customFormat="false" ht="12" hidden="false" customHeight="true" outlineLevel="0" collapsed="false">
      <c r="A58" s="103"/>
    </row>
    <row r="59" customFormat="false" ht="12" hidden="false" customHeight="true" outlineLevel="0" collapsed="false">
      <c r="A59" s="103"/>
    </row>
    <row r="60" customFormat="false" ht="12" hidden="false" customHeight="true" outlineLevel="0" collapsed="false">
      <c r="A60" s="103"/>
    </row>
  </sheetData>
  <mergeCells count="104">
    <mergeCell ref="B1:G1"/>
    <mergeCell ref="H1:L1"/>
    <mergeCell ref="A4:L4"/>
    <mergeCell ref="A5:B5"/>
    <mergeCell ref="C5:F5"/>
    <mergeCell ref="G5:L5"/>
    <mergeCell ref="A6:B6"/>
    <mergeCell ref="C6:F6"/>
    <mergeCell ref="G6:L6"/>
    <mergeCell ref="A7:B7"/>
    <mergeCell ref="C7:F7"/>
    <mergeCell ref="G7:L7"/>
    <mergeCell ref="A8:B8"/>
    <mergeCell ref="C8:F8"/>
    <mergeCell ref="G8:L8"/>
    <mergeCell ref="A9:B9"/>
    <mergeCell ref="C9:F9"/>
    <mergeCell ref="G9:L9"/>
    <mergeCell ref="A11:L11"/>
    <mergeCell ref="A12:B12"/>
    <mergeCell ref="C12:F12"/>
    <mergeCell ref="G12:L12"/>
    <mergeCell ref="A13:B13"/>
    <mergeCell ref="C13:F13"/>
    <mergeCell ref="G13:L13"/>
    <mergeCell ref="A14:B14"/>
    <mergeCell ref="C14:F14"/>
    <mergeCell ref="G14:L14"/>
    <mergeCell ref="A15:B15"/>
    <mergeCell ref="C15:F15"/>
    <mergeCell ref="G15:L15"/>
    <mergeCell ref="A16:B16"/>
    <mergeCell ref="C16:F16"/>
    <mergeCell ref="G16:L16"/>
    <mergeCell ref="A17:B17"/>
    <mergeCell ref="C17:F17"/>
    <mergeCell ref="G17:L17"/>
    <mergeCell ref="A18:B18"/>
    <mergeCell ref="C18:F18"/>
    <mergeCell ref="G18:L18"/>
    <mergeCell ref="A19:B19"/>
    <mergeCell ref="C19:F19"/>
    <mergeCell ref="G19:L19"/>
    <mergeCell ref="A20:B20"/>
    <mergeCell ref="C20:F20"/>
    <mergeCell ref="G20:L20"/>
    <mergeCell ref="A21:B21"/>
    <mergeCell ref="C21:F21"/>
    <mergeCell ref="G21:L21"/>
    <mergeCell ref="A22:B22"/>
    <mergeCell ref="C22:F22"/>
    <mergeCell ref="G22:L22"/>
    <mergeCell ref="A23:B23"/>
    <mergeCell ref="C23:F23"/>
    <mergeCell ref="G23:L23"/>
    <mergeCell ref="A24:B24"/>
    <mergeCell ref="C24:F24"/>
    <mergeCell ref="G24:L24"/>
    <mergeCell ref="A25:B25"/>
    <mergeCell ref="C25:F25"/>
    <mergeCell ref="G25:L25"/>
    <mergeCell ref="A26:B26"/>
    <mergeCell ref="C26:F26"/>
    <mergeCell ref="G26:L26"/>
    <mergeCell ref="A27:B27"/>
    <mergeCell ref="C27:F27"/>
    <mergeCell ref="G27:L27"/>
    <mergeCell ref="A28:B28"/>
    <mergeCell ref="C28:F28"/>
    <mergeCell ref="G28:L28"/>
    <mergeCell ref="A29:B29"/>
    <mergeCell ref="C29:F29"/>
    <mergeCell ref="G29:L29"/>
    <mergeCell ref="A30:B30"/>
    <mergeCell ref="C30:F30"/>
    <mergeCell ref="G30:L30"/>
    <mergeCell ref="A31:B31"/>
    <mergeCell ref="C31:F31"/>
    <mergeCell ref="G31:L31"/>
    <mergeCell ref="A32:B32"/>
    <mergeCell ref="C32:F32"/>
    <mergeCell ref="G32:L32"/>
    <mergeCell ref="A33:B33"/>
    <mergeCell ref="C33:F33"/>
    <mergeCell ref="G33:L33"/>
    <mergeCell ref="A34:B34"/>
    <mergeCell ref="C34:F34"/>
    <mergeCell ref="G34:L34"/>
    <mergeCell ref="A35:B35"/>
    <mergeCell ref="C35:F35"/>
    <mergeCell ref="G35:L35"/>
    <mergeCell ref="A36:B36"/>
    <mergeCell ref="C36:F36"/>
    <mergeCell ref="G36:L36"/>
    <mergeCell ref="A39:N39"/>
    <mergeCell ref="A40:B41"/>
    <mergeCell ref="C40:F40"/>
    <mergeCell ref="G40:J40"/>
    <mergeCell ref="K40:N40"/>
    <mergeCell ref="A42:B42"/>
    <mergeCell ref="A43:B43"/>
    <mergeCell ref="A44:B44"/>
    <mergeCell ref="A45:B45"/>
    <mergeCell ref="A47:M50"/>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13" activeCellId="0" sqref="D13"/>
    </sheetView>
  </sheetViews>
  <sheetFormatPr defaultColWidth="14.42578125" defaultRowHeight="15.75" zeroHeight="false" outlineLevelRow="0" outlineLevelCol="0"/>
  <cols>
    <col collapsed="false" customWidth="true" hidden="false" outlineLevel="0" max="1" min="1" style="0" width="6.85"/>
    <col collapsed="false" customWidth="true" hidden="false" outlineLevel="0" max="2" min="2" style="0" width="47.57"/>
    <col collapsed="false" customWidth="true" hidden="false" outlineLevel="0" max="3" min="3" style="0" width="15.85"/>
    <col collapsed="false" customWidth="true" hidden="false" outlineLevel="0" max="5" min="4" style="0" width="19"/>
    <col collapsed="false" customWidth="true" hidden="false" outlineLevel="0" max="6" min="6" style="0" width="36.71"/>
  </cols>
  <sheetData>
    <row r="1" customFormat="false" ht="15.75" hidden="false" customHeight="true" outlineLevel="0" collapsed="false">
      <c r="A1" s="105"/>
      <c r="B1" s="105" t="s">
        <v>199</v>
      </c>
      <c r="C1" s="105" t="s">
        <v>200</v>
      </c>
      <c r="D1" s="105"/>
      <c r="E1" s="105"/>
      <c r="F1" s="105"/>
    </row>
    <row r="2" customFormat="false" ht="15.75" hidden="false" customHeight="true" outlineLevel="0" collapsed="false">
      <c r="A2" s="105"/>
      <c r="B2" s="106"/>
      <c r="C2" s="107" t="s">
        <v>201</v>
      </c>
      <c r="D2" s="105" t="n">
        <f aca="false">ROUNDUP(F2/60,0)</f>
        <v>1</v>
      </c>
      <c r="E2" s="107" t="s">
        <v>202</v>
      </c>
      <c r="F2" s="108" t="n">
        <f aca="false">SUM(E4:E9998)</f>
        <v>16</v>
      </c>
    </row>
    <row r="3" customFormat="false" ht="15.75" hidden="false" customHeight="true" outlineLevel="0" collapsed="false">
      <c r="A3" s="105"/>
      <c r="B3" s="109" t="s">
        <v>203</v>
      </c>
      <c r="C3" s="109" t="s">
        <v>204</v>
      </c>
      <c r="D3" s="109" t="s">
        <v>205</v>
      </c>
      <c r="E3" s="109" t="s">
        <v>206</v>
      </c>
      <c r="F3" s="110" t="s">
        <v>207</v>
      </c>
    </row>
    <row r="4" customFormat="false" ht="15.75" hidden="false" customHeight="true" outlineLevel="0" collapsed="false">
      <c r="A4" s="111" t="str">
        <f aca="false">IF(B4="","",CONCATENATE(COUNTA(B$4:B4),"."))</f>
        <v>1.</v>
      </c>
      <c r="B4" s="112" t="s">
        <v>208</v>
      </c>
      <c r="C4" s="81" t="s">
        <v>209</v>
      </c>
      <c r="D4" s="81" t="n">
        <v>1</v>
      </c>
      <c r="E4" s="81" t="n">
        <f aca="false">IF(D4="","",IF(C4="Técnico",D4*4.5,IF(C4="Funcional",D4*3,D4*2.5)))</f>
        <v>2.5</v>
      </c>
      <c r="F4" s="113" t="s">
        <v>210</v>
      </c>
    </row>
    <row r="5" customFormat="false" ht="15.75" hidden="false" customHeight="true" outlineLevel="0" collapsed="false">
      <c r="A5" s="111" t="str">
        <f aca="false">IF(B5="","",CONCATENATE(COUNTA(B$4:B5),"."))</f>
        <v>2.</v>
      </c>
      <c r="B5" s="112" t="s">
        <v>211</v>
      </c>
      <c r="C5" s="81" t="s">
        <v>212</v>
      </c>
      <c r="D5" s="81" t="n">
        <v>1</v>
      </c>
      <c r="E5" s="81" t="n">
        <f aca="false">IF(D5="","",IF(C5="Técnico",D5*4.5,IF(C5="Funcional",D5*3,D5*2.5)))</f>
        <v>4.5</v>
      </c>
      <c r="F5" s="113" t="s">
        <v>210</v>
      </c>
    </row>
    <row r="6" customFormat="false" ht="15.75" hidden="false" customHeight="true" outlineLevel="0" collapsed="false">
      <c r="A6" s="111" t="str">
        <f aca="false">IF(B6="","",CONCATENATE(COUNTA(B$4:B6),"."))</f>
        <v>3.</v>
      </c>
      <c r="B6" s="112" t="s">
        <v>213</v>
      </c>
      <c r="C6" s="81" t="s">
        <v>212</v>
      </c>
      <c r="D6" s="81" t="n">
        <v>1</v>
      </c>
      <c r="E6" s="81" t="n">
        <f aca="false">IF(D6="","",IF(C6="Técnico",D6*4.5,IF(C6="Funcional",D6*3,D6*2.5)))</f>
        <v>4.5</v>
      </c>
      <c r="F6" s="113" t="s">
        <v>210</v>
      </c>
    </row>
    <row r="7" customFormat="false" ht="15.75" hidden="false" customHeight="true" outlineLevel="0" collapsed="false">
      <c r="A7" s="111" t="str">
        <f aca="false">IF(B7="","",CONCATENATE(COUNTA(B$4:B7),"."))</f>
        <v>4.</v>
      </c>
      <c r="B7" s="112" t="s">
        <v>214</v>
      </c>
      <c r="C7" s="81" t="s">
        <v>212</v>
      </c>
      <c r="D7" s="81" t="n">
        <v>1</v>
      </c>
      <c r="E7" s="81" t="n">
        <f aca="false">IF(D7="","",IF(C7="Técnico",D7*4.5,IF(C7="Funcional",D7*3,D7*2.5)))</f>
        <v>4.5</v>
      </c>
      <c r="F7" s="113" t="s">
        <v>210</v>
      </c>
    </row>
    <row r="8" customFormat="false" ht="15.75" hidden="false" customHeight="true" outlineLevel="0" collapsed="false">
      <c r="A8" s="111" t="str">
        <f aca="false">IF(B8="","",CONCATENATE(COUNTA(B$4:B8),"."))</f>
        <v>5.</v>
      </c>
      <c r="B8" s="112" t="s">
        <v>215</v>
      </c>
      <c r="C8" s="81" t="s">
        <v>212</v>
      </c>
      <c r="D8" s="81" t="n">
        <v>0</v>
      </c>
      <c r="E8" s="81" t="n">
        <f aca="false">IF(D8="","",IF(C8="Técnico",D8*4.5,IF(C8="Funcional",D8*3,D8*2.5)))</f>
        <v>0</v>
      </c>
      <c r="F8" s="113" t="s">
        <v>210</v>
      </c>
    </row>
    <row r="9" customFormat="false" ht="15.75" hidden="false" customHeight="true" outlineLevel="0" collapsed="false">
      <c r="A9" s="111" t="str">
        <f aca="false">IF(B9="","",CONCATENATE(COUNTA(B$4:B9),"."))</f>
        <v>6.</v>
      </c>
      <c r="B9" s="112" t="s">
        <v>216</v>
      </c>
      <c r="C9" s="81" t="s">
        <v>217</v>
      </c>
      <c r="D9" s="81" t="n">
        <v>0</v>
      </c>
      <c r="E9" s="81" t="n">
        <f aca="false">IF(D9="","",IF(C9="Técnico",D9*4.5,IF(C9="Funcional",D9*3,D9*2.5)))</f>
        <v>0</v>
      </c>
      <c r="F9" s="113" t="s">
        <v>210</v>
      </c>
    </row>
    <row r="10" customFormat="false" ht="15.75" hidden="false" customHeight="true" outlineLevel="0" collapsed="false">
      <c r="A10" s="111" t="str">
        <f aca="false">IF(B10="","",CONCATENATE(COUNTA(B$4:B10),"."))</f>
        <v>7.</v>
      </c>
      <c r="B10" s="112" t="s">
        <v>218</v>
      </c>
      <c r="C10" s="81" t="s">
        <v>212</v>
      </c>
      <c r="D10" s="81" t="n">
        <v>0</v>
      </c>
      <c r="E10" s="81" t="n">
        <f aca="false">IF(D10="","",IF(C10="Técnico",D10*4.5,IF(C10="Funcional",D10*3,D10*2.5)))</f>
        <v>0</v>
      </c>
      <c r="F10" s="113" t="s">
        <v>210</v>
      </c>
    </row>
    <row r="11" customFormat="false" ht="15.75" hidden="false" customHeight="true" outlineLevel="0" collapsed="false">
      <c r="A11" s="111" t="str">
        <f aca="false">IF(B11="","",CONCATENATE(COUNTA(B$4:B11),"."))</f>
        <v>8.</v>
      </c>
      <c r="B11" s="112" t="s">
        <v>219</v>
      </c>
      <c r="C11" s="81" t="s">
        <v>209</v>
      </c>
      <c r="D11" s="81" t="n">
        <v>0</v>
      </c>
      <c r="E11" s="81" t="n">
        <f aca="false">IF(D11="","",IF(C11="Técnico",D11*4.5,IF(C11="Funcional",D11*3,D11*2.5)))</f>
        <v>0</v>
      </c>
      <c r="F11" s="113" t="s">
        <v>210</v>
      </c>
    </row>
    <row r="12" customFormat="false" ht="15.75" hidden="false" customHeight="true" outlineLevel="0" collapsed="false">
      <c r="A12" s="111" t="str">
        <f aca="false">IF(B12="","",CONCATENATE(COUNTA(B$4:B12),"."))</f>
        <v/>
      </c>
      <c r="B12" s="112"/>
      <c r="C12" s="81"/>
      <c r="D12" s="81"/>
      <c r="E12" s="81" t="str">
        <f aca="false">IF(D12="","",IF(C12="Tecnico",D12*4.5,IF(C12="Funcional",D12*3,D12*2.5)))</f>
        <v/>
      </c>
      <c r="F12" s="113"/>
    </row>
    <row r="13" customFormat="false" ht="15.75" hidden="false" customHeight="true" outlineLevel="0" collapsed="false">
      <c r="A13" s="111" t="str">
        <f aca="false">IF(B13="","",CONCATENATE(COUNTA(B$4:B13),"."))</f>
        <v/>
      </c>
      <c r="B13" s="112"/>
      <c r="C13" s="81"/>
      <c r="D13" s="81"/>
      <c r="E13" s="81" t="str">
        <f aca="false">IF(D13="","",IF(C13="Tecnico",D13*4.5,IF(C13="Funcional",D13*3,D13*2.5)))</f>
        <v/>
      </c>
      <c r="F13" s="113"/>
    </row>
    <row r="14" customFormat="false" ht="15.75" hidden="false" customHeight="true" outlineLevel="0" collapsed="false">
      <c r="A14" s="111" t="str">
        <f aca="false">IF(B14="","",CONCATENATE(COUNTA(B$4:B14),"."))</f>
        <v/>
      </c>
      <c r="B14" s="112"/>
      <c r="C14" s="81"/>
      <c r="D14" s="81"/>
      <c r="E14" s="81" t="str">
        <f aca="false">IF(D14="","",IF(C14="Tecnico",D14*4.5,IF(C14="Funcional",D14*3,D14*2.5)))</f>
        <v/>
      </c>
      <c r="F14" s="113"/>
    </row>
    <row r="15" customFormat="false" ht="15.75" hidden="false" customHeight="true" outlineLevel="0" collapsed="false">
      <c r="A15" s="111" t="str">
        <f aca="false">IF(B15="","",CONCATENATE(COUNTA(B$4:B15),"."))</f>
        <v/>
      </c>
      <c r="B15" s="112"/>
      <c r="C15" s="81"/>
      <c r="D15" s="81"/>
      <c r="E15" s="81" t="str">
        <f aca="false">IF(D15="","",IF(C15="Tecnico",D15*4.5,IF(C15="Funcional",D15*3,D15*2.5)))</f>
        <v/>
      </c>
      <c r="F15" s="113"/>
    </row>
    <row r="16" customFormat="false" ht="15.75" hidden="false" customHeight="true" outlineLevel="0" collapsed="false">
      <c r="A16" s="111" t="str">
        <f aca="false">IF(B16="","",CONCATENATE(COUNTA(B$4:B16),"."))</f>
        <v/>
      </c>
      <c r="B16" s="112"/>
      <c r="C16" s="81"/>
      <c r="D16" s="81"/>
      <c r="E16" s="81" t="str">
        <f aca="false">IF(D16="","",IF(C16="Tecnico",D16*4.5,IF(C16="Funcional",D16*3,D16*2.5)))</f>
        <v/>
      </c>
      <c r="F16" s="113"/>
    </row>
    <row r="17" customFormat="false" ht="15.75" hidden="false" customHeight="true" outlineLevel="0" collapsed="false">
      <c r="A17" s="111" t="str">
        <f aca="false">IF(B17="","",CONCATENATE(COUNTA(B$4:B17),"."))</f>
        <v/>
      </c>
      <c r="B17" s="112"/>
      <c r="C17" s="81"/>
      <c r="D17" s="81"/>
      <c r="E17" s="81" t="str">
        <f aca="false">IF(D17="","",IF(C17="Tecnico",D17*4.5,IF(C17="Funcional",D17*3,D17*2.5)))</f>
        <v/>
      </c>
      <c r="F17" s="113"/>
    </row>
    <row r="18" customFormat="false" ht="15.75" hidden="false" customHeight="true" outlineLevel="0" collapsed="false">
      <c r="A18" s="111" t="str">
        <f aca="false">IF(B18="","",CONCATENATE(COUNTA(B$4:B18),"."))</f>
        <v/>
      </c>
      <c r="B18" s="112"/>
      <c r="C18" s="81"/>
      <c r="D18" s="81"/>
      <c r="E18" s="81" t="str">
        <f aca="false">IF(D18="","",IF(C18="Tecnico",D18*4.5,IF(C18="Funcional",D18*3,D18*2.5)))</f>
        <v/>
      </c>
      <c r="F18" s="113"/>
    </row>
    <row r="19" customFormat="false" ht="15.75" hidden="false" customHeight="true" outlineLevel="0" collapsed="false">
      <c r="A19" s="111" t="str">
        <f aca="false">IF(B19="","",CONCATENATE(COUNTA(B$4:B19),"."))</f>
        <v/>
      </c>
      <c r="B19" s="112"/>
      <c r="C19" s="81"/>
      <c r="D19" s="81"/>
      <c r="E19" s="81" t="str">
        <f aca="false">IF(D19="","",IF(C19="Tecnico",D19*4.5,IF(C19="Funcional",D19*3,D19*2.5)))</f>
        <v/>
      </c>
      <c r="F19" s="113"/>
    </row>
    <row r="20" customFormat="false" ht="15.75" hidden="false" customHeight="true" outlineLevel="0" collapsed="false">
      <c r="A20" s="111" t="str">
        <f aca="false">IF(B20="","",CONCATENATE(COUNTA(B$4:B20),"."))</f>
        <v/>
      </c>
      <c r="B20" s="112"/>
      <c r="C20" s="81"/>
      <c r="D20" s="81"/>
      <c r="E20" s="81" t="str">
        <f aca="false">IF(D20="","",IF(C20="Tecnico",D20*4.5,IF(C20="Funcional",D20*3,D20*2.5)))</f>
        <v/>
      </c>
      <c r="F20" s="113"/>
    </row>
    <row r="21" customFormat="false" ht="15.75" hidden="false" customHeight="true" outlineLevel="0" collapsed="false">
      <c r="A21" s="111" t="str">
        <f aca="false">IF(B21="","",CONCATENATE(COUNTA(B$4:B21),"."))</f>
        <v/>
      </c>
      <c r="B21" s="112"/>
      <c r="C21" s="81"/>
      <c r="D21" s="81"/>
      <c r="E21" s="81" t="str">
        <f aca="false">IF(D21="","",IF(C21="Tecnico",D21*4.5,IF(C21="Funcional",D21*3,D21*2.5)))</f>
        <v/>
      </c>
      <c r="F21" s="113"/>
    </row>
    <row r="22" customFormat="false" ht="12.75" hidden="false" customHeight="true" outlineLevel="0" collapsed="false">
      <c r="A22" s="111" t="str">
        <f aca="false">IF(B22="","",CONCATENATE(COUNTA(B$4:B22),"."))</f>
        <v/>
      </c>
      <c r="B22" s="112"/>
      <c r="C22" s="81"/>
      <c r="D22" s="81"/>
      <c r="E22" s="81" t="str">
        <f aca="false">IF(D22="","",IF(C22="Tecnico",D22*4.5,IF(C22="Funcional",D22*3,D22*2.5)))</f>
        <v/>
      </c>
      <c r="F22" s="113"/>
    </row>
    <row r="23" customFormat="false" ht="12.75" hidden="false" customHeight="true" outlineLevel="0" collapsed="false">
      <c r="A23" s="111" t="str">
        <f aca="false">IF(B23="","",CONCATENATE(COUNTA(B$4:B23),"."))</f>
        <v/>
      </c>
      <c r="B23" s="112"/>
      <c r="C23" s="81"/>
      <c r="D23" s="81"/>
      <c r="E23" s="81" t="str">
        <f aca="false">IF(D23="","",IF(C23="Tecnico",D23*4.5,IF(C23="Funcional",D23*3,D23*2.5)))</f>
        <v/>
      </c>
      <c r="F23" s="113"/>
    </row>
    <row r="24" customFormat="false" ht="12.75" hidden="false" customHeight="true" outlineLevel="0" collapsed="false">
      <c r="A24" s="111" t="str">
        <f aca="false">IF(B24="","",CONCATENATE(COUNTA(B$4:B24),"."))</f>
        <v/>
      </c>
      <c r="B24" s="112"/>
      <c r="C24" s="81"/>
      <c r="D24" s="81"/>
      <c r="E24" s="81" t="str">
        <f aca="false">IF(D24="","",IF(C24="Tecnico",D24*4.5,IF(C24="Funcional",D24*3,D24*2.5)))</f>
        <v/>
      </c>
      <c r="F24" s="113"/>
    </row>
    <row r="25" customFormat="false" ht="12.75" hidden="false" customHeight="true" outlineLevel="0" collapsed="false">
      <c r="A25" s="111" t="str">
        <f aca="false">IF(B25="","",CONCATENATE(COUNTA(B$4:B25),"."))</f>
        <v/>
      </c>
      <c r="B25" s="112"/>
      <c r="C25" s="81"/>
      <c r="D25" s="81"/>
      <c r="E25" s="81" t="str">
        <f aca="false">IF(D25="","",IF(C25="Tecnico",D25*4.5,IF(C25="Funcional",D25*3,D25*2.5)))</f>
        <v/>
      </c>
      <c r="F25" s="113"/>
    </row>
    <row r="26" customFormat="false" ht="12.75" hidden="false" customHeight="true" outlineLevel="0" collapsed="false">
      <c r="A26" s="111" t="str">
        <f aca="false">IF(B26="","",CONCATENATE(COUNTA(B$4:B26),"."))</f>
        <v/>
      </c>
      <c r="B26" s="112"/>
      <c r="C26" s="81"/>
      <c r="D26" s="81"/>
      <c r="E26" s="81" t="str">
        <f aca="false">IF(D26="","",IF(C26="Tecnico",D26*4.5,IF(C26="Funcional",D26*3,D26*2.5)))</f>
        <v/>
      </c>
      <c r="F26" s="113"/>
    </row>
    <row r="27" customFormat="false" ht="12.75" hidden="false" customHeight="true" outlineLevel="0" collapsed="false">
      <c r="A27" s="111" t="str">
        <f aca="false">IF(B27="","",CONCATENATE(COUNTA(B$4:B27),"."))</f>
        <v/>
      </c>
      <c r="B27" s="112"/>
      <c r="C27" s="81"/>
      <c r="D27" s="81"/>
      <c r="E27" s="81" t="str">
        <f aca="false">IF(D27="","",IF(C27="Tecnico",D27*4.5,IF(C27="Funcional",D27*3,D27*2.5)))</f>
        <v/>
      </c>
      <c r="F27" s="113"/>
    </row>
    <row r="28" customFormat="false" ht="12.75" hidden="false" customHeight="true" outlineLevel="0" collapsed="false">
      <c r="A28" s="111" t="str">
        <f aca="false">IF(B28="","",CONCATENATE(COUNTA(B$4:B28),"."))</f>
        <v/>
      </c>
      <c r="B28" s="112"/>
      <c r="C28" s="81"/>
      <c r="D28" s="81"/>
      <c r="E28" s="81" t="str">
        <f aca="false">IF(D28="","",IF(C28="Tecnico",D28*4.5,IF(C28="Funcional",D28*3,D28*2.5)))</f>
        <v/>
      </c>
      <c r="F28" s="113"/>
    </row>
    <row r="29" customFormat="false" ht="12.75" hidden="false" customHeight="true" outlineLevel="0" collapsed="false">
      <c r="A29" s="111" t="str">
        <f aca="false">IF(B29="","",CONCATENATE(COUNTA(B$4:B29),"."))</f>
        <v/>
      </c>
      <c r="B29" s="112"/>
      <c r="C29" s="81"/>
      <c r="D29" s="81"/>
      <c r="E29" s="81" t="str">
        <f aca="false">IF(D29="","",IF(C29="Tecnico",D29*4.5,IF(C29="Funcional",D29*3,D29*2.5)))</f>
        <v/>
      </c>
      <c r="F29" s="113"/>
    </row>
    <row r="30" customFormat="false" ht="12.75" hidden="false" customHeight="true" outlineLevel="0" collapsed="false">
      <c r="A30" s="111" t="str">
        <f aca="false">IF(B30="","",CONCATENATE(COUNTA(B$4:B30),"."))</f>
        <v/>
      </c>
      <c r="B30" s="112"/>
      <c r="C30" s="81"/>
      <c r="D30" s="81"/>
      <c r="E30" s="81" t="str">
        <f aca="false">IF(D30="","",IF(C30="Tecnico",D30*4.5,IF(C30="Funcional",D30*3,D30*2.5)))</f>
        <v/>
      </c>
      <c r="F30" s="113"/>
    </row>
    <row r="31" customFormat="false" ht="12.75" hidden="false" customHeight="true" outlineLevel="0" collapsed="false">
      <c r="A31" s="111" t="str">
        <f aca="false">IF(B31="","",CONCATENATE(COUNTA(B$4:B31),"."))</f>
        <v/>
      </c>
      <c r="B31" s="112"/>
      <c r="C31" s="81"/>
      <c r="D31" s="81"/>
      <c r="E31" s="81" t="str">
        <f aca="false">IF(D31="","",IF(C31="Tecnico",D31*4.5,IF(C31="Funcional",D31*3,D31*2.5)))</f>
        <v/>
      </c>
      <c r="F31" s="113"/>
    </row>
    <row r="32" customFormat="false" ht="12.75" hidden="false" customHeight="true" outlineLevel="0" collapsed="false">
      <c r="A32" s="111" t="str">
        <f aca="false">IF(B32="","",CONCATENATE(COUNTA(B$4:B32),"."))</f>
        <v/>
      </c>
      <c r="B32" s="112"/>
      <c r="C32" s="81"/>
      <c r="D32" s="81"/>
      <c r="E32" s="81" t="str">
        <f aca="false">IF(D32="","",IF(C32="Tecnico",D32*4.5,IF(C32="Funcional",D32*3,D32*2.5)))</f>
        <v/>
      </c>
      <c r="F32" s="113"/>
    </row>
    <row r="33" customFormat="false" ht="12.75" hidden="false" customHeight="true" outlineLevel="0" collapsed="false">
      <c r="A33" s="111" t="str">
        <f aca="false">IF(B33="","",CONCATENATE(COUNTA(B$4:B33),"."))</f>
        <v/>
      </c>
      <c r="B33" s="112"/>
      <c r="C33" s="81"/>
      <c r="D33" s="81"/>
      <c r="E33" s="81" t="str">
        <f aca="false">IF(D33="","",IF(C33="Tecnico",D33*4.5,IF(C33="Funcional",D33*3,D33*2.5)))</f>
        <v/>
      </c>
      <c r="F33" s="113"/>
    </row>
    <row r="34" customFormat="false" ht="12.75" hidden="false" customHeight="true" outlineLevel="0" collapsed="false">
      <c r="A34" s="111" t="str">
        <f aca="false">IF(B34="","",CONCATENATE(COUNTA(B$4:B34),"."))</f>
        <v/>
      </c>
      <c r="B34" s="112"/>
      <c r="C34" s="81"/>
      <c r="D34" s="81"/>
      <c r="E34" s="81" t="str">
        <f aca="false">IF(D34="","",IF(C34="Tecnico",D34*4.5,IF(C34="Funcional",D34*3,D34*2.5)))</f>
        <v/>
      </c>
      <c r="F34" s="113"/>
    </row>
    <row r="35" customFormat="false" ht="12.75" hidden="false" customHeight="true" outlineLevel="0" collapsed="false">
      <c r="A35" s="111" t="str">
        <f aca="false">IF(B35="","",CONCATENATE(COUNTA(B$4:B35),"."))</f>
        <v/>
      </c>
      <c r="B35" s="112"/>
      <c r="C35" s="81"/>
      <c r="D35" s="81"/>
      <c r="E35" s="81" t="str">
        <f aca="false">IF(D35="","",IF(C35="Tecnico",D35*4.5,IF(C35="Funcional",D35*3,D35*2.5)))</f>
        <v/>
      </c>
      <c r="F35" s="113"/>
    </row>
    <row r="36" customFormat="false" ht="12.75" hidden="false" customHeight="true" outlineLevel="0" collapsed="false">
      <c r="A36" s="111" t="str">
        <f aca="false">IF(B36="","",CONCATENATE(COUNTA(B$4:B36),"."))</f>
        <v/>
      </c>
      <c r="B36" s="112"/>
      <c r="C36" s="81"/>
      <c r="D36" s="81"/>
      <c r="E36" s="81" t="str">
        <f aca="false">IF(D36="","",IF(C36="Tecnico",D36*4.5,IF(C36="Funcional",D36*3,D36*2.5)))</f>
        <v/>
      </c>
      <c r="F36" s="113"/>
    </row>
    <row r="37" customFormat="false" ht="12.75" hidden="false" customHeight="true" outlineLevel="0" collapsed="false">
      <c r="A37" s="111" t="str">
        <f aca="false">IF(B37="","",CONCATENATE(COUNTA(B$4:B37),"."))</f>
        <v/>
      </c>
      <c r="B37" s="112"/>
      <c r="C37" s="81"/>
      <c r="D37" s="81"/>
      <c r="E37" s="81" t="str">
        <f aca="false">IF(D37="","",IF(C37="Tecnico",D37*4.5,IF(C37="Funcional",D37*3,D37*2.5)))</f>
        <v/>
      </c>
      <c r="F37" s="113"/>
    </row>
    <row r="38" customFormat="false" ht="12.75" hidden="false" customHeight="true" outlineLevel="0" collapsed="false">
      <c r="A38" s="111" t="str">
        <f aca="false">IF(B38="","",CONCATENATE(COUNTA(B$4:B38),"."))</f>
        <v/>
      </c>
      <c r="B38" s="112"/>
      <c r="C38" s="81"/>
      <c r="D38" s="81"/>
      <c r="E38" s="81" t="str">
        <f aca="false">IF(D38="","",IF(C38="Tecnico",D38*4.5,IF(C38="Funcional",D38*3,D38*2.5)))</f>
        <v/>
      </c>
      <c r="F38" s="113"/>
    </row>
    <row r="39" customFormat="false" ht="12.75" hidden="false" customHeight="true" outlineLevel="0" collapsed="false">
      <c r="A39" s="111" t="str">
        <f aca="false">IF(B39="","",CONCATENATE(COUNTA(B$4:B39),"."))</f>
        <v/>
      </c>
      <c r="B39" s="112"/>
      <c r="C39" s="81"/>
      <c r="D39" s="81"/>
      <c r="E39" s="81" t="str">
        <f aca="false">IF(D39="","",IF(C39="Tecnico",D39*4.5,IF(C39="Funcional",D39*3,D39*2.5)))</f>
        <v/>
      </c>
      <c r="F39" s="113"/>
    </row>
    <row r="40" customFormat="false" ht="12.75" hidden="false" customHeight="true" outlineLevel="0" collapsed="false">
      <c r="A40" s="111" t="str">
        <f aca="false">IF(B40="","",CONCATENATE(COUNTA(B$4:B40),"."))</f>
        <v/>
      </c>
      <c r="B40" s="112"/>
      <c r="C40" s="81"/>
      <c r="D40" s="81"/>
      <c r="E40" s="81" t="str">
        <f aca="false">IF(D40="","",IF(C40="Tecnico",D40*4.5,IF(C40="Funcional",D40*3,D40*2.5)))</f>
        <v/>
      </c>
      <c r="F40" s="113"/>
    </row>
    <row r="41" customFormat="false" ht="12.75" hidden="false" customHeight="true" outlineLevel="0" collapsed="false">
      <c r="A41" s="111" t="str">
        <f aca="false">IF(B41="","",CONCATENATE(COUNTA(B$4:B41),"."))</f>
        <v/>
      </c>
      <c r="B41" s="112"/>
      <c r="C41" s="81"/>
      <c r="D41" s="81"/>
      <c r="E41" s="81" t="str">
        <f aca="false">IF(D41="","",IF(C41="Tecnico",D41*4.5,IF(C41="Funcional",D41*3,D41*2.5)))</f>
        <v/>
      </c>
      <c r="F41" s="113"/>
    </row>
    <row r="42" customFormat="false" ht="12.75" hidden="false" customHeight="true" outlineLevel="0" collapsed="false">
      <c r="A42" s="111" t="str">
        <f aca="false">IF(B42="","",CONCATENATE(COUNTA(B$4:B42),"."))</f>
        <v/>
      </c>
      <c r="B42" s="112"/>
      <c r="C42" s="81"/>
      <c r="D42" s="81"/>
      <c r="E42" s="81" t="str">
        <f aca="false">IF(D42="","",IF(C42="Tecnico",D42*4.5,IF(C42="Funcional",D42*3,D42*2.5)))</f>
        <v/>
      </c>
      <c r="F42" s="113"/>
    </row>
    <row r="43" customFormat="false" ht="12.75" hidden="false" customHeight="true" outlineLevel="0" collapsed="false">
      <c r="A43" s="111" t="str">
        <f aca="false">IF(B43="","",CONCATENATE(COUNTA(B$4:B43),"."))</f>
        <v/>
      </c>
      <c r="B43" s="112"/>
      <c r="C43" s="81"/>
      <c r="D43" s="81"/>
      <c r="E43" s="81" t="str">
        <f aca="false">IF(D43="","",IF(C43="Tecnico",D43*4.5,IF(C43="Funcional",D43*3,D43*2.5)))</f>
        <v/>
      </c>
      <c r="F43" s="113"/>
    </row>
    <row r="44" customFormat="false" ht="12.75" hidden="false" customHeight="true" outlineLevel="0" collapsed="false">
      <c r="A44" s="111" t="str">
        <f aca="false">IF(B44="","",CONCATENATE(COUNTA(B$4:B44),"."))</f>
        <v/>
      </c>
      <c r="B44" s="112"/>
      <c r="C44" s="81"/>
      <c r="D44" s="81"/>
      <c r="E44" s="81" t="str">
        <f aca="false">IF(D44="","",IF(C44="Tecnico",D44*4.5,IF(C44="Funcional",D44*3,D44*2.5)))</f>
        <v/>
      </c>
      <c r="F44" s="113"/>
    </row>
    <row r="45" customFormat="false" ht="12.75" hidden="false" customHeight="true" outlineLevel="0" collapsed="false">
      <c r="A45" s="111" t="str">
        <f aca="false">IF(B45="","",CONCATENATE(COUNTA(B$4:B45),"."))</f>
        <v/>
      </c>
      <c r="B45" s="112"/>
      <c r="C45" s="81"/>
      <c r="D45" s="81"/>
      <c r="E45" s="81" t="str">
        <f aca="false">IF(D45="","",IF(C45="Tecnico",D45*4.5,IF(C45="Funcional",D45*3,D45*2.5)))</f>
        <v/>
      </c>
      <c r="F45" s="113"/>
    </row>
    <row r="46" customFormat="false" ht="12.75" hidden="false" customHeight="true" outlineLevel="0" collapsed="false">
      <c r="A46" s="111" t="str">
        <f aca="false">IF(B46="","",CONCATENATE(COUNTA(B$4:B46),"."))</f>
        <v/>
      </c>
      <c r="B46" s="112"/>
      <c r="C46" s="81"/>
      <c r="D46" s="81"/>
      <c r="E46" s="81" t="str">
        <f aca="false">IF(D46="","",IF(C46="Tecnico",D46*4.5,IF(C46="Funcional",D46*3,D46*2.5)))</f>
        <v/>
      </c>
      <c r="F46" s="113"/>
    </row>
    <row r="47" customFormat="false" ht="12.75" hidden="false" customHeight="true" outlineLevel="0" collapsed="false">
      <c r="A47" s="111" t="str">
        <f aca="false">IF(B47="","",CONCATENATE(COUNTA(B$4:B47),"."))</f>
        <v/>
      </c>
      <c r="B47" s="112"/>
      <c r="C47" s="81"/>
      <c r="D47" s="81"/>
      <c r="E47" s="81" t="str">
        <f aca="false">IF(D47="","",IF(C47="Tecnico",D47*4.5,IF(C47="Funcional",D47*3,D47*2.5)))</f>
        <v/>
      </c>
      <c r="F47" s="113"/>
    </row>
    <row r="48" customFormat="false" ht="12.75" hidden="false" customHeight="true" outlineLevel="0" collapsed="false">
      <c r="A48" s="111" t="str">
        <f aca="false">IF(B48="","",CONCATENATE(COUNTA(B$4:B48),"."))</f>
        <v/>
      </c>
      <c r="B48" s="112"/>
      <c r="C48" s="81"/>
      <c r="D48" s="81"/>
      <c r="E48" s="81" t="str">
        <f aca="false">IF(D48="","",IF(C48="Tecnico",D48*4.5,IF(C48="Funcional",D48*3,D48*2.5)))</f>
        <v/>
      </c>
      <c r="F48" s="113"/>
    </row>
    <row r="49" customFormat="false" ht="12.75" hidden="false" customHeight="true" outlineLevel="0" collapsed="false">
      <c r="A49" s="111" t="str">
        <f aca="false">IF(B49="","",CONCATENATE(COUNTA(B$4:B49),"."))</f>
        <v/>
      </c>
      <c r="B49" s="112"/>
      <c r="C49" s="81"/>
      <c r="D49" s="81"/>
      <c r="E49" s="81" t="str">
        <f aca="false">IF(D49="","",IF(C49="Tecnico",D49*4.5,IF(C49="Funcional",D49*3,D49*2.5)))</f>
        <v/>
      </c>
      <c r="F49" s="113"/>
    </row>
    <row r="50" customFormat="false" ht="12.75" hidden="false" customHeight="true" outlineLevel="0" collapsed="false">
      <c r="A50" s="111" t="str">
        <f aca="false">IF(B50="","",CONCATENATE(COUNTA(B$4:B50),"."))</f>
        <v/>
      </c>
      <c r="B50" s="112"/>
      <c r="C50" s="81"/>
      <c r="D50" s="81"/>
      <c r="E50" s="81" t="str">
        <f aca="false">IF(D50="","",IF(C50="Tecnico",D50*4.5,IF(C50="Funcional",D50*3,D50*2.5)))</f>
        <v/>
      </c>
      <c r="F50" s="113"/>
    </row>
    <row r="51" customFormat="false" ht="12.75" hidden="false" customHeight="true" outlineLevel="0" collapsed="false">
      <c r="A51" s="111" t="str">
        <f aca="false">IF(B51="","",CONCATENATE(COUNTA(B$4:B51),"."))</f>
        <v/>
      </c>
      <c r="B51" s="112"/>
      <c r="C51" s="81"/>
      <c r="D51" s="81"/>
      <c r="E51" s="81" t="str">
        <f aca="false">IF(D51="","",IF(C51="Tecnico",D51*4.5,IF(C51="Funcional",D51*3,D51*2.5)))</f>
        <v/>
      </c>
      <c r="F51" s="113"/>
    </row>
    <row r="52" customFormat="false" ht="12.75" hidden="false" customHeight="true" outlineLevel="0" collapsed="false">
      <c r="A52" s="111" t="str">
        <f aca="false">IF(B52="","",CONCATENATE(COUNTA(B$4:B52),"."))</f>
        <v/>
      </c>
      <c r="B52" s="112"/>
      <c r="C52" s="81"/>
      <c r="D52" s="81"/>
      <c r="E52" s="81" t="str">
        <f aca="false">IF(D52="","",IF(C52="Tecnico",D52*4.5,IF(C52="Funcional",D52*3,D52*2.5)))</f>
        <v/>
      </c>
      <c r="F52" s="113"/>
    </row>
    <row r="53" customFormat="false" ht="12.75" hidden="false" customHeight="true" outlineLevel="0" collapsed="false">
      <c r="A53" s="111" t="str">
        <f aca="false">IF(B53="","",CONCATENATE(COUNTA(B$4:B53),"."))</f>
        <v/>
      </c>
      <c r="B53" s="112"/>
      <c r="C53" s="81"/>
      <c r="D53" s="81"/>
      <c r="E53" s="81" t="str">
        <f aca="false">IF(D53="","",IF(C53="Tecnico",D53*4.5,IF(C53="Funcional",D53*3,D53*2.5)))</f>
        <v/>
      </c>
      <c r="F53" s="113"/>
    </row>
    <row r="54" customFormat="false" ht="12.75" hidden="false" customHeight="true" outlineLevel="0" collapsed="false">
      <c r="A54" s="111" t="str">
        <f aca="false">IF(B54="","",CONCATENATE(COUNTA(B$4:B54),"."))</f>
        <v/>
      </c>
      <c r="B54" s="112"/>
      <c r="C54" s="81"/>
      <c r="D54" s="81"/>
      <c r="E54" s="81" t="str">
        <f aca="false">IF(D54="","",IF(C54="Tecnico",D54*4.5,IF(C54="Funcional",D54*3,D54*2.5)))</f>
        <v/>
      </c>
      <c r="F54" s="113"/>
    </row>
    <row r="55" customFormat="false" ht="12.75" hidden="false" customHeight="true" outlineLevel="0" collapsed="false">
      <c r="A55" s="111" t="str">
        <f aca="false">IF(B55="","",CONCATENATE(COUNTA(B$4:B55),"."))</f>
        <v/>
      </c>
      <c r="B55" s="112"/>
      <c r="C55" s="81"/>
      <c r="D55" s="81"/>
      <c r="E55" s="81" t="str">
        <f aca="false">IF(D55="","",IF(C55="Tecnico",D55*4.5,IF(C55="Funcional",D55*3,D55*2.5)))</f>
        <v/>
      </c>
      <c r="F55" s="113"/>
    </row>
    <row r="56" customFormat="false" ht="12.75" hidden="false" customHeight="true" outlineLevel="0" collapsed="false">
      <c r="A56" s="111" t="str">
        <f aca="false">IF(B56="","",CONCATENATE(COUNTA(B$4:B56),"."))</f>
        <v/>
      </c>
      <c r="B56" s="112"/>
      <c r="C56" s="81"/>
      <c r="D56" s="81"/>
      <c r="E56" s="81" t="str">
        <f aca="false">IF(D56="","",IF(C56="Tecnico",D56*4.5,IF(C56="Funcional",D56*3,D56*2.5)))</f>
        <v/>
      </c>
      <c r="F56" s="113"/>
    </row>
    <row r="57" customFormat="false" ht="12.75" hidden="false" customHeight="true" outlineLevel="0" collapsed="false">
      <c r="A57" s="111" t="str">
        <f aca="false">IF(B57="","",CONCATENATE(COUNTA(B$4:B57),"."))</f>
        <v/>
      </c>
      <c r="B57" s="112"/>
      <c r="C57" s="81"/>
      <c r="D57" s="81"/>
      <c r="E57" s="81" t="str">
        <f aca="false">IF(D57="","",IF(C57="Tecnico",D57*4.5,IF(C57="Funcional",D57*3,D57*2.5)))</f>
        <v/>
      </c>
      <c r="F57" s="113"/>
    </row>
    <row r="58" customFormat="false" ht="12.75" hidden="false" customHeight="true" outlineLevel="0" collapsed="false">
      <c r="A58" s="111" t="str">
        <f aca="false">IF(B58="","",CONCATENATE(COUNTA(B$4:B58),"."))</f>
        <v/>
      </c>
      <c r="B58" s="112"/>
      <c r="C58" s="81"/>
      <c r="D58" s="81"/>
      <c r="E58" s="81" t="str">
        <f aca="false">IF(D58="","",IF(C58="Tecnico",D58*4.5,IF(C58="Funcional",D58*3,D58*2.5)))</f>
        <v/>
      </c>
      <c r="F58" s="113"/>
    </row>
    <row r="59" customFormat="false" ht="12.75" hidden="false" customHeight="true" outlineLevel="0" collapsed="false">
      <c r="A59" s="111" t="str">
        <f aca="false">IF(B59="","",CONCATENATE(COUNTA(B$4:B59),"."))</f>
        <v/>
      </c>
      <c r="B59" s="112"/>
      <c r="C59" s="81"/>
      <c r="D59" s="81"/>
      <c r="E59" s="81" t="str">
        <f aca="false">IF(D59="","",IF(C59="Tecnico",D59*4.5,IF(C59="Funcional",D59*3,D59*2.5)))</f>
        <v/>
      </c>
      <c r="F59" s="113"/>
    </row>
    <row r="60" customFormat="false" ht="12.75" hidden="false" customHeight="true" outlineLevel="0" collapsed="false">
      <c r="A60" s="111" t="str">
        <f aca="false">IF(B60="","",CONCATENATE(COUNTA(B$4:B60),"."))</f>
        <v/>
      </c>
      <c r="B60" s="112"/>
      <c r="C60" s="81"/>
      <c r="D60" s="81"/>
      <c r="E60" s="81" t="str">
        <f aca="false">IF(D60="","",IF(C60="Tecnico",D60*4.5,IF(C60="Funcional",D60*3,D60*2.5)))</f>
        <v/>
      </c>
      <c r="F60" s="113"/>
    </row>
    <row r="61" customFormat="false" ht="12.75" hidden="false" customHeight="true" outlineLevel="0" collapsed="false">
      <c r="A61" s="111" t="str">
        <f aca="false">IF(B61="","",CONCATENATE(COUNTA(B$4:B61),"."))</f>
        <v/>
      </c>
      <c r="B61" s="112"/>
      <c r="C61" s="81"/>
      <c r="D61" s="81"/>
      <c r="E61" s="81" t="str">
        <f aca="false">IF(D61="","",IF(C61="Tecnico",D61*4.5,IF(C61="Funcional",D61*3,D61*2.5)))</f>
        <v/>
      </c>
      <c r="F61" s="113"/>
    </row>
    <row r="62" customFormat="false" ht="12.75" hidden="false" customHeight="true" outlineLevel="0" collapsed="false">
      <c r="A62" s="111" t="str">
        <f aca="false">IF(B62="","",CONCATENATE(COUNTA(B$4:B62),"."))</f>
        <v/>
      </c>
      <c r="B62" s="112"/>
      <c r="C62" s="81"/>
      <c r="D62" s="81"/>
      <c r="E62" s="81" t="str">
        <f aca="false">IF(D62="","",IF(C62="Tecnico",D62*4.5,IF(C62="Funcional",D62*3,D62*2.5)))</f>
        <v/>
      </c>
      <c r="F62" s="113"/>
    </row>
    <row r="63" customFormat="false" ht="12.75" hidden="false" customHeight="true" outlineLevel="0" collapsed="false">
      <c r="A63" s="111" t="str">
        <f aca="false">IF(B63="","",CONCATENATE(COUNTA(B$4:B63),"."))</f>
        <v/>
      </c>
      <c r="B63" s="112"/>
      <c r="C63" s="81"/>
      <c r="D63" s="81"/>
      <c r="E63" s="81" t="str">
        <f aca="false">IF(D63="","",IF(C63="Tecnico",D63*4.5,IF(C63="Funcional",D63*3,D63*2.5)))</f>
        <v/>
      </c>
      <c r="F63" s="113"/>
    </row>
    <row r="64" customFormat="false" ht="12.75" hidden="false" customHeight="true" outlineLevel="0" collapsed="false">
      <c r="A64" s="111" t="str">
        <f aca="false">IF(B64="","",CONCATENATE(COUNTA(B$4:B64),"."))</f>
        <v/>
      </c>
      <c r="B64" s="112"/>
      <c r="C64" s="81"/>
      <c r="D64" s="81"/>
      <c r="E64" s="81" t="str">
        <f aca="false">IF(D64="","",IF(C64="Tecnico",D64*4.5,IF(C64="Funcional",D64*3,D64*2.5)))</f>
        <v/>
      </c>
      <c r="F64" s="113"/>
    </row>
    <row r="65" customFormat="false" ht="12.75" hidden="false" customHeight="true" outlineLevel="0" collapsed="false">
      <c r="A65" s="111" t="str">
        <f aca="false">IF(B65="","",CONCATENATE(COUNTA(B$4:B65),"."))</f>
        <v/>
      </c>
      <c r="B65" s="112"/>
      <c r="C65" s="81"/>
      <c r="D65" s="81"/>
      <c r="E65" s="81" t="str">
        <f aca="false">IF(D65="","",IF(C65="Tecnico",D65*4.5,IF(C65="Funcional",D65*3,D65*2.5)))</f>
        <v/>
      </c>
      <c r="F65" s="113"/>
    </row>
    <row r="66" customFormat="false" ht="12.75" hidden="false" customHeight="true" outlineLevel="0" collapsed="false">
      <c r="A66" s="111" t="str">
        <f aca="false">IF(B66="","",CONCATENATE(COUNTA(B$4:B66),"."))</f>
        <v/>
      </c>
      <c r="B66" s="112"/>
      <c r="C66" s="81"/>
      <c r="D66" s="81"/>
      <c r="E66" s="81" t="str">
        <f aca="false">IF(D66="","",IF(C66="Tecnico",D66*4.5,IF(C66="Funcional",D66*3,D66*2.5)))</f>
        <v/>
      </c>
      <c r="F66" s="113"/>
    </row>
    <row r="67" customFormat="false" ht="12.75" hidden="false" customHeight="true" outlineLevel="0" collapsed="false">
      <c r="A67" s="111" t="str">
        <f aca="false">IF(B67="","",CONCATENATE(COUNTA(B$4:B67),"."))</f>
        <v/>
      </c>
      <c r="B67" s="112"/>
      <c r="C67" s="81"/>
      <c r="D67" s="81"/>
      <c r="E67" s="81" t="str">
        <f aca="false">IF(D67="","",IF(C67="Tecnico",D67*4.5,IF(C67="Funcional",D67*3,D67*2.5)))</f>
        <v/>
      </c>
      <c r="F67" s="113"/>
    </row>
    <row r="68" customFormat="false" ht="12.75" hidden="false" customHeight="true" outlineLevel="0" collapsed="false">
      <c r="A68" s="111" t="str">
        <f aca="false">IF(B68="","",CONCATENATE(COUNTA(B$4:B68),"."))</f>
        <v/>
      </c>
      <c r="B68" s="112"/>
      <c r="C68" s="81"/>
      <c r="D68" s="81"/>
      <c r="E68" s="81" t="str">
        <f aca="false">IF(D68="","",IF(C68="Tecnico",D68*4.5,IF(C68="Funcional",D68*3,D68*2.5)))</f>
        <v/>
      </c>
      <c r="F68" s="113"/>
    </row>
    <row r="69" customFormat="false" ht="12.75" hidden="false" customHeight="true" outlineLevel="0" collapsed="false">
      <c r="A69" s="111" t="str">
        <f aca="false">IF(B69="","",CONCATENATE(COUNTA(B$4:B69),"."))</f>
        <v/>
      </c>
      <c r="B69" s="112"/>
      <c r="C69" s="81"/>
      <c r="D69" s="81"/>
      <c r="E69" s="81" t="str">
        <f aca="false">IF(D69="","",IF(C69="Tecnico",D69*4.5,IF(C69="Funcional",D69*3,D69*2.5)))</f>
        <v/>
      </c>
      <c r="F69" s="113"/>
    </row>
    <row r="70" customFormat="false" ht="12.75" hidden="false" customHeight="true" outlineLevel="0" collapsed="false">
      <c r="A70" s="111" t="str">
        <f aca="false">IF(B70="","",CONCATENATE(COUNTA(B$4:B70),"."))</f>
        <v/>
      </c>
      <c r="B70" s="112"/>
      <c r="C70" s="81"/>
      <c r="D70" s="81"/>
      <c r="E70" s="81" t="str">
        <f aca="false">IF(D70="","",IF(C70="Tecnico",D70*4.5,IF(C70="Funcional",D70*3,D70*2.5)))</f>
        <v/>
      </c>
      <c r="F70" s="113"/>
    </row>
    <row r="71" customFormat="false" ht="12.75" hidden="false" customHeight="true" outlineLevel="0" collapsed="false">
      <c r="A71" s="111" t="str">
        <f aca="false">IF(B71="","",CONCATENATE(COUNTA(B$4:B71),"."))</f>
        <v/>
      </c>
      <c r="B71" s="112"/>
      <c r="C71" s="81"/>
      <c r="D71" s="81"/>
      <c r="E71" s="81" t="str">
        <f aca="false">IF(D71="","",IF(C71="Tecnico",D71*4.5,IF(C71="Funcional",D71*3,D71*2.5)))</f>
        <v/>
      </c>
      <c r="F71" s="113"/>
    </row>
    <row r="72" customFormat="false" ht="12.75" hidden="false" customHeight="true" outlineLevel="0" collapsed="false">
      <c r="A72" s="111" t="str">
        <f aca="false">IF(B72="","",CONCATENATE(COUNTA(B$4:B72),"."))</f>
        <v/>
      </c>
      <c r="B72" s="112"/>
      <c r="C72" s="81"/>
      <c r="D72" s="81"/>
      <c r="E72" s="81" t="str">
        <f aca="false">IF(D72="","",IF(C72="Tecnico",D72*4.5,IF(C72="Funcional",D72*3,D72*2.5)))</f>
        <v/>
      </c>
      <c r="F72" s="113"/>
    </row>
    <row r="73" customFormat="false" ht="12.75" hidden="false" customHeight="true" outlineLevel="0" collapsed="false">
      <c r="A73" s="111" t="str">
        <f aca="false">IF(B73="","",CONCATENATE(COUNTA(B$4:B73),"."))</f>
        <v/>
      </c>
      <c r="B73" s="112"/>
      <c r="C73" s="81"/>
      <c r="D73" s="81"/>
      <c r="E73" s="81" t="str">
        <f aca="false">IF(D73="","",IF(C73="Tecnico",D73*4.5,IF(C73="Funcional",D73*3,D73*2.5)))</f>
        <v/>
      </c>
      <c r="F73" s="113"/>
    </row>
    <row r="74" customFormat="false" ht="12.75" hidden="false" customHeight="true" outlineLevel="0" collapsed="false">
      <c r="A74" s="111" t="str">
        <f aca="false">IF(B74="","",CONCATENATE(COUNTA(B$4:B74),"."))</f>
        <v/>
      </c>
      <c r="B74" s="112"/>
      <c r="C74" s="81"/>
      <c r="D74" s="81"/>
      <c r="E74" s="81" t="str">
        <f aca="false">IF(D74="","",IF(C74="Tecnico",D74*4.5,IF(C74="Funcional",D74*3,D74*2.5)))</f>
        <v/>
      </c>
      <c r="F74" s="113"/>
    </row>
    <row r="75" customFormat="false" ht="12.75" hidden="false" customHeight="true" outlineLevel="0" collapsed="false">
      <c r="A75" s="111" t="str">
        <f aca="false">IF(B75="","",CONCATENATE(COUNTA(B$4:B75),"."))</f>
        <v/>
      </c>
      <c r="B75" s="112"/>
      <c r="C75" s="81"/>
      <c r="D75" s="81"/>
      <c r="E75" s="81" t="str">
        <f aca="false">IF(D75="","",IF(C75="Tecnico",D75*4.5,IF(C75="Funcional",D75*3,D75*2.5)))</f>
        <v/>
      </c>
      <c r="F75" s="113"/>
    </row>
    <row r="76" customFormat="false" ht="12.75" hidden="false" customHeight="true" outlineLevel="0" collapsed="false">
      <c r="A76" s="111" t="str">
        <f aca="false">IF(B76="","",CONCATENATE(COUNTA(B$4:B76),"."))</f>
        <v/>
      </c>
      <c r="B76" s="112"/>
      <c r="C76" s="81"/>
      <c r="D76" s="81"/>
      <c r="E76" s="81" t="str">
        <f aca="false">IF(D76="","",IF(C76="Tecnico",D76*4.5,IF(C76="Funcional",D76*3,D76*2.5)))</f>
        <v/>
      </c>
      <c r="F76" s="113"/>
    </row>
    <row r="77" customFormat="false" ht="12.75" hidden="false" customHeight="true" outlineLevel="0" collapsed="false">
      <c r="A77" s="111" t="str">
        <f aca="false">IF(B77="","",CONCATENATE(COUNTA(B$4:B77),"."))</f>
        <v/>
      </c>
      <c r="B77" s="112"/>
      <c r="C77" s="81"/>
      <c r="D77" s="81"/>
      <c r="E77" s="81" t="str">
        <f aca="false">IF(D77="","",IF(C77="Tecnico",D77*4.5,IF(C77="Funcional",D77*3,D77*2.5)))</f>
        <v/>
      </c>
      <c r="F77" s="113"/>
    </row>
    <row r="78" customFormat="false" ht="12.75" hidden="false" customHeight="true" outlineLevel="0" collapsed="false">
      <c r="A78" s="111" t="str">
        <f aca="false">IF(B78="","",CONCATENATE(COUNTA(B$4:B78),"."))</f>
        <v/>
      </c>
      <c r="B78" s="112"/>
      <c r="C78" s="81"/>
      <c r="D78" s="81"/>
      <c r="E78" s="81" t="str">
        <f aca="false">IF(D78="","",IF(C78="Tecnico",D78*4.5,IF(C78="Funcional",D78*3,D78*2.5)))</f>
        <v/>
      </c>
      <c r="F78" s="113"/>
    </row>
    <row r="79" customFormat="false" ht="12.75" hidden="false" customHeight="true" outlineLevel="0" collapsed="false">
      <c r="A79" s="111" t="str">
        <f aca="false">IF(B79="","",CONCATENATE(COUNTA(B$4:B79),"."))</f>
        <v/>
      </c>
      <c r="B79" s="112"/>
      <c r="C79" s="81"/>
      <c r="D79" s="81"/>
      <c r="E79" s="81" t="str">
        <f aca="false">IF(D79="","",IF(C79="Tecnico",D79*4.5,IF(C79="Funcional",D79*3,D79*2.5)))</f>
        <v/>
      </c>
      <c r="F79" s="113"/>
    </row>
    <row r="80" customFormat="false" ht="12.75" hidden="false" customHeight="true" outlineLevel="0" collapsed="false">
      <c r="A80" s="111" t="str">
        <f aca="false">IF(B80="","",CONCATENATE(COUNTA(B$4:B80),"."))</f>
        <v/>
      </c>
      <c r="B80" s="112"/>
      <c r="C80" s="81"/>
      <c r="D80" s="81"/>
      <c r="E80" s="81" t="str">
        <f aca="false">IF(D80="","",IF(C80="Tecnico",D80*4.5,IF(C80="Funcional",D80*3,D80*2.5)))</f>
        <v/>
      </c>
      <c r="F80" s="113"/>
    </row>
    <row r="81" customFormat="false" ht="12.75" hidden="false" customHeight="true" outlineLevel="0" collapsed="false">
      <c r="A81" s="111" t="str">
        <f aca="false">IF(B81="","",CONCATENATE(COUNTA(B$4:B81),"."))</f>
        <v/>
      </c>
      <c r="B81" s="112"/>
      <c r="C81" s="81"/>
      <c r="D81" s="81"/>
      <c r="E81" s="81" t="str">
        <f aca="false">IF(D81="","",IF(C81="Tecnico",D81*4.5,IF(C81="Funcional",D81*3,D81*2.5)))</f>
        <v/>
      </c>
      <c r="F81" s="113"/>
    </row>
    <row r="82" customFormat="false" ht="12.75" hidden="false" customHeight="true" outlineLevel="0" collapsed="false">
      <c r="A82" s="111" t="str">
        <f aca="false">IF(B82="","",CONCATENATE(COUNTA(B$4:B82),"."))</f>
        <v/>
      </c>
      <c r="B82" s="112"/>
      <c r="C82" s="81"/>
      <c r="D82" s="81"/>
      <c r="E82" s="81" t="str">
        <f aca="false">IF(D82="","",IF(C82="Tecnico",D82*4.5,IF(C82="Funcional",D82*3,D82*2.5)))</f>
        <v/>
      </c>
      <c r="F82" s="113"/>
    </row>
    <row r="83" customFormat="false" ht="12.75" hidden="false" customHeight="true" outlineLevel="0" collapsed="false">
      <c r="A83" s="111" t="str">
        <f aca="false">IF(B83="","",CONCATENATE(COUNTA(B$4:B83),"."))</f>
        <v/>
      </c>
      <c r="B83" s="112"/>
      <c r="C83" s="81"/>
      <c r="D83" s="81"/>
      <c r="E83" s="81" t="str">
        <f aca="false">IF(D83="","",IF(C83="Tecnico",D83*4.5,IF(C83="Funcional",D83*3,D83*2.5)))</f>
        <v/>
      </c>
      <c r="F83" s="113"/>
    </row>
    <row r="84" customFormat="false" ht="12.75" hidden="false" customHeight="true" outlineLevel="0" collapsed="false">
      <c r="A84" s="111" t="str">
        <f aca="false">IF(B84="","",CONCATENATE(COUNTA(B$4:B84),"."))</f>
        <v/>
      </c>
      <c r="B84" s="112"/>
      <c r="C84" s="81"/>
      <c r="D84" s="81"/>
      <c r="E84" s="81" t="str">
        <f aca="false">IF(D84="","",IF(C84="Tecnico",D84*4.5,IF(C84="Funcional",D84*3,D84*2.5)))</f>
        <v/>
      </c>
      <c r="F84" s="113"/>
    </row>
    <row r="85" customFormat="false" ht="12.75" hidden="false" customHeight="true" outlineLevel="0" collapsed="false">
      <c r="A85" s="111" t="str">
        <f aca="false">IF(B85="","",CONCATENATE(COUNTA(B$4:B85),"."))</f>
        <v/>
      </c>
      <c r="B85" s="112"/>
      <c r="C85" s="81"/>
      <c r="D85" s="81"/>
      <c r="E85" s="81" t="str">
        <f aca="false">IF(D85="","",IF(C85="Tecnico",D85*4.5,IF(C85="Funcional",D85*3,D85*2.5)))</f>
        <v/>
      </c>
      <c r="F85" s="113"/>
    </row>
    <row r="86" customFormat="false" ht="12.75" hidden="false" customHeight="true" outlineLevel="0" collapsed="false">
      <c r="A86" s="111" t="str">
        <f aca="false">IF(B86="","",CONCATENATE(COUNTA(B$4:B86),"."))</f>
        <v/>
      </c>
      <c r="B86" s="112"/>
      <c r="C86" s="81"/>
      <c r="D86" s="81"/>
      <c r="E86" s="81" t="str">
        <f aca="false">IF(D86="","",IF(C86="Tecnico",D86*4.5,IF(C86="Funcional",D86*3,D86*2.5)))</f>
        <v/>
      </c>
      <c r="F86" s="113"/>
    </row>
    <row r="87" customFormat="false" ht="12.75" hidden="false" customHeight="true" outlineLevel="0" collapsed="false">
      <c r="A87" s="111" t="str">
        <f aca="false">IF(B87="","",CONCATENATE(COUNTA(B$4:B87),"."))</f>
        <v/>
      </c>
      <c r="B87" s="112"/>
      <c r="C87" s="81"/>
      <c r="D87" s="81"/>
      <c r="E87" s="81" t="str">
        <f aca="false">IF(D87="","",IF(C87="Tecnico",D87*4.5,IF(C87="Funcional",D87*3,D87*2.5)))</f>
        <v/>
      </c>
      <c r="F87" s="113"/>
    </row>
    <row r="88" customFormat="false" ht="12.75" hidden="false" customHeight="true" outlineLevel="0" collapsed="false">
      <c r="A88" s="111" t="str">
        <f aca="false">IF(B88="","",CONCATENATE(COUNTA(B$4:B88),"."))</f>
        <v/>
      </c>
      <c r="B88" s="112"/>
      <c r="C88" s="81"/>
      <c r="D88" s="81"/>
      <c r="E88" s="81" t="str">
        <f aca="false">IF(D88="","",IF(C88="Tecnico",D88*4.5,IF(C88="Funcional",D88*3,D88*2.5)))</f>
        <v/>
      </c>
      <c r="F88" s="113"/>
    </row>
    <row r="89" customFormat="false" ht="12.75" hidden="false" customHeight="true" outlineLevel="0" collapsed="false">
      <c r="A89" s="111" t="str">
        <f aca="false">IF(B89="","",CONCATENATE(COUNTA(B$4:B89),"."))</f>
        <v/>
      </c>
      <c r="B89" s="112"/>
      <c r="C89" s="81"/>
      <c r="D89" s="81"/>
      <c r="E89" s="81" t="str">
        <f aca="false">IF(D89="","",IF(C89="Tecnico",D89*4.5,IF(C89="Funcional",D89*3,D89*2.5)))</f>
        <v/>
      </c>
      <c r="F89" s="113"/>
    </row>
    <row r="90" customFormat="false" ht="12.75" hidden="false" customHeight="true" outlineLevel="0" collapsed="false">
      <c r="A90" s="111" t="str">
        <f aca="false">IF(B90="","",CONCATENATE(COUNTA(B$4:B90),"."))</f>
        <v/>
      </c>
      <c r="B90" s="112"/>
      <c r="C90" s="81"/>
      <c r="D90" s="81"/>
      <c r="E90" s="81" t="str">
        <f aca="false">IF(D90="","",IF(C90="Tecnico",D90*4.5,IF(C90="Funcional",D90*3,D90*2.5)))</f>
        <v/>
      </c>
      <c r="F90" s="113"/>
    </row>
    <row r="91" customFormat="false" ht="12.75" hidden="false" customHeight="true" outlineLevel="0" collapsed="false">
      <c r="A91" s="111" t="str">
        <f aca="false">IF(B91="","",CONCATENATE(COUNTA(B$4:B91),"."))</f>
        <v/>
      </c>
      <c r="B91" s="112"/>
      <c r="C91" s="81"/>
      <c r="D91" s="81"/>
      <c r="E91" s="81" t="str">
        <f aca="false">IF(D91="","",IF(C91="Tecnico",D91*4.5,IF(C91="Funcional",D91*3,D91*2.5)))</f>
        <v/>
      </c>
      <c r="F91" s="113"/>
    </row>
    <row r="92" customFormat="false" ht="12.75" hidden="false" customHeight="true" outlineLevel="0" collapsed="false">
      <c r="A92" s="111" t="str">
        <f aca="false">IF(B92="","",CONCATENATE(COUNTA(B$4:B92),"."))</f>
        <v/>
      </c>
      <c r="B92" s="112"/>
      <c r="C92" s="81"/>
      <c r="D92" s="81"/>
      <c r="E92" s="81" t="str">
        <f aca="false">IF(D92="","",IF(C92="Tecnico",D92*4.5,IF(C92="Funcional",D92*3,D92*2.5)))</f>
        <v/>
      </c>
      <c r="F92" s="113"/>
    </row>
    <row r="93" customFormat="false" ht="12.75" hidden="false" customHeight="true" outlineLevel="0" collapsed="false">
      <c r="A93" s="111" t="str">
        <f aca="false">IF(B93="","",CONCATENATE(COUNTA(B$4:B93),"."))</f>
        <v/>
      </c>
      <c r="B93" s="112"/>
      <c r="C93" s="81"/>
      <c r="D93" s="81"/>
      <c r="E93" s="81" t="str">
        <f aca="false">IF(D93="","",IF(C93="Tecnico",D93*4.5,IF(C93="Funcional",D93*3,D93*2.5)))</f>
        <v/>
      </c>
      <c r="F93" s="113"/>
    </row>
    <row r="94" customFormat="false" ht="12.75" hidden="false" customHeight="true" outlineLevel="0" collapsed="false">
      <c r="A94" s="111" t="str">
        <f aca="false">IF(B94="","",CONCATENATE(COUNTA(B$4:B94),"."))</f>
        <v/>
      </c>
      <c r="B94" s="112"/>
      <c r="C94" s="81"/>
      <c r="D94" s="81"/>
      <c r="E94" s="81" t="str">
        <f aca="false">IF(D94="","",IF(C94="Tecnico",D94*4.5,IF(C94="Funcional",D94*3,D94*2.5)))</f>
        <v/>
      </c>
      <c r="F94" s="113"/>
    </row>
    <row r="95" customFormat="false" ht="12.75" hidden="false" customHeight="true" outlineLevel="0" collapsed="false">
      <c r="A95" s="111" t="str">
        <f aca="false">IF(B95="","",CONCATENATE(COUNTA(B$4:B95),"."))</f>
        <v/>
      </c>
      <c r="B95" s="112"/>
      <c r="C95" s="81"/>
      <c r="D95" s="81"/>
      <c r="E95" s="81" t="str">
        <f aca="false">IF(D95="","",IF(C95="Tecnico",D95*4.5,IF(C95="Funcional",D95*3,D95*2.5)))</f>
        <v/>
      </c>
      <c r="F95" s="113"/>
    </row>
    <row r="96" customFormat="false" ht="12.75" hidden="false" customHeight="true" outlineLevel="0" collapsed="false">
      <c r="A96" s="111" t="str">
        <f aca="false">IF(B96="","",CONCATENATE(COUNTA(B$4:B96),"."))</f>
        <v/>
      </c>
      <c r="B96" s="112"/>
      <c r="C96" s="81"/>
      <c r="D96" s="81"/>
      <c r="E96" s="81" t="str">
        <f aca="false">IF(D96="","",IF(C96="Tecnico",D96*4.5,IF(C96="Funcional",D96*3,D96*2.5)))</f>
        <v/>
      </c>
      <c r="F96" s="113"/>
    </row>
    <row r="97" customFormat="false" ht="12.75" hidden="false" customHeight="true" outlineLevel="0" collapsed="false">
      <c r="A97" s="111" t="str">
        <f aca="false">IF(B97="","",CONCATENATE(COUNTA(B$4:B97),"."))</f>
        <v/>
      </c>
      <c r="B97" s="112"/>
      <c r="C97" s="81"/>
      <c r="D97" s="81"/>
      <c r="E97" s="81" t="str">
        <f aca="false">IF(D97="","",IF(C97="Tecnico",D97*4.5,IF(C97="Funcional",D97*3,D97*2.5)))</f>
        <v/>
      </c>
      <c r="F97" s="113"/>
    </row>
    <row r="98" customFormat="false" ht="12.75" hidden="false" customHeight="true" outlineLevel="0" collapsed="false">
      <c r="A98" s="111" t="str">
        <f aca="false">IF(B98="","",CONCATENATE(COUNTA(B$4:B98),"."))</f>
        <v/>
      </c>
      <c r="B98" s="112"/>
      <c r="C98" s="81"/>
      <c r="D98" s="81"/>
      <c r="E98" s="81" t="str">
        <f aca="false">IF(D98="","",IF(C98="Tecnico",D98*4.5,IF(C98="Funcional",D98*3,D98*2.5)))</f>
        <v/>
      </c>
      <c r="F98" s="113"/>
    </row>
    <row r="99" customFormat="false" ht="12.75" hidden="false" customHeight="true" outlineLevel="0" collapsed="false">
      <c r="A99" s="111" t="str">
        <f aca="false">IF(B99="","",CONCATENATE(COUNTA(B$4:B99),"."))</f>
        <v/>
      </c>
      <c r="B99" s="112"/>
      <c r="C99" s="81"/>
      <c r="D99" s="81"/>
      <c r="E99" s="81" t="str">
        <f aca="false">IF(D99="","",IF(C99="Tecnico",D99*4.5,IF(C99="Funcional",D99*3,D99*2.5)))</f>
        <v/>
      </c>
      <c r="F99" s="113"/>
    </row>
    <row r="100" customFormat="false" ht="12.75" hidden="false" customHeight="true" outlineLevel="0" collapsed="false">
      <c r="A100" s="111" t="str">
        <f aca="false">IF(B100="","",CONCATENATE(COUNTA(B$4:B100),"."))</f>
        <v/>
      </c>
      <c r="B100" s="112"/>
      <c r="C100" s="81"/>
      <c r="D100" s="81"/>
      <c r="E100" s="81" t="str">
        <f aca="false">IF(D100="","",IF(C100="Tecnico",D100*4.5,IF(C100="Funcional",D100*3,D100*2.5)))</f>
        <v/>
      </c>
      <c r="F100" s="113"/>
    </row>
    <row r="101" customFormat="false" ht="12.75" hidden="false" customHeight="true" outlineLevel="0" collapsed="false">
      <c r="A101" s="111" t="str">
        <f aca="false">IF(B101="","",CONCATENATE(COUNTA(B$4:B101),"."))</f>
        <v/>
      </c>
      <c r="B101" s="112"/>
      <c r="C101" s="81"/>
      <c r="D101" s="81"/>
      <c r="E101" s="81" t="str">
        <f aca="false">IF(D101="","",IF(C101="Tecnico",D101*4.5,IF(C101="Funcional",D101*3,D101*2.5)))</f>
        <v/>
      </c>
      <c r="F101" s="113"/>
    </row>
    <row r="102" customFormat="false" ht="12.75" hidden="false" customHeight="true" outlineLevel="0" collapsed="false">
      <c r="A102" s="111" t="str">
        <f aca="false">IF(B102="","",CONCATENATE(COUNTA(B$4:B102),"."))</f>
        <v/>
      </c>
      <c r="B102" s="112"/>
      <c r="C102" s="81"/>
      <c r="D102" s="81"/>
      <c r="E102" s="81" t="str">
        <f aca="false">IF(D102="","",IF(C102="Tecnico",D102*4.5,IF(C102="Funcional",D102*3,D102*2.5)))</f>
        <v/>
      </c>
      <c r="F102" s="113"/>
    </row>
    <row r="103" customFormat="false" ht="12.75" hidden="false" customHeight="true" outlineLevel="0" collapsed="false">
      <c r="A103" s="111" t="str">
        <f aca="false">IF(B103="","",CONCATENATE(COUNTA(B$4:B103),"."))</f>
        <v/>
      </c>
      <c r="B103" s="112"/>
      <c r="C103" s="81"/>
      <c r="D103" s="81"/>
      <c r="E103" s="81" t="str">
        <f aca="false">IF(D103="","",IF(C103="Tecnico",D103*4.5,IF(C103="Funcional",D103*3,D103*2.5)))</f>
        <v/>
      </c>
      <c r="F103" s="113"/>
    </row>
    <row r="104" customFormat="false" ht="12.75" hidden="false" customHeight="true" outlineLevel="0" collapsed="false">
      <c r="A104" s="111" t="str">
        <f aca="false">IF(B104="","",CONCATENATE(COUNTA(B$4:B104),"."))</f>
        <v/>
      </c>
      <c r="B104" s="112"/>
      <c r="C104" s="81"/>
      <c r="D104" s="81"/>
      <c r="E104" s="81" t="str">
        <f aca="false">IF(D104="","",IF(C104="Tecnico",D104*4.5,IF(C104="Funcional",D104*3,D104*2.5)))</f>
        <v/>
      </c>
      <c r="F104" s="113"/>
    </row>
    <row r="105" customFormat="false" ht="12.75" hidden="false" customHeight="true" outlineLevel="0" collapsed="false">
      <c r="A105" s="111" t="str">
        <f aca="false">IF(B105="","",CONCATENATE(COUNTA(B$4:B105),"."))</f>
        <v/>
      </c>
      <c r="B105" s="112"/>
      <c r="C105" s="81"/>
      <c r="D105" s="81"/>
      <c r="E105" s="81" t="str">
        <f aca="false">IF(D105="","",IF(C105="Tecnico",D105*4.5,IF(C105="Funcional",D105*3,D105*2.5)))</f>
        <v/>
      </c>
      <c r="F105" s="113"/>
    </row>
    <row r="106" customFormat="false" ht="12.75" hidden="false" customHeight="true" outlineLevel="0" collapsed="false">
      <c r="A106" s="111" t="str">
        <f aca="false">IF(B106="","",CONCATENATE(COUNTA(B$4:B106),"."))</f>
        <v/>
      </c>
      <c r="B106" s="112"/>
      <c r="C106" s="81"/>
      <c r="D106" s="81"/>
      <c r="E106" s="81" t="str">
        <f aca="false">IF(D106="","",IF(C106="Tecnico",D106*4.5,IF(C106="Funcional",D106*3,D106*2.5)))</f>
        <v/>
      </c>
      <c r="F106" s="113"/>
    </row>
    <row r="107" customFormat="false" ht="12.75" hidden="false" customHeight="true" outlineLevel="0" collapsed="false">
      <c r="A107" s="111" t="str">
        <f aca="false">IF(B107="","",CONCATENATE(COUNTA(B$4:B107),"."))</f>
        <v/>
      </c>
      <c r="B107" s="112"/>
      <c r="C107" s="81"/>
      <c r="D107" s="81"/>
      <c r="E107" s="81" t="str">
        <f aca="false">IF(D107="","",IF(C107="Tecnico",D107*4.5,IF(C107="Funcional",D107*3,D107*2.5)))</f>
        <v/>
      </c>
      <c r="F107" s="113"/>
    </row>
    <row r="108" customFormat="false" ht="12.75" hidden="false" customHeight="true" outlineLevel="0" collapsed="false">
      <c r="A108" s="111" t="str">
        <f aca="false">IF(B108="","",CONCATENATE(COUNTA(B$4:B108),"."))</f>
        <v/>
      </c>
      <c r="B108" s="112"/>
      <c r="C108" s="81"/>
      <c r="D108" s="81"/>
      <c r="E108" s="81" t="str">
        <f aca="false">IF(D108="","",IF(C108="Tecnico",D108*4.5,IF(C108="Funcional",D108*3,D108*2.5)))</f>
        <v/>
      </c>
      <c r="F108" s="113"/>
    </row>
    <row r="109" customFormat="false" ht="12.75" hidden="false" customHeight="true" outlineLevel="0" collapsed="false">
      <c r="A109" s="111" t="str">
        <f aca="false">IF(B109="","",CONCATENATE(COUNTA(B$4:B109),"."))</f>
        <v/>
      </c>
      <c r="B109" s="112"/>
      <c r="C109" s="81"/>
      <c r="D109" s="81"/>
      <c r="E109" s="81" t="str">
        <f aca="false">IF(D109="","",IF(C109="Tecnico",D109*4.5,IF(C109="Funcional",D109*3,D109*2.5)))</f>
        <v/>
      </c>
      <c r="F109" s="113"/>
    </row>
    <row r="110" customFormat="false" ht="12.75" hidden="false" customHeight="true" outlineLevel="0" collapsed="false">
      <c r="A110" s="111" t="str">
        <f aca="false">IF(B110="","",CONCATENATE(COUNTA(B$4:B110),"."))</f>
        <v/>
      </c>
      <c r="B110" s="112"/>
      <c r="C110" s="81"/>
      <c r="D110" s="81"/>
      <c r="E110" s="81" t="str">
        <f aca="false">IF(D110="","",IF(C110="Tecnico",D110*4.5,IF(C110="Funcional",D110*3,D110*2.5)))</f>
        <v/>
      </c>
      <c r="F110" s="113"/>
    </row>
    <row r="111" customFormat="false" ht="12.75" hidden="false" customHeight="true" outlineLevel="0" collapsed="false">
      <c r="A111" s="111" t="str">
        <f aca="false">IF(B111="","",CONCATENATE(COUNTA(B$4:B111),"."))</f>
        <v/>
      </c>
      <c r="B111" s="112"/>
      <c r="C111" s="81"/>
      <c r="D111" s="81"/>
      <c r="E111" s="81" t="str">
        <f aca="false">IF(D111="","",IF(C111="Tecnico",D111*4.5,IF(C111="Funcional",D111*3,D111*2.5)))</f>
        <v/>
      </c>
      <c r="F111" s="113"/>
    </row>
    <row r="112" customFormat="false" ht="12.75" hidden="false" customHeight="true" outlineLevel="0" collapsed="false">
      <c r="A112" s="111" t="str">
        <f aca="false">IF(B112="","",CONCATENATE(COUNTA(B$4:B112),"."))</f>
        <v/>
      </c>
      <c r="B112" s="112"/>
      <c r="C112" s="81"/>
      <c r="D112" s="81"/>
      <c r="E112" s="81" t="str">
        <f aca="false">IF(D112="","",IF(C112="Tecnico",D112*4.5,IF(C112="Funcional",D112*3,D112*2.5)))</f>
        <v/>
      </c>
      <c r="F112" s="113"/>
    </row>
    <row r="113" customFormat="false" ht="12.75" hidden="false" customHeight="true" outlineLevel="0" collapsed="false">
      <c r="A113" s="111" t="str">
        <f aca="false">IF(B113="","",CONCATENATE(COUNTA(B$4:B113),"."))</f>
        <v/>
      </c>
      <c r="B113" s="112"/>
      <c r="C113" s="81"/>
      <c r="D113" s="81"/>
      <c r="E113" s="81" t="str">
        <f aca="false">IF(D113="","",IF(C113="Tecnico",D113*4.5,IF(C113="Funcional",D113*3,D113*2.5)))</f>
        <v/>
      </c>
      <c r="F113" s="113"/>
    </row>
    <row r="114" customFormat="false" ht="12.75" hidden="false" customHeight="true" outlineLevel="0" collapsed="false">
      <c r="A114" s="111" t="str">
        <f aca="false">IF(B114="","",CONCATENATE(COUNTA(B$4:B114),"."))</f>
        <v/>
      </c>
      <c r="B114" s="112"/>
      <c r="C114" s="81"/>
      <c r="D114" s="81"/>
      <c r="E114" s="81" t="str">
        <f aca="false">IF(D114="","",IF(C114="Tecnico",D114*4.5,IF(C114="Funcional",D114*3,D114*2.5)))</f>
        <v/>
      </c>
      <c r="F114" s="113"/>
    </row>
    <row r="115" customFormat="false" ht="12.75" hidden="false" customHeight="true" outlineLevel="0" collapsed="false">
      <c r="A115" s="111" t="str">
        <f aca="false">IF(B115="","",CONCATENATE(COUNTA(B$4:B115),"."))</f>
        <v/>
      </c>
      <c r="B115" s="112"/>
      <c r="C115" s="81"/>
      <c r="D115" s="81"/>
      <c r="E115" s="81" t="str">
        <f aca="false">IF(D115="","",IF(C115="Tecnico",D115*4.5,IF(C115="Funcional",D115*3,D115*2.5)))</f>
        <v/>
      </c>
      <c r="F115" s="113"/>
    </row>
    <row r="116" customFormat="false" ht="12.75" hidden="false" customHeight="true" outlineLevel="0" collapsed="false">
      <c r="A116" s="111" t="str">
        <f aca="false">IF(B116="","",CONCATENATE(COUNTA(B$4:B116),"."))</f>
        <v/>
      </c>
      <c r="B116" s="112"/>
      <c r="C116" s="81"/>
      <c r="D116" s="81"/>
      <c r="E116" s="81" t="str">
        <f aca="false">IF(D116="","",IF(C116="Tecnico",D116*4.5,IF(C116="Funcional",D116*3,D116*2.5)))</f>
        <v/>
      </c>
      <c r="F116" s="113"/>
    </row>
    <row r="117" customFormat="false" ht="12.75" hidden="false" customHeight="true" outlineLevel="0" collapsed="false">
      <c r="A117" s="111" t="str">
        <f aca="false">IF(B117="","",CONCATENATE(COUNTA(B$4:B117),"."))</f>
        <v/>
      </c>
      <c r="B117" s="112"/>
      <c r="C117" s="81"/>
      <c r="D117" s="81"/>
      <c r="E117" s="81" t="str">
        <f aca="false">IF(D117="","",IF(C117="Tecnico",D117*4.5,IF(C117="Funcional",D117*3,D117*2.5)))</f>
        <v/>
      </c>
      <c r="F117" s="113"/>
    </row>
    <row r="118" customFormat="false" ht="12.75" hidden="false" customHeight="true" outlineLevel="0" collapsed="false">
      <c r="A118" s="111" t="str">
        <f aca="false">IF(B118="","",CONCATENATE(COUNTA(B$4:B118),"."))</f>
        <v/>
      </c>
      <c r="B118" s="112"/>
      <c r="C118" s="81"/>
      <c r="D118" s="81"/>
      <c r="E118" s="81" t="str">
        <f aca="false">IF(D118="","",IF(C118="Tecnico",D118*4.5,IF(C118="Funcional",D118*3,D118*2.5)))</f>
        <v/>
      </c>
      <c r="F118" s="113"/>
    </row>
    <row r="119" customFormat="false" ht="12.75" hidden="false" customHeight="true" outlineLevel="0" collapsed="false">
      <c r="A119" s="111" t="str">
        <f aca="false">IF(B119="","",CONCATENATE(COUNTA(B$4:B119),"."))</f>
        <v/>
      </c>
      <c r="B119" s="112"/>
      <c r="C119" s="81"/>
      <c r="D119" s="81"/>
      <c r="E119" s="81" t="str">
        <f aca="false">IF(D119="","",IF(C119="Tecnico",D119*4.5,IF(C119="Funcional",D119*3,D119*2.5)))</f>
        <v/>
      </c>
      <c r="F119" s="113"/>
    </row>
    <row r="120" customFormat="false" ht="12.75" hidden="false" customHeight="true" outlineLevel="0" collapsed="false">
      <c r="A120" s="111" t="str">
        <f aca="false">IF(B120="","",CONCATENATE(COUNTA(B$4:B120),"."))</f>
        <v/>
      </c>
      <c r="B120" s="112"/>
      <c r="C120" s="81"/>
      <c r="D120" s="81"/>
      <c r="E120" s="81" t="str">
        <f aca="false">IF(D120="","",IF(C120="Tecnico",D120*4.5,IF(C120="Funcional",D120*3,D120*2.5)))</f>
        <v/>
      </c>
      <c r="F120" s="113"/>
    </row>
    <row r="121" customFormat="false" ht="12.75" hidden="false" customHeight="true" outlineLevel="0" collapsed="false">
      <c r="A121" s="111" t="str">
        <f aca="false">IF(B121="","",CONCATENATE(COUNTA(B$4:B121),"."))</f>
        <v/>
      </c>
      <c r="B121" s="112"/>
      <c r="C121" s="81"/>
      <c r="D121" s="81"/>
      <c r="E121" s="81" t="str">
        <f aca="false">IF(D121="","",IF(C121="Tecnico",D121*4.5,IF(C121="Funcional",D121*3,D121*2.5)))</f>
        <v/>
      </c>
      <c r="F121" s="113"/>
    </row>
    <row r="122" customFormat="false" ht="12.75" hidden="false" customHeight="true" outlineLevel="0" collapsed="false">
      <c r="A122" s="111" t="str">
        <f aca="false">IF(B122="","",CONCATENATE(COUNTA(B$4:B122),"."))</f>
        <v/>
      </c>
      <c r="B122" s="112"/>
      <c r="C122" s="81"/>
      <c r="D122" s="81"/>
      <c r="E122" s="81" t="str">
        <f aca="false">IF(D122="","",IF(C122="Tecnico",D122*4.5,IF(C122="Funcional",D122*3,D122*2.5)))</f>
        <v/>
      </c>
      <c r="F122" s="113"/>
    </row>
    <row r="123" customFormat="false" ht="12.75" hidden="false" customHeight="true" outlineLevel="0" collapsed="false">
      <c r="A123" s="111" t="str">
        <f aca="false">IF(B123="","",CONCATENATE(COUNTA(B$4:B123),"."))</f>
        <v/>
      </c>
      <c r="B123" s="112"/>
      <c r="C123" s="81"/>
      <c r="D123" s="81"/>
      <c r="E123" s="81" t="str">
        <f aca="false">IF(D123="","",IF(C123="Tecnico",D123*4.5,IF(C123="Funcional",D123*3,D123*2.5)))</f>
        <v/>
      </c>
      <c r="F123" s="113"/>
    </row>
    <row r="124" customFormat="false" ht="12.75" hidden="false" customHeight="true" outlineLevel="0" collapsed="false">
      <c r="A124" s="111" t="str">
        <f aca="false">IF(B124="","",CONCATENATE(COUNTA(B$4:B124),"."))</f>
        <v/>
      </c>
      <c r="B124" s="112"/>
      <c r="C124" s="81"/>
      <c r="D124" s="81"/>
      <c r="E124" s="81" t="str">
        <f aca="false">IF(D124="","",IF(C124="Tecnico",D124*4.5,IF(C124="Funcional",D124*3,D124*2.5)))</f>
        <v/>
      </c>
      <c r="F124" s="113"/>
    </row>
    <row r="125" customFormat="false" ht="12.75" hidden="false" customHeight="true" outlineLevel="0" collapsed="false">
      <c r="A125" s="111" t="str">
        <f aca="false">IF(B125="","",CONCATENATE(COUNTA(B$4:B125),"."))</f>
        <v/>
      </c>
      <c r="B125" s="112"/>
      <c r="C125" s="81"/>
      <c r="D125" s="81"/>
      <c r="E125" s="81" t="str">
        <f aca="false">IF(D125="","",IF(C125="Tecnico",D125*4.5,IF(C125="Funcional",D125*3,D125*2.5)))</f>
        <v/>
      </c>
      <c r="F125" s="113"/>
    </row>
    <row r="126" customFormat="false" ht="12.75" hidden="false" customHeight="true" outlineLevel="0" collapsed="false">
      <c r="A126" s="111" t="str">
        <f aca="false">IF(B126="","",CONCATENATE(COUNTA(B$4:B126),"."))</f>
        <v/>
      </c>
      <c r="B126" s="112"/>
      <c r="C126" s="81"/>
      <c r="D126" s="81"/>
      <c r="E126" s="81" t="str">
        <f aca="false">IF(D126="","",IF(C126="Tecnico",D126*4.5,IF(C126="Funcional",D126*3,D126*2.5)))</f>
        <v/>
      </c>
      <c r="F126" s="113"/>
    </row>
    <row r="127" customFormat="false" ht="12.75" hidden="false" customHeight="true" outlineLevel="0" collapsed="false">
      <c r="A127" s="111" t="str">
        <f aca="false">IF(B127="","",CONCATENATE(COUNTA(B$4:B127),"."))</f>
        <v/>
      </c>
      <c r="B127" s="112"/>
      <c r="C127" s="81"/>
      <c r="D127" s="81"/>
      <c r="E127" s="81" t="str">
        <f aca="false">IF(D127="","",IF(C127="Tecnico",D127*4.5,IF(C127="Funcional",D127*3,D127*2.5)))</f>
        <v/>
      </c>
      <c r="F127" s="113"/>
    </row>
    <row r="128" customFormat="false" ht="12.75" hidden="false" customHeight="true" outlineLevel="0" collapsed="false">
      <c r="A128" s="111" t="str">
        <f aca="false">IF(B128="","",CONCATENATE(COUNTA(B$4:B128),"."))</f>
        <v/>
      </c>
      <c r="B128" s="112"/>
      <c r="C128" s="81"/>
      <c r="D128" s="81"/>
      <c r="E128" s="81" t="str">
        <f aca="false">IF(D128="","",IF(C128="Tecnico",D128*4.5,IF(C128="Funcional",D128*3,D128*2.5)))</f>
        <v/>
      </c>
      <c r="F128" s="113"/>
    </row>
    <row r="129" customFormat="false" ht="12.75" hidden="false" customHeight="true" outlineLevel="0" collapsed="false">
      <c r="A129" s="111" t="str">
        <f aca="false">IF(B129="","",CONCATENATE(COUNTA(B$4:B129),"."))</f>
        <v/>
      </c>
      <c r="B129" s="112"/>
      <c r="C129" s="81"/>
      <c r="D129" s="81"/>
      <c r="E129" s="81" t="str">
        <f aca="false">IF(D129="","",IF(C129="Tecnico",D129*4.5,IF(C129="Funcional",D129*3,D129*2.5)))</f>
        <v/>
      </c>
      <c r="F129" s="113"/>
    </row>
    <row r="130" customFormat="false" ht="12.75" hidden="false" customHeight="true" outlineLevel="0" collapsed="false">
      <c r="A130" s="111" t="str">
        <f aca="false">IF(B130="","",CONCATENATE(COUNTA(B$4:B130),"."))</f>
        <v/>
      </c>
      <c r="B130" s="112"/>
      <c r="C130" s="81"/>
      <c r="D130" s="81"/>
      <c r="E130" s="81" t="str">
        <f aca="false">IF(D130="","",IF(C130="Tecnico",D130*4.5,IF(C130="Funcional",D130*3,D130*2.5)))</f>
        <v/>
      </c>
      <c r="F130" s="113"/>
    </row>
    <row r="131" customFormat="false" ht="12.75" hidden="false" customHeight="true" outlineLevel="0" collapsed="false">
      <c r="A131" s="111" t="str">
        <f aca="false">IF(B131="","",CONCATENATE(COUNTA(B$4:B131),"."))</f>
        <v/>
      </c>
      <c r="B131" s="112"/>
      <c r="C131" s="81"/>
      <c r="D131" s="81"/>
      <c r="E131" s="81" t="str">
        <f aca="false">IF(D131="","",IF(C131="Tecnico",D131*4.5,IF(C131="Funcional",D131*3,D131*2.5)))</f>
        <v/>
      </c>
      <c r="F131" s="113"/>
    </row>
    <row r="132" customFormat="false" ht="12.75" hidden="false" customHeight="true" outlineLevel="0" collapsed="false">
      <c r="A132" s="111" t="str">
        <f aca="false">IF(B132="","",CONCATENATE(COUNTA(B$4:B132),"."))</f>
        <v/>
      </c>
      <c r="B132" s="112"/>
      <c r="C132" s="81"/>
      <c r="D132" s="81"/>
      <c r="E132" s="81" t="str">
        <f aca="false">IF(D132="","",IF(C132="Tecnico",D132*4.5,IF(C132="Funcional",D132*3,D132*2.5)))</f>
        <v/>
      </c>
      <c r="F132" s="113"/>
    </row>
    <row r="133" customFormat="false" ht="12.75" hidden="false" customHeight="true" outlineLevel="0" collapsed="false">
      <c r="A133" s="111" t="str">
        <f aca="false">IF(B133="","",CONCATENATE(COUNTA(B$4:B133),"."))</f>
        <v/>
      </c>
      <c r="B133" s="112"/>
      <c r="C133" s="81"/>
      <c r="D133" s="81"/>
      <c r="E133" s="81" t="str">
        <f aca="false">IF(D133="","",IF(C133="Tecnico",D133*4.5,IF(C133="Funcional",D133*3,D133*2.5)))</f>
        <v/>
      </c>
      <c r="F133" s="113"/>
    </row>
    <row r="134" customFormat="false" ht="12.75" hidden="false" customHeight="true" outlineLevel="0" collapsed="false">
      <c r="A134" s="111" t="str">
        <f aca="false">IF(B134="","",CONCATENATE(COUNTA(B$4:B134),"."))</f>
        <v/>
      </c>
      <c r="B134" s="112"/>
      <c r="C134" s="81"/>
      <c r="D134" s="81"/>
      <c r="E134" s="81" t="str">
        <f aca="false">IF(D134="","",IF(C134="Tecnico",D134*4.5,IF(C134="Funcional",D134*3,D134*2.5)))</f>
        <v/>
      </c>
      <c r="F134" s="113"/>
    </row>
    <row r="135" customFormat="false" ht="12.75" hidden="false" customHeight="true" outlineLevel="0" collapsed="false">
      <c r="A135" s="111" t="str">
        <f aca="false">IF(B135="","",CONCATENATE(COUNTA(B$4:B135),"."))</f>
        <v/>
      </c>
      <c r="B135" s="112"/>
      <c r="C135" s="81"/>
      <c r="D135" s="81"/>
      <c r="E135" s="81" t="str">
        <f aca="false">IF(D135="","",IF(C135="Tecnico",D135*4.5,IF(C135="Funcional",D135*3,D135*2.5)))</f>
        <v/>
      </c>
      <c r="F135" s="113"/>
    </row>
    <row r="136" customFormat="false" ht="12.75" hidden="false" customHeight="true" outlineLevel="0" collapsed="false">
      <c r="A136" s="111" t="str">
        <f aca="false">IF(B136="","",CONCATENATE(COUNTA(B$4:B136),"."))</f>
        <v/>
      </c>
      <c r="B136" s="112"/>
      <c r="C136" s="81"/>
      <c r="D136" s="81"/>
      <c r="E136" s="81" t="str">
        <f aca="false">IF(D136="","",IF(C136="Tecnico",D136*4.5,IF(C136="Funcional",D136*3,D136*2.5)))</f>
        <v/>
      </c>
      <c r="F136" s="113"/>
    </row>
    <row r="137" customFormat="false" ht="12.75" hidden="false" customHeight="true" outlineLevel="0" collapsed="false">
      <c r="A137" s="111" t="str">
        <f aca="false">IF(B137="","",CONCATENATE(COUNTA(B$4:B137),"."))</f>
        <v/>
      </c>
      <c r="B137" s="112"/>
      <c r="C137" s="81"/>
      <c r="D137" s="81"/>
      <c r="E137" s="81" t="str">
        <f aca="false">IF(D137="","",IF(C137="Tecnico",D137*4.5,IF(C137="Funcional",D137*3,D137*2.5)))</f>
        <v/>
      </c>
      <c r="F137" s="113"/>
    </row>
    <row r="138" customFormat="false" ht="12.75" hidden="false" customHeight="true" outlineLevel="0" collapsed="false">
      <c r="A138" s="111" t="str">
        <f aca="false">IF(B138="","",CONCATENATE(COUNTA(B$4:B138),"."))</f>
        <v/>
      </c>
      <c r="B138" s="112"/>
      <c r="C138" s="81"/>
      <c r="D138" s="81"/>
      <c r="E138" s="81" t="str">
        <f aca="false">IF(D138="","",IF(C138="Tecnico",D138*4.5,IF(C138="Funcional",D138*3,D138*2.5)))</f>
        <v/>
      </c>
      <c r="F138" s="113"/>
    </row>
    <row r="139" customFormat="false" ht="12.75" hidden="false" customHeight="true" outlineLevel="0" collapsed="false">
      <c r="A139" s="111" t="str">
        <f aca="false">IF(B139="","",CONCATENATE(COUNTA(B$4:B139),"."))</f>
        <v/>
      </c>
      <c r="B139" s="112"/>
      <c r="C139" s="81"/>
      <c r="D139" s="81"/>
      <c r="E139" s="81" t="str">
        <f aca="false">IF(D139="","",IF(C139="Tecnico",D139*4.5,IF(C139="Funcional",D139*3,D139*2.5)))</f>
        <v/>
      </c>
      <c r="F139" s="113"/>
    </row>
    <row r="140" customFormat="false" ht="12.75" hidden="false" customHeight="true" outlineLevel="0" collapsed="false">
      <c r="A140" s="111" t="str">
        <f aca="false">IF(B140="","",CONCATENATE(COUNTA(B$4:B140),"."))</f>
        <v/>
      </c>
      <c r="B140" s="112"/>
      <c r="C140" s="81"/>
      <c r="D140" s="81"/>
      <c r="E140" s="81" t="str">
        <f aca="false">IF(D140="","",IF(C140="Tecnico",D140*4.5,IF(C140="Funcional",D140*3,D140*2.5)))</f>
        <v/>
      </c>
      <c r="F140" s="113"/>
    </row>
    <row r="141" customFormat="false" ht="12.75" hidden="false" customHeight="true" outlineLevel="0" collapsed="false">
      <c r="A141" s="111" t="str">
        <f aca="false">IF(B141="","",CONCATENATE(COUNTA(B$4:B141),"."))</f>
        <v/>
      </c>
      <c r="B141" s="112"/>
      <c r="C141" s="81"/>
      <c r="D141" s="81"/>
      <c r="E141" s="81" t="str">
        <f aca="false">IF(D141="","",IF(C141="Tecnico",D141*4.5,IF(C141="Funcional",D141*3,D141*2.5)))</f>
        <v/>
      </c>
      <c r="F141" s="113"/>
    </row>
    <row r="142" customFormat="false" ht="12.75" hidden="false" customHeight="true" outlineLevel="0" collapsed="false">
      <c r="A142" s="111" t="str">
        <f aca="false">IF(B142="","",CONCATENATE(COUNTA(B$4:B142),"."))</f>
        <v/>
      </c>
      <c r="B142" s="112"/>
      <c r="C142" s="81"/>
      <c r="D142" s="81"/>
      <c r="E142" s="81" t="str">
        <f aca="false">IF(D142="","",IF(C142="Tecnico",D142*4.5,IF(C142="Funcional",D142*3,D142*2.5)))</f>
        <v/>
      </c>
      <c r="F142" s="113"/>
    </row>
    <row r="143" customFormat="false" ht="12.75" hidden="false" customHeight="true" outlineLevel="0" collapsed="false">
      <c r="A143" s="111" t="str">
        <f aca="false">IF(B143="","",CONCATENATE(COUNTA(B$4:B143),"."))</f>
        <v/>
      </c>
      <c r="B143" s="112"/>
      <c r="C143" s="81"/>
      <c r="D143" s="81"/>
      <c r="E143" s="81" t="str">
        <f aca="false">IF(D143="","",IF(C143="Tecnico",D143*4.5,IF(C143="Funcional",D143*3,D143*2.5)))</f>
        <v/>
      </c>
      <c r="F143" s="113"/>
    </row>
    <row r="144" customFormat="false" ht="12.75" hidden="false" customHeight="true" outlineLevel="0" collapsed="false">
      <c r="A144" s="111" t="str">
        <f aca="false">IF(B144="","",CONCATENATE(COUNTA(B$4:B144),"."))</f>
        <v/>
      </c>
      <c r="B144" s="112"/>
      <c r="C144" s="81"/>
      <c r="D144" s="81"/>
      <c r="E144" s="81" t="str">
        <f aca="false">IF(D144="","",IF(C144="Tecnico",D144*4.5,IF(C144="Funcional",D144*3,D144*2.5)))</f>
        <v/>
      </c>
      <c r="F144" s="113"/>
    </row>
    <row r="145" customFormat="false" ht="12.75" hidden="false" customHeight="true" outlineLevel="0" collapsed="false">
      <c r="A145" s="111" t="str">
        <f aca="false">IF(B145="","",CONCATENATE(COUNTA(B$4:B145),"."))</f>
        <v/>
      </c>
      <c r="B145" s="112"/>
      <c r="C145" s="81"/>
      <c r="D145" s="81"/>
      <c r="E145" s="81" t="str">
        <f aca="false">IF(D145="","",IF(C145="Tecnico",D145*4.5,IF(C145="Funcional",D145*3,D145*2.5)))</f>
        <v/>
      </c>
      <c r="F145" s="113"/>
    </row>
    <row r="146" customFormat="false" ht="12.75" hidden="false" customHeight="true" outlineLevel="0" collapsed="false">
      <c r="A146" s="111" t="str">
        <f aca="false">IF(B146="","",CONCATENATE(COUNTA(B$4:B146),"."))</f>
        <v/>
      </c>
      <c r="B146" s="112"/>
      <c r="C146" s="81"/>
      <c r="D146" s="81"/>
      <c r="E146" s="81" t="str">
        <f aca="false">IF(D146="","",IF(C146="Tecnico",D146*4.5,IF(C146="Funcional",D146*3,D146*2.5)))</f>
        <v/>
      </c>
      <c r="F146" s="113"/>
    </row>
    <row r="147" customFormat="false" ht="12.75" hidden="false" customHeight="true" outlineLevel="0" collapsed="false">
      <c r="A147" s="111" t="str">
        <f aca="false">IF(B147="","",CONCATENATE(COUNTA(B$4:B147),"."))</f>
        <v/>
      </c>
      <c r="B147" s="112"/>
      <c r="C147" s="81"/>
      <c r="D147" s="81"/>
      <c r="E147" s="81" t="str">
        <f aca="false">IF(D147="","",IF(C147="Tecnico",D147*4.5,IF(C147="Funcional",D147*3,D147*2.5)))</f>
        <v/>
      </c>
      <c r="F147" s="113"/>
    </row>
    <row r="148" customFormat="false" ht="12.75" hidden="false" customHeight="true" outlineLevel="0" collapsed="false">
      <c r="A148" s="111" t="str">
        <f aca="false">IF(B148="","",CONCATENATE(COUNTA(B$4:B148),"."))</f>
        <v/>
      </c>
      <c r="B148" s="112"/>
      <c r="C148" s="81"/>
      <c r="D148" s="81"/>
      <c r="E148" s="81" t="str">
        <f aca="false">IF(D148="","",IF(C148="Tecnico",D148*4.5,IF(C148="Funcional",D148*3,D148*2.5)))</f>
        <v/>
      </c>
      <c r="F148" s="113"/>
    </row>
    <row r="149" customFormat="false" ht="12.75" hidden="false" customHeight="true" outlineLevel="0" collapsed="false">
      <c r="A149" s="111" t="str">
        <f aca="false">IF(B149="","",CONCATENATE(COUNTA(B$4:B149),"."))</f>
        <v/>
      </c>
      <c r="B149" s="112"/>
      <c r="C149" s="81"/>
      <c r="D149" s="81"/>
      <c r="E149" s="81" t="str">
        <f aca="false">IF(D149="","",IF(C149="Tecnico",D149*4.5,IF(C149="Funcional",D149*3,D149*2.5)))</f>
        <v/>
      </c>
      <c r="F149" s="113"/>
    </row>
    <row r="150" customFormat="false" ht="12.75" hidden="false" customHeight="true" outlineLevel="0" collapsed="false">
      <c r="A150" s="111" t="str">
        <f aca="false">IF(B150="","",CONCATENATE(COUNTA(B$4:B150),"."))</f>
        <v/>
      </c>
      <c r="B150" s="112"/>
      <c r="C150" s="81"/>
      <c r="D150" s="81"/>
      <c r="E150" s="81" t="str">
        <f aca="false">IF(D150="","",IF(C150="Tecnico",D150*4.5,IF(C150="Funcional",D150*3,D150*2.5)))</f>
        <v/>
      </c>
      <c r="F150" s="113"/>
    </row>
    <row r="151" customFormat="false" ht="12.75" hidden="false" customHeight="true" outlineLevel="0" collapsed="false">
      <c r="A151" s="111" t="str">
        <f aca="false">IF(B151="","",CONCATENATE(COUNTA(B$4:B151),"."))</f>
        <v/>
      </c>
      <c r="B151" s="112"/>
      <c r="C151" s="81"/>
      <c r="D151" s="81"/>
      <c r="E151" s="81" t="str">
        <f aca="false">IF(D151="","",IF(C151="Tecnico",D151*4.5,IF(C151="Funcional",D151*3,D151*2.5)))</f>
        <v/>
      </c>
      <c r="F151" s="113"/>
    </row>
    <row r="152" customFormat="false" ht="12.75" hidden="false" customHeight="true" outlineLevel="0" collapsed="false">
      <c r="A152" s="111" t="str">
        <f aca="false">IF(B152="","",CONCATENATE(COUNTA(B$4:B152),"."))</f>
        <v/>
      </c>
      <c r="B152" s="112"/>
      <c r="C152" s="81"/>
      <c r="D152" s="81"/>
      <c r="E152" s="81" t="str">
        <f aca="false">IF(D152="","",IF(C152="Tecnico",D152*4.5,IF(C152="Funcional",D152*3,D152*2.5)))</f>
        <v/>
      </c>
      <c r="F152" s="113"/>
    </row>
    <row r="153" customFormat="false" ht="12.75" hidden="false" customHeight="true" outlineLevel="0" collapsed="false">
      <c r="A153" s="111" t="str">
        <f aca="false">IF(B153="","",CONCATENATE(COUNTA(B$4:B153),"."))</f>
        <v/>
      </c>
      <c r="B153" s="112"/>
      <c r="C153" s="81"/>
      <c r="D153" s="81"/>
      <c r="E153" s="81" t="str">
        <f aca="false">IF(D153="","",IF(C153="Tecnico",D153*4.5,IF(C153="Funcional",D153*3,D153*2.5)))</f>
        <v/>
      </c>
      <c r="F153" s="113"/>
    </row>
    <row r="154" customFormat="false" ht="12.75" hidden="false" customHeight="true" outlineLevel="0" collapsed="false">
      <c r="A154" s="111" t="str">
        <f aca="false">IF(B154="","",CONCATENATE(COUNTA(B$4:B154),"."))</f>
        <v/>
      </c>
      <c r="B154" s="112"/>
      <c r="C154" s="81"/>
      <c r="D154" s="81"/>
      <c r="E154" s="81" t="str">
        <f aca="false">IF(D154="","",IF(C154="Tecnico",D154*4.5,IF(C154="Funcional",D154*3,D154*2.5)))</f>
        <v/>
      </c>
      <c r="F154" s="113"/>
    </row>
    <row r="155" customFormat="false" ht="12.75" hidden="false" customHeight="true" outlineLevel="0" collapsed="false">
      <c r="A155" s="111" t="str">
        <f aca="false">IF(B155="","",CONCATENATE(COUNTA(B$4:B155),"."))</f>
        <v/>
      </c>
      <c r="B155" s="112"/>
      <c r="C155" s="81"/>
      <c r="D155" s="81"/>
      <c r="E155" s="81" t="str">
        <f aca="false">IF(D155="","",IF(C155="Tecnico",D155*4.5,IF(C155="Funcional",D155*3,D155*2.5)))</f>
        <v/>
      </c>
      <c r="F155" s="113"/>
    </row>
    <row r="156" customFormat="false" ht="12.75" hidden="false" customHeight="true" outlineLevel="0" collapsed="false">
      <c r="A156" s="111" t="str">
        <f aca="false">IF(B156="","",CONCATENATE(COUNTA(B$4:B156),"."))</f>
        <v/>
      </c>
      <c r="B156" s="112"/>
      <c r="C156" s="81"/>
      <c r="D156" s="81"/>
      <c r="E156" s="81" t="str">
        <f aca="false">IF(D156="","",IF(C156="Tecnico",D156*4.5,IF(C156="Funcional",D156*3,D156*2.5)))</f>
        <v/>
      </c>
      <c r="F156" s="113"/>
    </row>
    <row r="157" customFormat="false" ht="12.75" hidden="false" customHeight="true" outlineLevel="0" collapsed="false">
      <c r="A157" s="111" t="str">
        <f aca="false">IF(B157="","",CONCATENATE(COUNTA(B$4:B157),"."))</f>
        <v/>
      </c>
      <c r="B157" s="112"/>
      <c r="C157" s="81"/>
      <c r="D157" s="81"/>
      <c r="E157" s="81" t="str">
        <f aca="false">IF(D157="","",IF(C157="Tecnico",D157*4.5,IF(C157="Funcional",D157*3,D157*2.5)))</f>
        <v/>
      </c>
      <c r="F157" s="113"/>
    </row>
    <row r="158" customFormat="false" ht="12.75" hidden="false" customHeight="true" outlineLevel="0" collapsed="false">
      <c r="A158" s="111" t="str">
        <f aca="false">IF(B158="","",CONCATENATE(COUNTA(B$4:B158),"."))</f>
        <v/>
      </c>
      <c r="B158" s="112"/>
      <c r="C158" s="81"/>
      <c r="D158" s="81"/>
      <c r="E158" s="81" t="str">
        <f aca="false">IF(D158="","",IF(C158="Tecnico",D158*4.5,IF(C158="Funcional",D158*3,D158*2.5)))</f>
        <v/>
      </c>
      <c r="F158" s="113"/>
    </row>
    <row r="159" customFormat="false" ht="12.75" hidden="false" customHeight="true" outlineLevel="0" collapsed="false">
      <c r="A159" s="111" t="str">
        <f aca="false">IF(B159="","",CONCATENATE(COUNTA(B$4:B159),"."))</f>
        <v/>
      </c>
      <c r="B159" s="112"/>
      <c r="C159" s="81"/>
      <c r="D159" s="81"/>
      <c r="E159" s="81" t="str">
        <f aca="false">IF(D159="","",IF(C159="Tecnico",D159*4.5,IF(C159="Funcional",D159*3,D159*2.5)))</f>
        <v/>
      </c>
      <c r="F159" s="113"/>
    </row>
    <row r="160" customFormat="false" ht="12.75" hidden="false" customHeight="true" outlineLevel="0" collapsed="false">
      <c r="A160" s="111" t="str">
        <f aca="false">IF(B160="","",CONCATENATE(COUNTA(B$4:B160),"."))</f>
        <v/>
      </c>
      <c r="B160" s="112"/>
      <c r="C160" s="81"/>
      <c r="D160" s="81"/>
      <c r="E160" s="81" t="str">
        <f aca="false">IF(D160="","",IF(C160="Tecnico",D160*4.5,IF(C160="Funcional",D160*3,D160*2.5)))</f>
        <v/>
      </c>
      <c r="F160" s="113"/>
    </row>
    <row r="161" customFormat="false" ht="12.75" hidden="false" customHeight="true" outlineLevel="0" collapsed="false">
      <c r="A161" s="111" t="str">
        <f aca="false">IF(B161="","",CONCATENATE(COUNTA(B$4:B161),"."))</f>
        <v/>
      </c>
      <c r="B161" s="112"/>
      <c r="C161" s="81"/>
      <c r="D161" s="81"/>
      <c r="E161" s="81" t="str">
        <f aca="false">IF(D161="","",IF(C161="Tecnico",D161*4.5,IF(C161="Funcional",D161*3,D161*2.5)))</f>
        <v/>
      </c>
      <c r="F161" s="113"/>
    </row>
    <row r="162" customFormat="false" ht="12.75" hidden="false" customHeight="true" outlineLevel="0" collapsed="false">
      <c r="A162" s="111" t="str">
        <f aca="false">IF(B162="","",CONCATENATE(COUNTA(B$4:B162),"."))</f>
        <v/>
      </c>
      <c r="B162" s="112"/>
      <c r="C162" s="81"/>
      <c r="D162" s="81"/>
      <c r="E162" s="81" t="str">
        <f aca="false">IF(D162="","",IF(C162="Tecnico",D162*4.5,IF(C162="Funcional",D162*3,D162*2.5)))</f>
        <v/>
      </c>
      <c r="F162" s="113"/>
    </row>
    <row r="163" customFormat="false" ht="12.75" hidden="false" customHeight="true" outlineLevel="0" collapsed="false">
      <c r="A163" s="111" t="str">
        <f aca="false">IF(B163="","",CONCATENATE(COUNTA(B$4:B163),"."))</f>
        <v/>
      </c>
      <c r="B163" s="112"/>
      <c r="C163" s="81"/>
      <c r="D163" s="81"/>
      <c r="E163" s="81" t="str">
        <f aca="false">IF(D163="","",IF(C163="Tecnico",D163*4.5,IF(C163="Funcional",D163*3,D163*2.5)))</f>
        <v/>
      </c>
      <c r="F163" s="113"/>
    </row>
    <row r="164" customFormat="false" ht="12.75" hidden="false" customHeight="true" outlineLevel="0" collapsed="false">
      <c r="A164" s="111" t="str">
        <f aca="false">IF(B164="","",CONCATENATE(COUNTA(B$4:B164),"."))</f>
        <v/>
      </c>
      <c r="B164" s="112"/>
      <c r="C164" s="81"/>
      <c r="D164" s="81"/>
      <c r="E164" s="81" t="str">
        <f aca="false">IF(D164="","",IF(C164="Tecnico",D164*4.5,IF(C164="Funcional",D164*3,D164*2.5)))</f>
        <v/>
      </c>
      <c r="F164" s="113"/>
    </row>
    <row r="165" customFormat="false" ht="12.75" hidden="false" customHeight="true" outlineLevel="0" collapsed="false">
      <c r="A165" s="111" t="str">
        <f aca="false">IF(B165="","",CONCATENATE(COUNTA(B$4:B165),"."))</f>
        <v/>
      </c>
      <c r="B165" s="112"/>
      <c r="C165" s="81"/>
      <c r="D165" s="81"/>
      <c r="E165" s="81" t="str">
        <f aca="false">IF(D165="","",IF(C165="Tecnico",D165*4.5,IF(C165="Funcional",D165*3,D165*2.5)))</f>
        <v/>
      </c>
      <c r="F165" s="113"/>
    </row>
    <row r="166" customFormat="false" ht="12.75" hidden="false" customHeight="true" outlineLevel="0" collapsed="false">
      <c r="A166" s="111" t="str">
        <f aca="false">IF(B166="","",CONCATENATE(COUNTA(B$4:B166),"."))</f>
        <v/>
      </c>
      <c r="B166" s="112"/>
      <c r="C166" s="81"/>
      <c r="D166" s="81"/>
      <c r="E166" s="81" t="str">
        <f aca="false">IF(D166="","",IF(C166="Tecnico",D166*4.5,IF(C166="Funcional",D166*3,D166*2.5)))</f>
        <v/>
      </c>
      <c r="F166" s="113"/>
    </row>
    <row r="167" customFormat="false" ht="12.75" hidden="false" customHeight="true" outlineLevel="0" collapsed="false">
      <c r="A167" s="111" t="str">
        <f aca="false">IF(B167="","",CONCATENATE(COUNTA(B$4:B167),"."))</f>
        <v/>
      </c>
      <c r="B167" s="112"/>
      <c r="C167" s="81"/>
      <c r="D167" s="81"/>
      <c r="E167" s="81" t="str">
        <f aca="false">IF(D167="","",IF(C167="Tecnico",D167*4.5,IF(C167="Funcional",D167*3,D167*2.5)))</f>
        <v/>
      </c>
      <c r="F167" s="113"/>
    </row>
    <row r="168" customFormat="false" ht="12.75" hidden="false" customHeight="true" outlineLevel="0" collapsed="false">
      <c r="A168" s="111" t="str">
        <f aca="false">IF(B168="","",CONCATENATE(COUNTA(B$4:B168),"."))</f>
        <v/>
      </c>
      <c r="B168" s="112"/>
      <c r="C168" s="81"/>
      <c r="D168" s="81"/>
      <c r="E168" s="81" t="str">
        <f aca="false">IF(D168="","",IF(C168="Tecnico",D168*4.5,IF(C168="Funcional",D168*3,D168*2.5)))</f>
        <v/>
      </c>
      <c r="F168" s="113"/>
    </row>
    <row r="169" customFormat="false" ht="12.75" hidden="false" customHeight="true" outlineLevel="0" collapsed="false">
      <c r="A169" s="111" t="str">
        <f aca="false">IF(B169="","",CONCATENATE(COUNTA(B$4:B169),"."))</f>
        <v/>
      </c>
      <c r="B169" s="112"/>
      <c r="C169" s="81"/>
      <c r="D169" s="81"/>
      <c r="E169" s="81" t="str">
        <f aca="false">IF(D169="","",IF(C169="Tecnico",D169*4.5,IF(C169="Funcional",D169*3,D169*2.5)))</f>
        <v/>
      </c>
      <c r="F169" s="113"/>
    </row>
    <row r="170" customFormat="false" ht="12.75" hidden="false" customHeight="true" outlineLevel="0" collapsed="false">
      <c r="A170" s="111" t="str">
        <f aca="false">IF(B170="","",CONCATENATE(COUNTA(B$4:B170),"."))</f>
        <v/>
      </c>
      <c r="B170" s="112"/>
      <c r="C170" s="81"/>
      <c r="D170" s="81"/>
      <c r="E170" s="81" t="str">
        <f aca="false">IF(D170="","",IF(C170="Tecnico",D170*4.5,IF(C170="Funcional",D170*3,D170*2.5)))</f>
        <v/>
      </c>
      <c r="F170" s="113"/>
    </row>
    <row r="171" customFormat="false" ht="12.75" hidden="false" customHeight="true" outlineLevel="0" collapsed="false">
      <c r="A171" s="111" t="str">
        <f aca="false">IF(B171="","",CONCATENATE(COUNTA(B$4:B171),"."))</f>
        <v/>
      </c>
      <c r="B171" s="112"/>
      <c r="C171" s="81"/>
      <c r="D171" s="81"/>
      <c r="E171" s="81" t="str">
        <f aca="false">IF(D171="","",IF(C171="Tecnico",D171*4.5,IF(C171="Funcional",D171*3,D171*2.5)))</f>
        <v/>
      </c>
      <c r="F171" s="113"/>
    </row>
    <row r="172" customFormat="false" ht="12.75" hidden="false" customHeight="true" outlineLevel="0" collapsed="false">
      <c r="A172" s="111" t="str">
        <f aca="false">IF(B172="","",CONCATENATE(COUNTA(B$4:B172),"."))</f>
        <v/>
      </c>
      <c r="B172" s="112"/>
      <c r="C172" s="81"/>
      <c r="D172" s="81"/>
      <c r="E172" s="81" t="str">
        <f aca="false">IF(D172="","",IF(C172="Tecnico",D172*4.5,IF(C172="Funcional",D172*3,D172*2.5)))</f>
        <v/>
      </c>
      <c r="F172" s="113"/>
    </row>
    <row r="173" customFormat="false" ht="12.75" hidden="false" customHeight="true" outlineLevel="0" collapsed="false">
      <c r="A173" s="111" t="str">
        <f aca="false">IF(B173="","",CONCATENATE(COUNTA(B$4:B173),"."))</f>
        <v/>
      </c>
      <c r="B173" s="112"/>
      <c r="C173" s="81"/>
      <c r="D173" s="81"/>
      <c r="E173" s="81" t="str">
        <f aca="false">IF(D173="","",IF(C173="Tecnico",D173*4.5,IF(C173="Funcional",D173*3,D173*2.5)))</f>
        <v/>
      </c>
      <c r="F173" s="113"/>
    </row>
    <row r="174" customFormat="false" ht="12.75" hidden="false" customHeight="true" outlineLevel="0" collapsed="false">
      <c r="A174" s="111" t="str">
        <f aca="false">IF(B174="","",CONCATENATE(COUNTA(B$4:B174),"."))</f>
        <v/>
      </c>
      <c r="B174" s="112"/>
      <c r="C174" s="81"/>
      <c r="D174" s="81"/>
      <c r="E174" s="81" t="str">
        <f aca="false">IF(D174="","",IF(C174="Tecnico",D174*4.5,IF(C174="Funcional",D174*3,D174*2.5)))</f>
        <v/>
      </c>
      <c r="F174" s="113"/>
    </row>
    <row r="175" customFormat="false" ht="12.75" hidden="false" customHeight="true" outlineLevel="0" collapsed="false">
      <c r="A175" s="111" t="str">
        <f aca="false">IF(B175="","",CONCATENATE(COUNTA(B$4:B175),"."))</f>
        <v/>
      </c>
      <c r="B175" s="112"/>
      <c r="C175" s="81"/>
      <c r="D175" s="81"/>
      <c r="E175" s="81" t="str">
        <f aca="false">IF(D175="","",IF(C175="Tecnico",D175*4.5,IF(C175="Funcional",D175*3,D175*2.5)))</f>
        <v/>
      </c>
      <c r="F175" s="113"/>
    </row>
    <row r="176" customFormat="false" ht="12.75" hidden="false" customHeight="true" outlineLevel="0" collapsed="false">
      <c r="A176" s="111" t="str">
        <f aca="false">IF(B176="","",CONCATENATE(COUNTA(B$4:B176),"."))</f>
        <v/>
      </c>
      <c r="B176" s="112"/>
      <c r="C176" s="81"/>
      <c r="D176" s="81"/>
      <c r="E176" s="81" t="str">
        <f aca="false">IF(D176="","",IF(C176="Tecnico",D176*4.5,IF(C176="Funcional",D176*3,D176*2.5)))</f>
        <v/>
      </c>
      <c r="F176" s="113"/>
    </row>
    <row r="177" customFormat="false" ht="12.75" hidden="false" customHeight="true" outlineLevel="0" collapsed="false">
      <c r="A177" s="111" t="str">
        <f aca="false">IF(B177="","",CONCATENATE(COUNTA(B$4:B177),"."))</f>
        <v/>
      </c>
      <c r="B177" s="112"/>
      <c r="C177" s="81"/>
      <c r="D177" s="81"/>
      <c r="E177" s="81" t="str">
        <f aca="false">IF(D177="","",IF(C177="Tecnico",D177*4.5,IF(C177="Funcional",D177*3,D177*2.5)))</f>
        <v/>
      </c>
      <c r="F177" s="113"/>
    </row>
    <row r="178" customFormat="false" ht="12.75" hidden="false" customHeight="true" outlineLevel="0" collapsed="false">
      <c r="A178" s="111" t="str">
        <f aca="false">IF(B178="","",CONCATENATE(COUNTA(B$4:B178),"."))</f>
        <v/>
      </c>
      <c r="B178" s="112"/>
      <c r="C178" s="81"/>
      <c r="D178" s="81"/>
      <c r="E178" s="81" t="str">
        <f aca="false">IF(D178="","",IF(C178="Tecnico",D178*4.5,IF(C178="Funcional",D178*3,D178*2.5)))</f>
        <v/>
      </c>
      <c r="F178" s="113"/>
    </row>
    <row r="179" customFormat="false" ht="12.75" hidden="false" customHeight="true" outlineLevel="0" collapsed="false">
      <c r="A179" s="111" t="str">
        <f aca="false">IF(B179="","",CONCATENATE(COUNTA(B$4:B179),"."))</f>
        <v/>
      </c>
      <c r="B179" s="112"/>
      <c r="C179" s="81"/>
      <c r="D179" s="81"/>
      <c r="E179" s="81" t="str">
        <f aca="false">IF(D179="","",IF(C179="Tecnico",D179*4.5,IF(C179="Funcional",D179*3,D179*2.5)))</f>
        <v/>
      </c>
      <c r="F179" s="113"/>
    </row>
    <row r="180" customFormat="false" ht="12.75" hidden="false" customHeight="true" outlineLevel="0" collapsed="false">
      <c r="A180" s="111" t="str">
        <f aca="false">IF(B180="","",CONCATENATE(COUNTA(B$4:B180),"."))</f>
        <v/>
      </c>
      <c r="B180" s="112"/>
      <c r="C180" s="81"/>
      <c r="D180" s="81"/>
      <c r="E180" s="81" t="str">
        <f aca="false">IF(D180="","",IF(C180="Tecnico",D180*4.5,IF(C180="Funcional",D180*3,D180*2.5)))</f>
        <v/>
      </c>
      <c r="F180" s="113"/>
    </row>
    <row r="181" customFormat="false" ht="12.75" hidden="false" customHeight="true" outlineLevel="0" collapsed="false">
      <c r="A181" s="111" t="str">
        <f aca="false">IF(B181="","",CONCATENATE(COUNTA(B$4:B181),"."))</f>
        <v/>
      </c>
      <c r="B181" s="112"/>
      <c r="C181" s="81"/>
      <c r="D181" s="81"/>
      <c r="E181" s="81" t="str">
        <f aca="false">IF(D181="","",IF(C181="Tecnico",D181*4.5,IF(C181="Funcional",D181*3,D181*2.5)))</f>
        <v/>
      </c>
      <c r="F181" s="113"/>
    </row>
    <row r="182" customFormat="false" ht="12.75" hidden="false" customHeight="true" outlineLevel="0" collapsed="false">
      <c r="A182" s="111" t="str">
        <f aca="false">IF(B182="","",CONCATENATE(COUNTA(B$4:B182),"."))</f>
        <v/>
      </c>
      <c r="B182" s="112"/>
      <c r="C182" s="81"/>
      <c r="D182" s="81"/>
      <c r="E182" s="81" t="str">
        <f aca="false">IF(D182="","",IF(C182="Tecnico",D182*4.5,IF(C182="Funcional",D182*3,D182*2.5)))</f>
        <v/>
      </c>
      <c r="F182" s="113"/>
    </row>
    <row r="183" customFormat="false" ht="12.75" hidden="false" customHeight="true" outlineLevel="0" collapsed="false">
      <c r="A183" s="111" t="str">
        <f aca="false">IF(B183="","",CONCATENATE(COUNTA(B$4:B183),"."))</f>
        <v/>
      </c>
      <c r="B183" s="112"/>
      <c r="C183" s="81"/>
      <c r="D183" s="81"/>
      <c r="E183" s="81" t="str">
        <f aca="false">IF(D183="","",IF(C183="Tecnico",D183*4.5,IF(C183="Funcional",D183*3,D183*2.5)))</f>
        <v/>
      </c>
      <c r="F183" s="113"/>
    </row>
    <row r="184" customFormat="false" ht="12.75" hidden="false" customHeight="true" outlineLevel="0" collapsed="false">
      <c r="A184" s="111" t="str">
        <f aca="false">IF(B184="","",CONCATENATE(COUNTA(B$4:B184),"."))</f>
        <v/>
      </c>
      <c r="B184" s="112"/>
      <c r="C184" s="81"/>
      <c r="D184" s="81"/>
      <c r="E184" s="81" t="str">
        <f aca="false">IF(D184="","",IF(C184="Tecnico",D184*4.5,IF(C184="Funcional",D184*3,D184*2.5)))</f>
        <v/>
      </c>
      <c r="F184" s="113"/>
    </row>
    <row r="185" customFormat="false" ht="12.75" hidden="false" customHeight="true" outlineLevel="0" collapsed="false">
      <c r="A185" s="111" t="str">
        <f aca="false">IF(B185="","",CONCATENATE(COUNTA(B$4:B185),"."))</f>
        <v/>
      </c>
      <c r="B185" s="112"/>
      <c r="C185" s="81"/>
      <c r="D185" s="81"/>
      <c r="E185" s="81" t="str">
        <f aca="false">IF(D185="","",IF(C185="Tecnico",D185*4.5,IF(C185="Funcional",D185*3,D185*2.5)))</f>
        <v/>
      </c>
      <c r="F185" s="113"/>
    </row>
    <row r="186" customFormat="false" ht="12.75" hidden="false" customHeight="true" outlineLevel="0" collapsed="false">
      <c r="A186" s="111" t="str">
        <f aca="false">IF(B186="","",CONCATENATE(COUNTA(B$4:B186),"."))</f>
        <v/>
      </c>
      <c r="B186" s="112"/>
      <c r="C186" s="81"/>
      <c r="D186" s="81"/>
      <c r="E186" s="81" t="str">
        <f aca="false">IF(D186="","",IF(C186="Tecnico",D186*4.5,IF(C186="Funcional",D186*3,D186*2.5)))</f>
        <v/>
      </c>
      <c r="F186" s="113"/>
    </row>
    <row r="187" customFormat="false" ht="12.75" hidden="false" customHeight="true" outlineLevel="0" collapsed="false">
      <c r="A187" s="111" t="str">
        <f aca="false">IF(B187="","",CONCATENATE(COUNTA(B$4:B187),"."))</f>
        <v/>
      </c>
      <c r="B187" s="112"/>
      <c r="C187" s="81"/>
      <c r="D187" s="81"/>
      <c r="E187" s="81" t="str">
        <f aca="false">IF(D187="","",IF(C187="Tecnico",D187*4.5,IF(C187="Funcional",D187*3,D187*2.5)))</f>
        <v/>
      </c>
      <c r="F187" s="113"/>
    </row>
    <row r="188" customFormat="false" ht="12.75" hidden="false" customHeight="true" outlineLevel="0" collapsed="false">
      <c r="A188" s="111" t="str">
        <f aca="false">IF(B188="","",CONCATENATE(COUNTA(B$4:B188),"."))</f>
        <v/>
      </c>
      <c r="B188" s="112"/>
      <c r="C188" s="81"/>
      <c r="D188" s="81"/>
      <c r="E188" s="81" t="str">
        <f aca="false">IF(D188="","",IF(C188="Tecnico",D188*4.5,IF(C188="Funcional",D188*3,D188*2.5)))</f>
        <v/>
      </c>
      <c r="F188" s="113"/>
    </row>
    <row r="189" customFormat="false" ht="12.75" hidden="false" customHeight="true" outlineLevel="0" collapsed="false">
      <c r="A189" s="111" t="str">
        <f aca="false">IF(B189="","",CONCATENATE(COUNTA(B$4:B189),"."))</f>
        <v/>
      </c>
      <c r="B189" s="112"/>
      <c r="C189" s="81"/>
      <c r="D189" s="81"/>
      <c r="E189" s="81" t="str">
        <f aca="false">IF(D189="","",IF(C189="Tecnico",D189*4.5,IF(C189="Funcional",D189*3,D189*2.5)))</f>
        <v/>
      </c>
      <c r="F189" s="113"/>
    </row>
    <row r="190" customFormat="false" ht="12.75" hidden="false" customHeight="true" outlineLevel="0" collapsed="false">
      <c r="A190" s="111" t="str">
        <f aca="false">IF(B190="","",CONCATENATE(COUNTA(B$4:B190),"."))</f>
        <v/>
      </c>
      <c r="B190" s="112"/>
      <c r="C190" s="81"/>
      <c r="D190" s="81"/>
      <c r="E190" s="81" t="str">
        <f aca="false">IF(D190="","",IF(C190="Tecnico",D190*4.5,IF(C190="Funcional",D190*3,D190*2.5)))</f>
        <v/>
      </c>
      <c r="F190" s="113"/>
    </row>
    <row r="191" customFormat="false" ht="12.75" hidden="false" customHeight="true" outlineLevel="0" collapsed="false">
      <c r="A191" s="111" t="str">
        <f aca="false">IF(B191="","",CONCATENATE(COUNTA(B$4:B191),"."))</f>
        <v/>
      </c>
      <c r="B191" s="112"/>
      <c r="C191" s="81"/>
      <c r="D191" s="81"/>
      <c r="E191" s="81" t="str">
        <f aca="false">IF(D191="","",IF(C191="Tecnico",D191*4.5,IF(C191="Funcional",D191*3,D191*2.5)))</f>
        <v/>
      </c>
      <c r="F191" s="113"/>
    </row>
    <row r="192" customFormat="false" ht="12.75" hidden="false" customHeight="true" outlineLevel="0" collapsed="false">
      <c r="A192" s="111" t="str">
        <f aca="false">IF(B192="","",CONCATENATE(COUNTA(B$4:B192),"."))</f>
        <v/>
      </c>
      <c r="B192" s="112"/>
      <c r="C192" s="81"/>
      <c r="D192" s="81"/>
      <c r="E192" s="81" t="str">
        <f aca="false">IF(D192="","",IF(C192="Tecnico",D192*4.5,IF(C192="Funcional",D192*3,D192*2.5)))</f>
        <v/>
      </c>
      <c r="F192" s="113"/>
    </row>
    <row r="193" customFormat="false" ht="12.75" hidden="false" customHeight="true" outlineLevel="0" collapsed="false">
      <c r="A193" s="111" t="str">
        <f aca="false">IF(B193="","",CONCATENATE(COUNTA(B$4:B193),"."))</f>
        <v/>
      </c>
      <c r="B193" s="112"/>
      <c r="C193" s="81"/>
      <c r="D193" s="81"/>
      <c r="E193" s="81" t="str">
        <f aca="false">IF(D193="","",IF(C193="Tecnico",D193*4.5,IF(C193="Funcional",D193*3,D193*2.5)))</f>
        <v/>
      </c>
      <c r="F193" s="113"/>
    </row>
    <row r="194" customFormat="false" ht="12.75" hidden="false" customHeight="true" outlineLevel="0" collapsed="false">
      <c r="A194" s="111" t="str">
        <f aca="false">IF(B194="","",CONCATENATE(COUNTA(B$4:B194),"."))</f>
        <v/>
      </c>
      <c r="B194" s="112"/>
      <c r="C194" s="81"/>
      <c r="D194" s="81"/>
      <c r="E194" s="81" t="str">
        <f aca="false">IF(D194="","",IF(C194="Tecnico",D194*4.5,IF(C194="Funcional",D194*3,D194*2.5)))</f>
        <v/>
      </c>
      <c r="F194" s="113"/>
    </row>
    <row r="195" customFormat="false" ht="12.75" hidden="false" customHeight="true" outlineLevel="0" collapsed="false">
      <c r="A195" s="111" t="str">
        <f aca="false">IF(B195="","",CONCATENATE(COUNTA(B$4:B195),"."))</f>
        <v/>
      </c>
      <c r="B195" s="112"/>
      <c r="C195" s="81"/>
      <c r="D195" s="81"/>
      <c r="E195" s="81" t="str">
        <f aca="false">IF(D195="","",IF(C195="Tecnico",D195*4.5,IF(C195="Funcional",D195*3,D195*2.5)))</f>
        <v/>
      </c>
      <c r="F195" s="113"/>
    </row>
    <row r="196" customFormat="false" ht="12.75" hidden="false" customHeight="true" outlineLevel="0" collapsed="false">
      <c r="A196" s="111" t="str">
        <f aca="false">IF(B196="","",CONCATENATE(COUNTA(B$4:B196),"."))</f>
        <v/>
      </c>
      <c r="B196" s="112"/>
      <c r="C196" s="81"/>
      <c r="D196" s="81"/>
      <c r="E196" s="81" t="str">
        <f aca="false">IF(D196="","",IF(C196="Tecnico",D196*4.5,IF(C196="Funcional",D196*3,D196*2.5)))</f>
        <v/>
      </c>
      <c r="F196" s="113"/>
    </row>
    <row r="197" customFormat="false" ht="12.75" hidden="false" customHeight="true" outlineLevel="0" collapsed="false">
      <c r="A197" s="111" t="str">
        <f aca="false">IF(B197="","",CONCATENATE(COUNTA(B$4:B197),"."))</f>
        <v/>
      </c>
      <c r="B197" s="112"/>
      <c r="C197" s="81"/>
      <c r="D197" s="81"/>
      <c r="E197" s="81" t="str">
        <f aca="false">IF(D197="","",IF(C197="Tecnico",D197*4.5,IF(C197="Funcional",D197*3,D197*2.5)))</f>
        <v/>
      </c>
      <c r="F197" s="113"/>
    </row>
    <row r="198" customFormat="false" ht="12.75" hidden="false" customHeight="true" outlineLevel="0" collapsed="false">
      <c r="A198" s="111" t="str">
        <f aca="false">IF(B198="","",CONCATENATE(COUNTA(B$4:B198),"."))</f>
        <v/>
      </c>
      <c r="B198" s="112"/>
      <c r="C198" s="81"/>
      <c r="D198" s="81"/>
      <c r="E198" s="81" t="str">
        <f aca="false">IF(D198="","",IF(C198="Tecnico",D198*4.5,IF(C198="Funcional",D198*3,D198*2.5)))</f>
        <v/>
      </c>
      <c r="F198" s="113"/>
    </row>
  </sheetData>
  <mergeCells count="2">
    <mergeCell ref="A1:A3"/>
    <mergeCell ref="C1:F1"/>
  </mergeCells>
  <dataValidations count="1">
    <dataValidation allowBlank="true" errorStyle="stop" operator="between" showDropDown="false" showErrorMessage="false" showInputMessage="false" sqref="C4:C198" type="list">
      <formula1>"Técnico,Negocio,Funcional"</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E10"/>
    </sheetView>
  </sheetViews>
  <sheetFormatPr defaultColWidth="14.42578125" defaultRowHeight="15.75" zeroHeight="false" outlineLevelRow="0" outlineLevelCol="0"/>
  <cols>
    <col collapsed="false" customWidth="true" hidden="false" outlineLevel="0" max="1" min="1" style="0" width="6.29"/>
    <col collapsed="false" customWidth="true" hidden="false" outlineLevel="0" max="4" min="3" style="0" width="29.42"/>
    <col collapsed="false" customWidth="true" hidden="false" outlineLevel="0" max="5" min="5" style="0" width="11.71"/>
    <col collapsed="false" customWidth="true" hidden="false" outlineLevel="0" max="7" min="7" style="0" width="16.85"/>
    <col collapsed="false" customWidth="true" hidden="false" outlineLevel="0" max="9" min="9" style="0" width="17"/>
  </cols>
  <sheetData>
    <row r="1" customFormat="false" ht="15.75" hidden="false" customHeight="true" outlineLevel="0" collapsed="false">
      <c r="A1" s="114"/>
      <c r="B1" s="115" t="s">
        <v>199</v>
      </c>
      <c r="C1" s="115"/>
      <c r="D1" s="115"/>
      <c r="E1" s="115"/>
      <c r="F1" s="115"/>
      <c r="G1" s="115"/>
      <c r="H1" s="116" t="s">
        <v>200</v>
      </c>
      <c r="I1" s="116"/>
      <c r="J1" s="116"/>
      <c r="K1" s="116"/>
      <c r="L1" s="117"/>
      <c r="M1" s="117"/>
    </row>
    <row r="2" customFormat="false" ht="12.75" hidden="false" customHeight="true" outlineLevel="0" collapsed="false">
      <c r="A2" s="114"/>
      <c r="B2" s="118"/>
      <c r="C2" s="118"/>
      <c r="D2" s="118"/>
      <c r="E2" s="118"/>
      <c r="F2" s="118"/>
      <c r="G2" s="118"/>
      <c r="H2" s="119" t="s">
        <v>201</v>
      </c>
      <c r="I2" s="119" t="n">
        <f aca="false">ROUNDUP(K2/60,0)</f>
        <v>2</v>
      </c>
      <c r="J2" s="119" t="s">
        <v>202</v>
      </c>
      <c r="K2" s="119" t="n">
        <f aca="false">SUM(I4:I9999)*115%</f>
        <v>87.4</v>
      </c>
      <c r="L2" s="117"/>
      <c r="M2" s="117"/>
    </row>
    <row r="3" customFormat="false" ht="42.75" hidden="false" customHeight="true" outlineLevel="0" collapsed="false">
      <c r="A3" s="114"/>
      <c r="B3" s="120" t="s">
        <v>220</v>
      </c>
      <c r="C3" s="120" t="s">
        <v>221</v>
      </c>
      <c r="D3" s="120" t="s">
        <v>222</v>
      </c>
      <c r="E3" s="120" t="s">
        <v>223</v>
      </c>
      <c r="F3" s="120" t="s">
        <v>224</v>
      </c>
      <c r="G3" s="120" t="s">
        <v>225</v>
      </c>
      <c r="H3" s="120" t="s">
        <v>226</v>
      </c>
      <c r="I3" s="120" t="s">
        <v>227</v>
      </c>
      <c r="J3" s="120" t="s">
        <v>207</v>
      </c>
      <c r="K3" s="120"/>
      <c r="L3" s="117"/>
      <c r="M3" s="117"/>
    </row>
    <row r="4" customFormat="false" ht="15.75" hidden="false" customHeight="true" outlineLevel="0" collapsed="false">
      <c r="A4" s="121" t="str">
        <f aca="false">IF(B4="","",CONCATENATE(COUNTA(B$4:B4),"."))</f>
        <v>1.</v>
      </c>
      <c r="B4" s="122" t="s">
        <v>228</v>
      </c>
      <c r="C4" s="122" t="s">
        <v>229</v>
      </c>
      <c r="D4" s="122" t="s">
        <v>230</v>
      </c>
      <c r="E4" s="123" t="n">
        <v>1</v>
      </c>
      <c r="F4" s="123" t="n">
        <f aca="false">E4*60</f>
        <v>60</v>
      </c>
      <c r="G4" s="123" t="n">
        <f aca="false">IF(F4="","",ROUNDUP(F4*10%,0))</f>
        <v>6</v>
      </c>
      <c r="H4" s="124" t="n">
        <f aca="false">IF(D4="","",15%)</f>
        <v>0.15</v>
      </c>
      <c r="I4" s="123" t="n">
        <f aca="false">IF(COUNTBLANK(E4:H4)&lt;1,ROUNDUP(SUM(F4:G4)*(H4+100%),0),"")</f>
        <v>76</v>
      </c>
      <c r="J4" s="125" t="s">
        <v>210</v>
      </c>
      <c r="K4" s="125"/>
      <c r="L4" s="117"/>
      <c r="M4" s="117"/>
    </row>
    <row r="5" customFormat="false" ht="15.75" hidden="false" customHeight="true" outlineLevel="0" collapsed="false">
      <c r="A5" s="121" t="str">
        <f aca="false">IF(B5="","",CONCATENATE(COUNTA(B$4:B5),"."))</f>
        <v>2.</v>
      </c>
      <c r="B5" s="126" t="s">
        <v>231</v>
      </c>
      <c r="C5" s="122" t="s">
        <v>229</v>
      </c>
      <c r="D5" s="122" t="s">
        <v>230</v>
      </c>
      <c r="E5" s="127" t="n">
        <v>0</v>
      </c>
      <c r="F5" s="123" t="n">
        <f aca="false">E5*60</f>
        <v>0</v>
      </c>
      <c r="G5" s="123" t="n">
        <f aca="false">IF(F5="","",ROUNDUP(F5*10%,0))</f>
        <v>0</v>
      </c>
      <c r="H5" s="124" t="n">
        <f aca="false">IF(D5="","",15%)</f>
        <v>0.15</v>
      </c>
      <c r="I5" s="123" t="n">
        <f aca="false">IF(COUNTBLANK(E5:H5)&lt;1,ROUNDUP(SUM(F5:G5)*(H5+100%),0),"")</f>
        <v>0</v>
      </c>
      <c r="J5" s="125" t="s">
        <v>210</v>
      </c>
      <c r="K5" s="125"/>
      <c r="L5" s="117"/>
      <c r="M5" s="117"/>
    </row>
    <row r="6" customFormat="false" ht="15.75" hidden="false" customHeight="true" outlineLevel="0" collapsed="false">
      <c r="A6" s="121" t="str">
        <f aca="false">IF(B6="","",CONCATENATE(COUNTA(B$4:B6),"."))</f>
        <v/>
      </c>
      <c r="B6" s="126"/>
      <c r="C6" s="128"/>
      <c r="D6" s="126"/>
      <c r="E6" s="127"/>
      <c r="F6" s="127"/>
      <c r="G6" s="123" t="str">
        <f aca="false">IF(F6="","",ROUNDUP(F6*10%,0))</f>
        <v/>
      </c>
      <c r="H6" s="124" t="str">
        <f aca="false">IF(D6="","",15%)</f>
        <v/>
      </c>
      <c r="I6" s="123" t="str">
        <f aca="false">IF(COUNTBLANK(E6:H6)&lt;1,ROUNDUP(SUM(F6:G6)*((100+H6*100)%),0),"")</f>
        <v/>
      </c>
      <c r="J6" s="129"/>
      <c r="K6" s="129"/>
      <c r="L6" s="117"/>
      <c r="M6" s="117"/>
    </row>
    <row r="7" customFormat="false" ht="15.75" hidden="false" customHeight="true" outlineLevel="0" collapsed="false">
      <c r="A7" s="121" t="str">
        <f aca="false">IF(B7="","",CONCATENATE(COUNTA(B$4:B7),"."))</f>
        <v/>
      </c>
      <c r="B7" s="126"/>
      <c r="C7" s="128"/>
      <c r="D7" s="126"/>
      <c r="E7" s="127"/>
      <c r="F7" s="127"/>
      <c r="G7" s="123" t="str">
        <f aca="false">IF(F7="","",ROUNDUP(F7*10%,0))</f>
        <v/>
      </c>
      <c r="H7" s="124" t="str">
        <f aca="false">IF(D7="","",15%)</f>
        <v/>
      </c>
      <c r="I7" s="123" t="str">
        <f aca="false">IF(COUNTBLANK(E7:H7)&lt;1,ROUNDUP(SUM(F7:G7)*((100+H7*100)%),0),"")</f>
        <v/>
      </c>
      <c r="J7" s="129"/>
      <c r="K7" s="129"/>
      <c r="L7" s="117"/>
      <c r="M7" s="117"/>
    </row>
    <row r="8" customFormat="false" ht="15.75" hidden="false" customHeight="true" outlineLevel="0" collapsed="false">
      <c r="A8" s="121" t="str">
        <f aca="false">IF(B8="","",CONCATENATE(COUNTA(B$4:B8),"."))</f>
        <v/>
      </c>
      <c r="B8" s="126"/>
      <c r="C8" s="126"/>
      <c r="D8" s="126"/>
      <c r="E8" s="127"/>
      <c r="F8" s="127"/>
      <c r="G8" s="123" t="str">
        <f aca="false">IF(F8="","",ROUNDUP(F8*10%,0))</f>
        <v/>
      </c>
      <c r="H8" s="124" t="str">
        <f aca="false">IF(D8="","",15%)</f>
        <v/>
      </c>
      <c r="I8" s="123" t="str">
        <f aca="false">IF(COUNTBLANK(E8:H8)&lt;1,ROUNDUP(SUM(F8:G8)*((100+H8*100)%),0),"")</f>
        <v/>
      </c>
      <c r="J8" s="129"/>
      <c r="K8" s="129"/>
      <c r="L8" s="117"/>
      <c r="M8" s="117"/>
    </row>
    <row r="9" customFormat="false" ht="15.75" hidden="false" customHeight="true" outlineLevel="0" collapsed="false">
      <c r="A9" s="121" t="str">
        <f aca="false">IF(B9="","",CONCATENATE(COUNTA(B$4:B9),"."))</f>
        <v/>
      </c>
      <c r="B9" s="126"/>
      <c r="C9" s="126"/>
      <c r="D9" s="126"/>
      <c r="E9" s="127"/>
      <c r="F9" s="127"/>
      <c r="G9" s="123" t="str">
        <f aca="false">IF(F9="","",ROUNDUP(F9*10%,0))</f>
        <v/>
      </c>
      <c r="H9" s="124" t="str">
        <f aca="false">IF(D9="","",15%)</f>
        <v/>
      </c>
      <c r="I9" s="123" t="str">
        <f aca="false">IF(COUNTBLANK(E9:H9)&lt;1,ROUNDUP(SUM(F9:G9)*((100+H9*100)%),0),"")</f>
        <v/>
      </c>
      <c r="J9" s="129"/>
      <c r="K9" s="129"/>
      <c r="L9" s="117"/>
      <c r="M9" s="117"/>
    </row>
    <row r="10" customFormat="false" ht="15.75" hidden="false" customHeight="true" outlineLevel="0" collapsed="false">
      <c r="A10" s="121" t="str">
        <f aca="false">IF(B10="","",CONCATENATE(COUNTA(B$4:B10),"."))</f>
        <v/>
      </c>
      <c r="B10" s="126"/>
      <c r="C10" s="126"/>
      <c r="D10" s="126"/>
      <c r="E10" s="127"/>
      <c r="F10" s="127"/>
      <c r="G10" s="123" t="str">
        <f aca="false">IF(F10="","",ROUNDUP(F10*10%,0))</f>
        <v/>
      </c>
      <c r="H10" s="124" t="str">
        <f aca="false">IF(D10="","",15%)</f>
        <v/>
      </c>
      <c r="I10" s="123" t="str">
        <f aca="false">IF(COUNTBLANK(E10:H10)&lt;1,ROUNDUP(SUM(F10:G10)*((100+H10*100)%),0),"")</f>
        <v/>
      </c>
      <c r="J10" s="129"/>
      <c r="K10" s="129"/>
      <c r="L10" s="117"/>
      <c r="M10" s="117"/>
    </row>
    <row r="11" customFormat="false" ht="15.75" hidden="false" customHeight="true" outlineLevel="0" collapsed="false">
      <c r="A11" s="121" t="str">
        <f aca="false">IF(B11="","",CONCATENATE(COUNTA(B$4:B11),"."))</f>
        <v/>
      </c>
      <c r="B11" s="126"/>
      <c r="C11" s="126"/>
      <c r="D11" s="126"/>
      <c r="E11" s="127"/>
      <c r="F11" s="127"/>
      <c r="G11" s="123" t="str">
        <f aca="false">IF(F11="","",ROUNDUP(F11*10%,0))</f>
        <v/>
      </c>
      <c r="H11" s="124" t="str">
        <f aca="false">IF(D11="","",15%)</f>
        <v/>
      </c>
      <c r="I11" s="123" t="str">
        <f aca="false">IF(COUNTBLANK(E11:H11)&lt;1,ROUNDUP(SUM(F11:G11)*((100+H11*100)%),0),"")</f>
        <v/>
      </c>
      <c r="J11" s="129"/>
      <c r="K11" s="129"/>
      <c r="L11" s="117"/>
      <c r="M11" s="117"/>
    </row>
    <row r="12" customFormat="false" ht="15.75" hidden="false" customHeight="true" outlineLevel="0" collapsed="false">
      <c r="A12" s="121" t="str">
        <f aca="false">IF(B12="","",CONCATENATE(COUNTA(B$4:B12),"."))</f>
        <v/>
      </c>
      <c r="B12" s="126"/>
      <c r="C12" s="128"/>
      <c r="D12" s="126"/>
      <c r="E12" s="127"/>
      <c r="F12" s="127"/>
      <c r="G12" s="123" t="str">
        <f aca="false">IF(F12="","",ROUNDUP(F12*10%,0))</f>
        <v/>
      </c>
      <c r="H12" s="124" t="str">
        <f aca="false">IF(D12="","",15%)</f>
        <v/>
      </c>
      <c r="I12" s="123" t="str">
        <f aca="false">IF(COUNTBLANK(E12:H12)&lt;1,ROUNDUP(SUM(F12:G12)*((100+H12*100)%),0),"")</f>
        <v/>
      </c>
      <c r="J12" s="129"/>
      <c r="K12" s="129"/>
      <c r="L12" s="117"/>
      <c r="M12" s="117"/>
    </row>
    <row r="13" customFormat="false" ht="15.75" hidden="false" customHeight="true" outlineLevel="0" collapsed="false">
      <c r="A13" s="121" t="str">
        <f aca="false">IF(B13="","",CONCATENATE(COUNTA(B$4:B13),"."))</f>
        <v/>
      </c>
      <c r="B13" s="126"/>
      <c r="C13" s="126"/>
      <c r="D13" s="126"/>
      <c r="E13" s="127"/>
      <c r="F13" s="127"/>
      <c r="G13" s="123" t="str">
        <f aca="false">IF(F13="","",ROUNDUP(F13*10%,0))</f>
        <v/>
      </c>
      <c r="H13" s="124" t="str">
        <f aca="false">IF(D13="","",15%)</f>
        <v/>
      </c>
      <c r="I13" s="123" t="str">
        <f aca="false">IF(COUNTBLANK(E13:H13)&lt;1,ROUNDUP(SUM(F13:G13)*((100+H13*100)%),0),"")</f>
        <v/>
      </c>
      <c r="J13" s="129"/>
      <c r="K13" s="129"/>
      <c r="L13" s="117"/>
      <c r="M13" s="117"/>
    </row>
    <row r="14" customFormat="false" ht="15.75" hidden="false" customHeight="true" outlineLevel="0" collapsed="false">
      <c r="A14" s="121" t="str">
        <f aca="false">IF(B14="","",CONCATENATE(COUNTA(B$4:B14),"."))</f>
        <v/>
      </c>
      <c r="B14" s="126"/>
      <c r="C14" s="126"/>
      <c r="D14" s="126"/>
      <c r="E14" s="127"/>
      <c r="F14" s="127"/>
      <c r="G14" s="123" t="str">
        <f aca="false">IF(F14="","",ROUNDUP(F14*10%,0))</f>
        <v/>
      </c>
      <c r="H14" s="124" t="str">
        <f aca="false">IF(D14="","",15%)</f>
        <v/>
      </c>
      <c r="I14" s="123" t="str">
        <f aca="false">IF(COUNTBLANK(E14:H14)&lt;1,ROUNDUP(SUM(F14:G14)*((100+H14*100)%),0),"")</f>
        <v/>
      </c>
      <c r="J14" s="129"/>
      <c r="K14" s="129"/>
      <c r="L14" s="117"/>
      <c r="M14" s="117"/>
    </row>
    <row r="15" customFormat="false" ht="15.75" hidden="false" customHeight="true" outlineLevel="0" collapsed="false">
      <c r="A15" s="121" t="str">
        <f aca="false">IF(B15="","",CONCATENATE(COUNTA(B$4:B15),"."))</f>
        <v/>
      </c>
      <c r="B15" s="126"/>
      <c r="C15" s="126"/>
      <c r="D15" s="126"/>
      <c r="E15" s="127"/>
      <c r="F15" s="127"/>
      <c r="G15" s="123" t="str">
        <f aca="false">IF(F15="","",ROUNDUP(F15*10%,0))</f>
        <v/>
      </c>
      <c r="H15" s="124" t="str">
        <f aca="false">IF(D15="","",15%)</f>
        <v/>
      </c>
      <c r="I15" s="123" t="str">
        <f aca="false">IF(COUNTBLANK(E15:H15)&lt;1,ROUNDUP(SUM(F15:G15)*((100+H15*100)%),0),"")</f>
        <v/>
      </c>
      <c r="J15" s="129"/>
      <c r="K15" s="129"/>
      <c r="L15" s="117"/>
      <c r="M15" s="117"/>
    </row>
    <row r="16" customFormat="false" ht="15.75" hidden="false" customHeight="true" outlineLevel="0" collapsed="false">
      <c r="A16" s="121" t="str">
        <f aca="false">IF(B16="","",CONCATENATE(COUNTA(B$4:B16),"."))</f>
        <v/>
      </c>
      <c r="B16" s="126"/>
      <c r="C16" s="126"/>
      <c r="D16" s="126"/>
      <c r="E16" s="127"/>
      <c r="F16" s="127"/>
      <c r="G16" s="123" t="str">
        <f aca="false">IF(F16="","",ROUNDUP(F16*10%,0))</f>
        <v/>
      </c>
      <c r="H16" s="124" t="str">
        <f aca="false">IF(D16="","",15%)</f>
        <v/>
      </c>
      <c r="I16" s="123" t="str">
        <f aca="false">IF(COUNTBLANK(E16:H16)&lt;1,ROUNDUP(SUM(F16:G16)*((100+H16*100)%),0),"")</f>
        <v/>
      </c>
      <c r="J16" s="129"/>
      <c r="K16" s="129"/>
      <c r="L16" s="117"/>
      <c r="M16" s="117"/>
    </row>
    <row r="17" customFormat="false" ht="15.75" hidden="false" customHeight="true" outlineLevel="0" collapsed="false">
      <c r="A17" s="121" t="str">
        <f aca="false">IF(B17="","",CONCATENATE(COUNTA(B$4:B17),"."))</f>
        <v/>
      </c>
      <c r="B17" s="126"/>
      <c r="C17" s="126"/>
      <c r="D17" s="126"/>
      <c r="E17" s="127"/>
      <c r="F17" s="127"/>
      <c r="G17" s="123" t="str">
        <f aca="false">IF(F17="","",ROUNDUP(F17*10%,0))</f>
        <v/>
      </c>
      <c r="H17" s="124" t="str">
        <f aca="false">IF(D17="","",15%)</f>
        <v/>
      </c>
      <c r="I17" s="123" t="str">
        <f aca="false">IF(COUNTBLANK(E17:H17)&lt;1,ROUNDUP(SUM(F17:G17)*((100+H17*100)%),0),"")</f>
        <v/>
      </c>
      <c r="J17" s="129"/>
      <c r="K17" s="129"/>
    </row>
    <row r="18" customFormat="false" ht="15.75" hidden="false" customHeight="true" outlineLevel="0" collapsed="false">
      <c r="A18" s="121" t="str">
        <f aca="false">IF(B18="","",CONCATENATE(COUNTA(B$4:B18),"."))</f>
        <v/>
      </c>
      <c r="B18" s="126"/>
      <c r="C18" s="126"/>
      <c r="D18" s="126"/>
      <c r="E18" s="127"/>
      <c r="F18" s="127"/>
      <c r="G18" s="123" t="str">
        <f aca="false">IF(F18="","",ROUNDUP(F18*10%,0))</f>
        <v/>
      </c>
      <c r="H18" s="124" t="str">
        <f aca="false">IF(D18="","",15%)</f>
        <v/>
      </c>
      <c r="I18" s="123" t="str">
        <f aca="false">IF(COUNTBLANK(E18:H18)&lt;1,ROUNDUP(SUM(F18:G18)*((100+H18*100)%),0),"")</f>
        <v/>
      </c>
      <c r="J18" s="129"/>
      <c r="K18" s="129"/>
    </row>
    <row r="19" customFormat="false" ht="15.75" hidden="false" customHeight="true" outlineLevel="0" collapsed="false">
      <c r="A19" s="121" t="str">
        <f aca="false">IF(B19="","",CONCATENATE(COUNTA(B$4:B19),"."))</f>
        <v/>
      </c>
      <c r="B19" s="126"/>
      <c r="C19" s="126"/>
      <c r="D19" s="126"/>
      <c r="E19" s="127"/>
      <c r="F19" s="127"/>
      <c r="G19" s="123" t="str">
        <f aca="false">IF(F19="","",ROUNDUP(F19*10%,0))</f>
        <v/>
      </c>
      <c r="H19" s="124" t="str">
        <f aca="false">IF(D19="","",15%)</f>
        <v/>
      </c>
      <c r="I19" s="123" t="str">
        <f aca="false">IF(COUNTBLANK(E19:H19)&lt;1,ROUNDUP(SUM(F19:G19)*((100+H19*100)%),0),"")</f>
        <v/>
      </c>
      <c r="J19" s="129"/>
      <c r="K19" s="129"/>
    </row>
    <row r="20" customFormat="false" ht="15.75" hidden="false" customHeight="true" outlineLevel="0" collapsed="false">
      <c r="A20" s="121" t="str">
        <f aca="false">IF(B20="","",CONCATENATE(COUNTA(B$4:B20),"."))</f>
        <v/>
      </c>
      <c r="B20" s="126"/>
      <c r="C20" s="126"/>
      <c r="D20" s="126"/>
      <c r="E20" s="127"/>
      <c r="F20" s="127"/>
      <c r="G20" s="123" t="str">
        <f aca="false">IF(F20="","",ROUNDUP(F20*10%,0))</f>
        <v/>
      </c>
      <c r="H20" s="124" t="str">
        <f aca="false">IF(D20="","",15%)</f>
        <v/>
      </c>
      <c r="I20" s="123" t="str">
        <f aca="false">IF(COUNTBLANK(E20:H20)&lt;1,ROUNDUP(SUM(F20:G20)*((100+H20*100)%),0),"")</f>
        <v/>
      </c>
      <c r="J20" s="129"/>
      <c r="K20" s="129"/>
    </row>
    <row r="21" customFormat="false" ht="15.75" hidden="false" customHeight="true" outlineLevel="0" collapsed="false">
      <c r="A21" s="121" t="str">
        <f aca="false">IF(B21="","",CONCATENATE(COUNTA(B$4:B21),"."))</f>
        <v/>
      </c>
      <c r="B21" s="126"/>
      <c r="C21" s="126"/>
      <c r="D21" s="126"/>
      <c r="E21" s="127"/>
      <c r="F21" s="127"/>
      <c r="G21" s="123" t="str">
        <f aca="false">IF(F21="","",ROUNDUP(F21*10%,0))</f>
        <v/>
      </c>
      <c r="H21" s="124" t="str">
        <f aca="false">IF(D21="","",15%)</f>
        <v/>
      </c>
      <c r="I21" s="123" t="str">
        <f aca="false">IF(COUNTBLANK(E21:H21)&lt;1,ROUNDUP(SUM(F21:G21)*((100+H21*100)%),0),"")</f>
        <v/>
      </c>
      <c r="J21" s="129"/>
      <c r="K21" s="129"/>
    </row>
    <row r="22" customFormat="false" ht="15.75" hidden="false" customHeight="true" outlineLevel="0" collapsed="false">
      <c r="A22" s="121" t="str">
        <f aca="false">IF(B22="","",CONCATENATE(COUNTA(B$4:B22),"."))</f>
        <v/>
      </c>
      <c r="B22" s="126"/>
      <c r="C22" s="126"/>
      <c r="D22" s="126"/>
      <c r="E22" s="127"/>
      <c r="F22" s="127"/>
      <c r="G22" s="123" t="str">
        <f aca="false">IF(F22="","",ROUNDUP(F22*10%,0))</f>
        <v/>
      </c>
      <c r="H22" s="124" t="str">
        <f aca="false">IF(D22="","",15%)</f>
        <v/>
      </c>
      <c r="I22" s="123" t="str">
        <f aca="false">IF(COUNTBLANK(E22:H22)&lt;1,ROUNDUP(SUM(F22:G22)*((100+H22*100)%),0),"")</f>
        <v/>
      </c>
      <c r="J22" s="129"/>
      <c r="K22" s="129"/>
    </row>
    <row r="23" customFormat="false" ht="12.75" hidden="false" customHeight="true" outlineLevel="0" collapsed="false">
      <c r="A23" s="121" t="str">
        <f aca="false">IF(B23="","",CONCATENATE(COUNTA(B$4:B23),"."))</f>
        <v/>
      </c>
      <c r="B23" s="126"/>
      <c r="C23" s="126"/>
      <c r="D23" s="126"/>
      <c r="E23" s="127"/>
      <c r="F23" s="127"/>
      <c r="G23" s="123" t="str">
        <f aca="false">IF(F23="","",ROUNDUP(F23*10%,0))</f>
        <v/>
      </c>
      <c r="H23" s="124" t="str">
        <f aca="false">IF(D23="","",15%)</f>
        <v/>
      </c>
      <c r="I23" s="123" t="str">
        <f aca="false">IF(COUNTBLANK(E23:H23)&lt;1,ROUNDUP(SUM(F23:G23)*((100+H23*100)%),0),"")</f>
        <v/>
      </c>
      <c r="J23" s="129"/>
      <c r="K23" s="129"/>
    </row>
    <row r="24" customFormat="false" ht="12.75" hidden="false" customHeight="true" outlineLevel="0" collapsed="false">
      <c r="A24" s="121" t="str">
        <f aca="false">IF(B24="","",CONCATENATE(COUNTA(B$4:B24),"."))</f>
        <v/>
      </c>
      <c r="B24" s="126"/>
      <c r="C24" s="126"/>
      <c r="D24" s="126"/>
      <c r="E24" s="127"/>
      <c r="F24" s="127"/>
      <c r="G24" s="123" t="str">
        <f aca="false">IF(F24="","",ROUNDUP(F24*10%,0))</f>
        <v/>
      </c>
      <c r="H24" s="124" t="str">
        <f aca="false">IF(D24="","",15%)</f>
        <v/>
      </c>
      <c r="I24" s="123" t="str">
        <f aca="false">IF(COUNTBLANK(E24:H24)&lt;1,ROUNDUP(SUM(F24:G24)*((100+H24*100)%),0),"")</f>
        <v/>
      </c>
      <c r="J24" s="129"/>
      <c r="K24" s="129"/>
    </row>
    <row r="25" customFormat="false" ht="12.75" hidden="false" customHeight="true" outlineLevel="0" collapsed="false">
      <c r="A25" s="121" t="str">
        <f aca="false">IF(B25="","",CONCATENATE(COUNTA(B$4:B25),"."))</f>
        <v/>
      </c>
      <c r="B25" s="126"/>
      <c r="C25" s="126"/>
      <c r="D25" s="126"/>
      <c r="E25" s="127"/>
      <c r="F25" s="127"/>
      <c r="G25" s="123" t="str">
        <f aca="false">IF(F25="","",ROUNDUP(F25*10%,0))</f>
        <v/>
      </c>
      <c r="H25" s="124" t="str">
        <f aca="false">IF(D25="","",15%)</f>
        <v/>
      </c>
      <c r="I25" s="123" t="str">
        <f aca="false">IF(COUNTBLANK(E25:H25)&lt;1,ROUNDUP(SUM(F25:G25)*((100+H25*100)%),0),"")</f>
        <v/>
      </c>
      <c r="J25" s="129"/>
      <c r="K25" s="129"/>
    </row>
    <row r="26" customFormat="false" ht="12.75" hidden="false" customHeight="true" outlineLevel="0" collapsed="false">
      <c r="A26" s="121" t="str">
        <f aca="false">IF(B26="","",CONCATENATE(COUNTA(B$4:B26),"."))</f>
        <v/>
      </c>
      <c r="B26" s="126"/>
      <c r="C26" s="126"/>
      <c r="D26" s="126"/>
      <c r="E26" s="127"/>
      <c r="F26" s="127"/>
      <c r="G26" s="123" t="str">
        <f aca="false">IF(F26="","",ROUNDUP(F26*10%,0))</f>
        <v/>
      </c>
      <c r="H26" s="124" t="str">
        <f aca="false">IF(D26="","",15%)</f>
        <v/>
      </c>
      <c r="I26" s="123" t="str">
        <f aca="false">IF(COUNTBLANK(E26:H26)&lt;1,ROUNDUP(SUM(F26:G26)*((100+H26*100)%),0),"")</f>
        <v/>
      </c>
      <c r="J26" s="129"/>
      <c r="K26" s="129"/>
    </row>
    <row r="27" customFormat="false" ht="12.75" hidden="false" customHeight="true" outlineLevel="0" collapsed="false">
      <c r="A27" s="121" t="str">
        <f aca="false">IF(B27="","",CONCATENATE(COUNTA(B$4:B27),"."))</f>
        <v/>
      </c>
      <c r="B27" s="126"/>
      <c r="C27" s="126"/>
      <c r="D27" s="126"/>
      <c r="E27" s="127"/>
      <c r="F27" s="127"/>
      <c r="G27" s="123" t="str">
        <f aca="false">IF(F27="","",ROUNDUP(F27*10%,0))</f>
        <v/>
      </c>
      <c r="H27" s="124" t="str">
        <f aca="false">IF(D27="","",15%)</f>
        <v/>
      </c>
      <c r="I27" s="123" t="str">
        <f aca="false">IF(COUNTBLANK(E27:H27)&lt;1,ROUNDUP(SUM(F27:G27)*((100+H27*100)%),0),"")</f>
        <v/>
      </c>
      <c r="J27" s="129"/>
      <c r="K27" s="129"/>
    </row>
    <row r="28" customFormat="false" ht="12.75" hidden="false" customHeight="true" outlineLevel="0" collapsed="false">
      <c r="A28" s="121" t="str">
        <f aca="false">IF(B28="","",CONCATENATE(COUNTA(B$4:B28),"."))</f>
        <v/>
      </c>
      <c r="B28" s="126"/>
      <c r="C28" s="126"/>
      <c r="D28" s="126"/>
      <c r="E28" s="127"/>
      <c r="F28" s="127"/>
      <c r="G28" s="123" t="str">
        <f aca="false">IF(F28="","",ROUNDUP(F28*10%,0))</f>
        <v/>
      </c>
      <c r="H28" s="124" t="str">
        <f aca="false">IF(D28="","",15%)</f>
        <v/>
      </c>
      <c r="I28" s="123" t="str">
        <f aca="false">IF(COUNTBLANK(E28:H28)&lt;1,ROUNDUP(SUM(F28:G28)*((100+H28*100)%),0),"")</f>
        <v/>
      </c>
      <c r="J28" s="129"/>
      <c r="K28" s="129"/>
    </row>
    <row r="29" customFormat="false" ht="12.75" hidden="false" customHeight="true" outlineLevel="0" collapsed="false">
      <c r="A29" s="121" t="str">
        <f aca="false">IF(B29="","",CONCATENATE(COUNTA(B$4:B29),"."))</f>
        <v/>
      </c>
      <c r="B29" s="126"/>
      <c r="C29" s="126"/>
      <c r="D29" s="126"/>
      <c r="E29" s="127"/>
      <c r="F29" s="127"/>
      <c r="G29" s="123" t="str">
        <f aca="false">IF(F29="","",ROUNDUP(F29*10%,0))</f>
        <v/>
      </c>
      <c r="H29" s="124" t="str">
        <f aca="false">IF(D29="","",15%)</f>
        <v/>
      </c>
      <c r="I29" s="123" t="str">
        <f aca="false">IF(COUNTBLANK(E29:H29)&lt;1,ROUNDUP(SUM(F29:G29)*((100+H29*100)%),0),"")</f>
        <v/>
      </c>
      <c r="J29" s="129"/>
      <c r="K29" s="129"/>
    </row>
    <row r="30" customFormat="false" ht="12.75" hidden="false" customHeight="true" outlineLevel="0" collapsed="false">
      <c r="A30" s="121" t="str">
        <f aca="false">IF(B30="","",CONCATENATE(COUNTA(B$4:B30),"."))</f>
        <v/>
      </c>
      <c r="B30" s="126"/>
      <c r="C30" s="126"/>
      <c r="D30" s="126"/>
      <c r="E30" s="127"/>
      <c r="F30" s="127"/>
      <c r="G30" s="123" t="str">
        <f aca="false">IF(F30="","",ROUNDUP(F30*10%,0))</f>
        <v/>
      </c>
      <c r="H30" s="124" t="str">
        <f aca="false">IF(D30="","",15%)</f>
        <v/>
      </c>
      <c r="I30" s="123" t="str">
        <f aca="false">IF(COUNTBLANK(E30:H30)&lt;1,ROUNDUP(SUM(F30:G30)*((100+H30*100)%),0),"")</f>
        <v/>
      </c>
      <c r="J30" s="129"/>
      <c r="K30" s="129"/>
    </row>
    <row r="31" customFormat="false" ht="12.75" hidden="false" customHeight="true" outlineLevel="0" collapsed="false">
      <c r="A31" s="121" t="str">
        <f aca="false">IF(B31="","",CONCATENATE(COUNTA(B$4:B31),"."))</f>
        <v/>
      </c>
      <c r="B31" s="126"/>
      <c r="C31" s="126"/>
      <c r="D31" s="126"/>
      <c r="E31" s="127"/>
      <c r="F31" s="127"/>
      <c r="G31" s="123" t="str">
        <f aca="false">IF(F31="","",ROUNDUP(F31*10%,0))</f>
        <v/>
      </c>
      <c r="H31" s="124" t="str">
        <f aca="false">IF(D31="","",15%)</f>
        <v/>
      </c>
      <c r="I31" s="123" t="str">
        <f aca="false">IF(COUNTBLANK(E31:H31)&lt;1,ROUNDUP(SUM(F31:G31)*((100+H31*100)%),0),"")</f>
        <v/>
      </c>
      <c r="J31" s="129"/>
      <c r="K31" s="129"/>
    </row>
    <row r="32" customFormat="false" ht="12.75" hidden="false" customHeight="true" outlineLevel="0" collapsed="false">
      <c r="A32" s="121" t="str">
        <f aca="false">IF(B32="","",CONCATENATE(COUNTA(B$4:B32),"."))</f>
        <v/>
      </c>
      <c r="B32" s="126"/>
      <c r="C32" s="126"/>
      <c r="D32" s="126"/>
      <c r="E32" s="127"/>
      <c r="F32" s="127"/>
      <c r="G32" s="123" t="str">
        <f aca="false">IF(F32="","",ROUNDUP(F32*10%,0))</f>
        <v/>
      </c>
      <c r="H32" s="124" t="str">
        <f aca="false">IF(D32="","",15%)</f>
        <v/>
      </c>
      <c r="I32" s="123" t="str">
        <f aca="false">IF(COUNTBLANK(E32:H32)&lt;1,ROUNDUP(SUM(F32:G32)*((100+H32*100)%),0),"")</f>
        <v/>
      </c>
      <c r="J32" s="129"/>
      <c r="K32" s="129"/>
    </row>
    <row r="33" customFormat="false" ht="12.75" hidden="false" customHeight="true" outlineLevel="0" collapsed="false">
      <c r="A33" s="121" t="str">
        <f aca="false">IF(B33="","",CONCATENATE(COUNTA(B$4:B33),"."))</f>
        <v/>
      </c>
      <c r="B33" s="126"/>
      <c r="C33" s="126"/>
      <c r="D33" s="126"/>
      <c r="E33" s="127"/>
      <c r="F33" s="127"/>
      <c r="G33" s="123" t="str">
        <f aca="false">IF(F33="","",ROUNDUP(F33*10%,0))</f>
        <v/>
      </c>
      <c r="H33" s="124" t="str">
        <f aca="false">IF(D33="","",15%)</f>
        <v/>
      </c>
      <c r="I33" s="123" t="str">
        <f aca="false">IF(COUNTBLANK(E33:H33)&lt;1,ROUNDUP(SUM(F33:G33)*((100+H33*100)%),0),"")</f>
        <v/>
      </c>
      <c r="J33" s="129"/>
      <c r="K33" s="129"/>
    </row>
    <row r="34" customFormat="false" ht="12.75" hidden="false" customHeight="true" outlineLevel="0" collapsed="false">
      <c r="A34" s="121" t="str">
        <f aca="false">IF(B34="","",CONCATENATE(COUNTA(B$4:B34),"."))</f>
        <v/>
      </c>
      <c r="B34" s="126"/>
      <c r="C34" s="126"/>
      <c r="D34" s="126"/>
      <c r="E34" s="127"/>
      <c r="F34" s="127"/>
      <c r="G34" s="123" t="str">
        <f aca="false">IF(F34="","",ROUNDUP(F34*10%,0))</f>
        <v/>
      </c>
      <c r="H34" s="124" t="str">
        <f aca="false">IF(D34="","",15%)</f>
        <v/>
      </c>
      <c r="I34" s="123" t="str">
        <f aca="false">IF(COUNTBLANK(E34:H34)&lt;1,ROUNDUP(SUM(F34:G34)*((100+H34*100)%),0),"")</f>
        <v/>
      </c>
      <c r="J34" s="129"/>
      <c r="K34" s="129"/>
    </row>
    <row r="35" customFormat="false" ht="12.75" hidden="false" customHeight="true" outlineLevel="0" collapsed="false">
      <c r="A35" s="121" t="str">
        <f aca="false">IF(B35="","",CONCATENATE(COUNTA(B$4:B35),"."))</f>
        <v/>
      </c>
      <c r="B35" s="126"/>
      <c r="C35" s="126"/>
      <c r="D35" s="126"/>
      <c r="E35" s="127"/>
      <c r="F35" s="127"/>
      <c r="G35" s="123" t="str">
        <f aca="false">IF(F35="","",ROUNDUP(F35*10%,0))</f>
        <v/>
      </c>
      <c r="H35" s="124" t="str">
        <f aca="false">IF(D35="","",15%)</f>
        <v/>
      </c>
      <c r="I35" s="123" t="str">
        <f aca="false">IF(COUNTBLANK(E35:H35)&lt;1,ROUNDUP(SUM(F35:G35)*((100+H35*100)%),0),"")</f>
        <v/>
      </c>
      <c r="J35" s="129"/>
      <c r="K35" s="129"/>
    </row>
    <row r="36" customFormat="false" ht="12.75" hidden="false" customHeight="true" outlineLevel="0" collapsed="false">
      <c r="A36" s="121" t="str">
        <f aca="false">IF(B36="","",CONCATENATE(COUNTA(B$4:B36),"."))</f>
        <v/>
      </c>
      <c r="B36" s="126"/>
      <c r="C36" s="126"/>
      <c r="D36" s="126"/>
      <c r="E36" s="127"/>
      <c r="F36" s="127"/>
      <c r="G36" s="123" t="str">
        <f aca="false">IF(F36="","",ROUNDUP(F36*10%,0))</f>
        <v/>
      </c>
      <c r="H36" s="124" t="str">
        <f aca="false">IF(D36="","",15%)</f>
        <v/>
      </c>
      <c r="I36" s="123" t="str">
        <f aca="false">IF(COUNTBLANK(E36:H36)&lt;1,ROUNDUP(SUM(F36:G36)*((100+H36*100)%),0),"")</f>
        <v/>
      </c>
      <c r="J36" s="129"/>
      <c r="K36" s="129"/>
    </row>
    <row r="37" customFormat="false" ht="12.75" hidden="false" customHeight="true" outlineLevel="0" collapsed="false">
      <c r="A37" s="121" t="str">
        <f aca="false">IF(B37="","",CONCATENATE(COUNTA(B$4:B37),"."))</f>
        <v/>
      </c>
      <c r="B37" s="126"/>
      <c r="C37" s="126"/>
      <c r="D37" s="126"/>
      <c r="E37" s="127"/>
      <c r="F37" s="127"/>
      <c r="G37" s="123" t="str">
        <f aca="false">IF(F37="","",ROUNDUP(F37*10%,0))</f>
        <v/>
      </c>
      <c r="H37" s="124" t="str">
        <f aca="false">IF(D37="","",15%)</f>
        <v/>
      </c>
      <c r="I37" s="123" t="str">
        <f aca="false">IF(COUNTBLANK(E37:H37)&lt;1,ROUNDUP(SUM(F37:G37)*((100+H37*100)%),0),"")</f>
        <v/>
      </c>
      <c r="J37" s="129"/>
      <c r="K37" s="129"/>
    </row>
    <row r="38" customFormat="false" ht="12.75" hidden="false" customHeight="true" outlineLevel="0" collapsed="false">
      <c r="A38" s="121" t="str">
        <f aca="false">IF(B38="","",CONCATENATE(COUNTA(B$4:B38),"."))</f>
        <v/>
      </c>
      <c r="B38" s="126"/>
      <c r="C38" s="126"/>
      <c r="D38" s="126"/>
      <c r="E38" s="127"/>
      <c r="F38" s="127"/>
      <c r="G38" s="123" t="str">
        <f aca="false">IF(F38="","",ROUNDUP(F38*10%,0))</f>
        <v/>
      </c>
      <c r="H38" s="124" t="str">
        <f aca="false">IF(D38="","",15%)</f>
        <v/>
      </c>
      <c r="I38" s="123" t="str">
        <f aca="false">IF(COUNTBLANK(E38:H38)&lt;1,ROUNDUP(SUM(F38:G38)*((100+H38*100)%),0),"")</f>
        <v/>
      </c>
      <c r="J38" s="129"/>
      <c r="K38" s="129"/>
    </row>
    <row r="39" customFormat="false" ht="12.75" hidden="false" customHeight="true" outlineLevel="0" collapsed="false">
      <c r="A39" s="121" t="str">
        <f aca="false">IF(B39="","",CONCATENATE(COUNTA(B$4:B39),"."))</f>
        <v/>
      </c>
      <c r="B39" s="126"/>
      <c r="C39" s="126"/>
      <c r="D39" s="126"/>
      <c r="E39" s="127"/>
      <c r="F39" s="127"/>
      <c r="G39" s="123" t="str">
        <f aca="false">IF(F39="","",ROUNDUP(F39*10%,0))</f>
        <v/>
      </c>
      <c r="H39" s="124" t="str">
        <f aca="false">IF(D39="","",15%)</f>
        <v/>
      </c>
      <c r="I39" s="123" t="str">
        <f aca="false">IF(COUNTBLANK(E39:H39)&lt;1,ROUNDUP(SUM(F39:G39)*((100+H39*100)%),0),"")</f>
        <v/>
      </c>
      <c r="J39" s="129"/>
      <c r="K39" s="129"/>
    </row>
    <row r="40" customFormat="false" ht="12.75" hidden="false" customHeight="true" outlineLevel="0" collapsed="false">
      <c r="A40" s="121" t="str">
        <f aca="false">IF(B40="","",CONCATENATE(COUNTA(B$4:B40),"."))</f>
        <v/>
      </c>
      <c r="B40" s="126"/>
      <c r="C40" s="126"/>
      <c r="D40" s="126"/>
      <c r="E40" s="127"/>
      <c r="F40" s="127"/>
      <c r="G40" s="123" t="str">
        <f aca="false">IF(F40="","",ROUNDUP(F40*10%,0))</f>
        <v/>
      </c>
      <c r="H40" s="124" t="str">
        <f aca="false">IF(D40="","",15%)</f>
        <v/>
      </c>
      <c r="I40" s="123" t="str">
        <f aca="false">IF(COUNTBLANK(E40:H40)&lt;1,ROUNDUP(SUM(F40:G40)*((100+H40*100)%),0),"")</f>
        <v/>
      </c>
      <c r="J40" s="129"/>
      <c r="K40" s="129"/>
    </row>
    <row r="41" customFormat="false" ht="12.75" hidden="false" customHeight="true" outlineLevel="0" collapsed="false">
      <c r="A41" s="121" t="str">
        <f aca="false">IF(B41="","",CONCATENATE(COUNTA(B$4:B41),"."))</f>
        <v/>
      </c>
      <c r="B41" s="126"/>
      <c r="C41" s="126"/>
      <c r="D41" s="126"/>
      <c r="E41" s="127"/>
      <c r="F41" s="127"/>
      <c r="G41" s="123" t="str">
        <f aca="false">IF(F41="","",ROUNDUP(F41*10%,0))</f>
        <v/>
      </c>
      <c r="H41" s="124" t="str">
        <f aca="false">IF(D41="","",15%)</f>
        <v/>
      </c>
      <c r="I41" s="123" t="str">
        <f aca="false">IF(COUNTBLANK(E41:H41)&lt;1,ROUNDUP(SUM(F41:G41)*((100+H41*100)%),0),"")</f>
        <v/>
      </c>
      <c r="J41" s="129"/>
      <c r="K41" s="129"/>
    </row>
    <row r="42" customFormat="false" ht="12.75" hidden="false" customHeight="true" outlineLevel="0" collapsed="false">
      <c r="A42" s="121" t="str">
        <f aca="false">IF(B42="","",CONCATENATE(COUNTA(B$4:B42),"."))</f>
        <v/>
      </c>
      <c r="B42" s="126"/>
      <c r="C42" s="126"/>
      <c r="D42" s="126"/>
      <c r="E42" s="127"/>
      <c r="F42" s="127"/>
      <c r="G42" s="123" t="str">
        <f aca="false">IF(F42="","",ROUNDUP(F42*10%,0))</f>
        <v/>
      </c>
      <c r="H42" s="124" t="str">
        <f aca="false">IF(D42="","",15%)</f>
        <v/>
      </c>
      <c r="I42" s="123" t="str">
        <f aca="false">IF(COUNTBLANK(E42:H42)&lt;1,ROUNDUP(SUM(F42:G42)*((100+H42*100)%),0),"")</f>
        <v/>
      </c>
      <c r="J42" s="129"/>
      <c r="K42" s="129"/>
    </row>
    <row r="43" customFormat="false" ht="12.75" hidden="false" customHeight="true" outlineLevel="0" collapsed="false">
      <c r="A43" s="121" t="str">
        <f aca="false">IF(B43="","",CONCATENATE(COUNTA(B$4:B43),"."))</f>
        <v/>
      </c>
      <c r="B43" s="126"/>
      <c r="C43" s="126"/>
      <c r="D43" s="126"/>
      <c r="E43" s="127"/>
      <c r="F43" s="127"/>
      <c r="G43" s="123" t="str">
        <f aca="false">IF(F43="","",ROUNDUP(F43*10%,0))</f>
        <v/>
      </c>
      <c r="H43" s="124" t="str">
        <f aca="false">IF(D43="","",15%)</f>
        <v/>
      </c>
      <c r="I43" s="123" t="str">
        <f aca="false">IF(COUNTBLANK(E43:H43)&lt;1,ROUNDUP(SUM(F43:G43)*((100+H43*100)%),0),"")</f>
        <v/>
      </c>
      <c r="J43" s="129"/>
      <c r="K43" s="129"/>
    </row>
    <row r="44" customFormat="false" ht="12.75" hidden="false" customHeight="true" outlineLevel="0" collapsed="false">
      <c r="A44" s="121" t="str">
        <f aca="false">IF(B44="","",CONCATENATE(COUNTA(B$4:B44),"."))</f>
        <v/>
      </c>
      <c r="B44" s="126"/>
      <c r="C44" s="126"/>
      <c r="D44" s="126"/>
      <c r="E44" s="127"/>
      <c r="F44" s="127"/>
      <c r="G44" s="123" t="str">
        <f aca="false">IF(F44="","",ROUNDUP(F44*10%,0))</f>
        <v/>
      </c>
      <c r="H44" s="124" t="str">
        <f aca="false">IF(D44="","",15%)</f>
        <v/>
      </c>
      <c r="I44" s="123" t="str">
        <f aca="false">IF(COUNTBLANK(E44:H44)&lt;1,ROUNDUP(SUM(F44:G44)*((100+H44*100)%),0),"")</f>
        <v/>
      </c>
      <c r="J44" s="129"/>
      <c r="K44" s="129"/>
    </row>
    <row r="45" customFormat="false" ht="12.75" hidden="false" customHeight="true" outlineLevel="0" collapsed="false">
      <c r="A45" s="121" t="str">
        <f aca="false">IF(B45="","",CONCATENATE(COUNTA(B$4:B45),"."))</f>
        <v/>
      </c>
      <c r="B45" s="126"/>
      <c r="C45" s="126"/>
      <c r="D45" s="126"/>
      <c r="E45" s="127"/>
      <c r="F45" s="127"/>
      <c r="G45" s="123" t="str">
        <f aca="false">IF(F45="","",ROUNDUP(F45*10%,0))</f>
        <v/>
      </c>
      <c r="H45" s="124" t="str">
        <f aca="false">IF(D45="","",15%)</f>
        <v/>
      </c>
      <c r="I45" s="123" t="str">
        <f aca="false">IF(COUNTBLANK(E45:H45)&lt;1,ROUNDUP(SUM(F45:G45)*((100+H45*100)%),0),"")</f>
        <v/>
      </c>
      <c r="J45" s="129"/>
      <c r="K45" s="129"/>
    </row>
    <row r="46" customFormat="false" ht="12.75" hidden="false" customHeight="true" outlineLevel="0" collapsed="false">
      <c r="A46" s="121" t="str">
        <f aca="false">IF(B46="","",CONCATENATE(COUNTA(B$4:B46),"."))</f>
        <v/>
      </c>
      <c r="B46" s="126"/>
      <c r="C46" s="126"/>
      <c r="D46" s="126"/>
      <c r="E46" s="127"/>
      <c r="F46" s="127"/>
      <c r="G46" s="123" t="str">
        <f aca="false">IF(F46="","",ROUNDUP(F46*10%,0))</f>
        <v/>
      </c>
      <c r="H46" s="124" t="str">
        <f aca="false">IF(D46="","",15%)</f>
        <v/>
      </c>
      <c r="I46" s="123" t="str">
        <f aca="false">IF(COUNTBLANK(E46:H46)&lt;1,ROUNDUP(SUM(F46:G46)*((100+H46*100)%),0),"")</f>
        <v/>
      </c>
      <c r="J46" s="129"/>
      <c r="K46" s="129"/>
    </row>
    <row r="47" customFormat="false" ht="12.75" hidden="false" customHeight="true" outlineLevel="0" collapsed="false">
      <c r="A47" s="121" t="str">
        <f aca="false">IF(B47="","",CONCATENATE(COUNTA(B$4:B47),"."))</f>
        <v/>
      </c>
      <c r="B47" s="126"/>
      <c r="C47" s="126"/>
      <c r="D47" s="126"/>
      <c r="E47" s="127"/>
      <c r="F47" s="127"/>
      <c r="G47" s="123" t="str">
        <f aca="false">IF(F47="","",ROUNDUP(F47*10%,0))</f>
        <v/>
      </c>
      <c r="H47" s="124" t="str">
        <f aca="false">IF(D47="","",15%)</f>
        <v/>
      </c>
      <c r="I47" s="123" t="str">
        <f aca="false">IF(COUNTBLANK(E47:H47)&lt;1,ROUNDUP(SUM(F47:G47)*((100+H47*100)%),0),"")</f>
        <v/>
      </c>
      <c r="J47" s="129"/>
      <c r="K47" s="129"/>
    </row>
    <row r="48" customFormat="false" ht="12.75" hidden="false" customHeight="true" outlineLevel="0" collapsed="false">
      <c r="A48" s="121" t="str">
        <f aca="false">IF(B48="","",CONCATENATE(COUNTA(B$4:B48),"."))</f>
        <v/>
      </c>
      <c r="B48" s="126"/>
      <c r="C48" s="126"/>
      <c r="D48" s="126"/>
      <c r="E48" s="127"/>
      <c r="F48" s="127"/>
      <c r="G48" s="123" t="str">
        <f aca="false">IF(F48="","",ROUNDUP(F48*10%,0))</f>
        <v/>
      </c>
      <c r="H48" s="124" t="str">
        <f aca="false">IF(D48="","",15%)</f>
        <v/>
      </c>
      <c r="I48" s="123" t="str">
        <f aca="false">IF(COUNTBLANK(E48:H48)&lt;1,ROUNDUP(SUM(F48:G48)*((100+H48*100)%),0),"")</f>
        <v/>
      </c>
      <c r="J48" s="129"/>
      <c r="K48" s="129"/>
    </row>
    <row r="49" customFormat="false" ht="12.75" hidden="false" customHeight="true" outlineLevel="0" collapsed="false">
      <c r="A49" s="121" t="str">
        <f aca="false">IF(B49="","",CONCATENATE(COUNTA(B$4:B49),"."))</f>
        <v/>
      </c>
      <c r="B49" s="126"/>
      <c r="C49" s="126"/>
      <c r="D49" s="126"/>
      <c r="E49" s="127"/>
      <c r="F49" s="127"/>
      <c r="G49" s="123" t="str">
        <f aca="false">IF(F49="","",ROUNDUP(F49*10%,0))</f>
        <v/>
      </c>
      <c r="H49" s="124" t="str">
        <f aca="false">IF(D49="","",15%)</f>
        <v/>
      </c>
      <c r="I49" s="123" t="str">
        <f aca="false">IF(COUNTBLANK(E49:H49)&lt;1,ROUNDUP(SUM(F49:G49)*((100+H49*100)%),0),"")</f>
        <v/>
      </c>
      <c r="J49" s="129"/>
      <c r="K49" s="129"/>
    </row>
    <row r="50" customFormat="false" ht="12.75" hidden="false" customHeight="true" outlineLevel="0" collapsed="false">
      <c r="A50" s="121" t="str">
        <f aca="false">IF(B50="","",CONCATENATE(COUNTA(B$4:B50),"."))</f>
        <v/>
      </c>
      <c r="B50" s="126"/>
      <c r="C50" s="126"/>
      <c r="D50" s="126"/>
      <c r="E50" s="127"/>
      <c r="F50" s="127"/>
      <c r="G50" s="123" t="str">
        <f aca="false">IF(F50="","",ROUNDUP(F50*10%,0))</f>
        <v/>
      </c>
      <c r="H50" s="124" t="str">
        <f aca="false">IF(D50="","",15%)</f>
        <v/>
      </c>
      <c r="I50" s="123" t="str">
        <f aca="false">IF(COUNTBLANK(E50:H50)&lt;1,ROUNDUP(SUM(F50:G50)*((100+H50*100)%),0),"")</f>
        <v/>
      </c>
      <c r="J50" s="129"/>
      <c r="K50" s="129"/>
    </row>
    <row r="51" customFormat="false" ht="12.75" hidden="false" customHeight="true" outlineLevel="0" collapsed="false">
      <c r="A51" s="121" t="str">
        <f aca="false">IF(B51="","",CONCATENATE(COUNTA(B$4:B51),"."))</f>
        <v/>
      </c>
      <c r="B51" s="126"/>
      <c r="C51" s="126"/>
      <c r="D51" s="126"/>
      <c r="E51" s="127"/>
      <c r="F51" s="127"/>
      <c r="G51" s="123" t="str">
        <f aca="false">IF(F51="","",ROUNDUP(F51*10%,0))</f>
        <v/>
      </c>
      <c r="H51" s="124" t="str">
        <f aca="false">IF(D51="","",15%)</f>
        <v/>
      </c>
      <c r="I51" s="123" t="str">
        <f aca="false">IF(COUNTBLANK(E51:H51)&lt;1,ROUNDUP(SUM(F51:G51)*((100+H51*100)%),0),"")</f>
        <v/>
      </c>
      <c r="J51" s="129"/>
      <c r="K51" s="129"/>
    </row>
    <row r="52" customFormat="false" ht="12.75" hidden="false" customHeight="true" outlineLevel="0" collapsed="false">
      <c r="A52" s="121" t="str">
        <f aca="false">IF(B52="","",CONCATENATE(COUNTA(B$4:B52),"."))</f>
        <v/>
      </c>
      <c r="B52" s="126"/>
      <c r="C52" s="126"/>
      <c r="D52" s="126"/>
      <c r="E52" s="127"/>
      <c r="F52" s="127"/>
      <c r="G52" s="123" t="str">
        <f aca="false">IF(F52="","",ROUNDUP(F52*10%,0))</f>
        <v/>
      </c>
      <c r="H52" s="124" t="str">
        <f aca="false">IF(D52="","",15%)</f>
        <v/>
      </c>
      <c r="I52" s="123" t="str">
        <f aca="false">IF(COUNTBLANK(E52:H52)&lt;1,ROUNDUP(SUM(F52:G52)*((100+H52*100)%),0),"")</f>
        <v/>
      </c>
      <c r="J52" s="129"/>
      <c r="K52" s="129"/>
    </row>
    <row r="53" customFormat="false" ht="12.75" hidden="false" customHeight="true" outlineLevel="0" collapsed="false">
      <c r="A53" s="121" t="str">
        <f aca="false">IF(B53="","",CONCATENATE(COUNTA(B$4:B53),"."))</f>
        <v/>
      </c>
      <c r="B53" s="126"/>
      <c r="C53" s="126"/>
      <c r="D53" s="126"/>
      <c r="E53" s="127"/>
      <c r="F53" s="127"/>
      <c r="G53" s="123" t="str">
        <f aca="false">IF(F53="","",ROUNDUP(F53*10%,0))</f>
        <v/>
      </c>
      <c r="H53" s="124" t="str">
        <f aca="false">IF(D53="","",15%)</f>
        <v/>
      </c>
      <c r="I53" s="123" t="str">
        <f aca="false">IF(COUNTBLANK(E53:H53)&lt;1,ROUNDUP(SUM(F53:G53)*((100+H53*100)%),0),"")</f>
        <v/>
      </c>
      <c r="J53" s="129"/>
      <c r="K53" s="129"/>
    </row>
    <row r="54" customFormat="false" ht="12.75" hidden="false" customHeight="true" outlineLevel="0" collapsed="false">
      <c r="A54" s="121" t="str">
        <f aca="false">IF(B54="","",CONCATENATE(COUNTA(B$4:B54),"."))</f>
        <v/>
      </c>
      <c r="B54" s="126"/>
      <c r="C54" s="126"/>
      <c r="D54" s="126"/>
      <c r="E54" s="127"/>
      <c r="F54" s="127"/>
      <c r="G54" s="123" t="str">
        <f aca="false">IF(F54="","",ROUNDUP(F54*10%,0))</f>
        <v/>
      </c>
      <c r="H54" s="124" t="str">
        <f aca="false">IF(D54="","",15%)</f>
        <v/>
      </c>
      <c r="I54" s="123" t="str">
        <f aca="false">IF(COUNTBLANK(E54:H54)&lt;1,ROUNDUP(SUM(F54:G54)*((100+H54*100)%),0),"")</f>
        <v/>
      </c>
      <c r="J54" s="129"/>
      <c r="K54" s="129"/>
    </row>
    <row r="55" customFormat="false" ht="12.75" hidden="false" customHeight="true" outlineLevel="0" collapsed="false">
      <c r="A55" s="121" t="str">
        <f aca="false">IF(B55="","",CONCATENATE(COUNTA(B$4:B55),"."))</f>
        <v/>
      </c>
      <c r="B55" s="126"/>
      <c r="C55" s="126"/>
      <c r="D55" s="126"/>
      <c r="E55" s="127"/>
      <c r="F55" s="127"/>
      <c r="G55" s="123" t="str">
        <f aca="false">IF(F55="","",ROUNDUP(F55*10%,0))</f>
        <v/>
      </c>
      <c r="H55" s="124" t="str">
        <f aca="false">IF(D55="","",15%)</f>
        <v/>
      </c>
      <c r="I55" s="123" t="str">
        <f aca="false">IF(COUNTBLANK(E55:H55)&lt;1,ROUNDUP(SUM(F55:G55)*((100+H55*100)%),0),"")</f>
        <v/>
      </c>
      <c r="J55" s="129"/>
      <c r="K55" s="129"/>
    </row>
    <row r="56" customFormat="false" ht="12.75" hidden="false" customHeight="true" outlineLevel="0" collapsed="false">
      <c r="A56" s="121" t="str">
        <f aca="false">IF(B56="","",CONCATENATE(COUNTA(B$4:B56),"."))</f>
        <v/>
      </c>
      <c r="B56" s="126"/>
      <c r="C56" s="126"/>
      <c r="D56" s="126"/>
      <c r="E56" s="127"/>
      <c r="F56" s="127"/>
      <c r="G56" s="123" t="str">
        <f aca="false">IF(F56="","",ROUNDUP(F56*10%,0))</f>
        <v/>
      </c>
      <c r="H56" s="124" t="str">
        <f aca="false">IF(D56="","",15%)</f>
        <v/>
      </c>
      <c r="I56" s="123" t="str">
        <f aca="false">IF(COUNTBLANK(E56:H56)&lt;1,ROUNDUP(SUM(F56:G56)*((100+H56*100)%),0),"")</f>
        <v/>
      </c>
      <c r="J56" s="129"/>
      <c r="K56" s="129"/>
    </row>
    <row r="57" customFormat="false" ht="12.75" hidden="false" customHeight="true" outlineLevel="0" collapsed="false">
      <c r="A57" s="121" t="str">
        <f aca="false">IF(B57="","",CONCATENATE(COUNTA(B$4:B57),"."))</f>
        <v/>
      </c>
      <c r="B57" s="126"/>
      <c r="C57" s="126"/>
      <c r="D57" s="126"/>
      <c r="E57" s="127"/>
      <c r="F57" s="127"/>
      <c r="G57" s="123" t="str">
        <f aca="false">IF(F57="","",ROUNDUP(F57*10%,0))</f>
        <v/>
      </c>
      <c r="H57" s="124" t="str">
        <f aca="false">IF(D57="","",15%)</f>
        <v/>
      </c>
      <c r="I57" s="123" t="str">
        <f aca="false">IF(COUNTBLANK(E57:H57)&lt;1,ROUNDUP(SUM(F57:G57)*((100+H57*100)%),0),"")</f>
        <v/>
      </c>
      <c r="J57" s="129"/>
      <c r="K57" s="129"/>
    </row>
    <row r="58" customFormat="false" ht="12.75" hidden="false" customHeight="true" outlineLevel="0" collapsed="false">
      <c r="A58" s="121" t="str">
        <f aca="false">IF(B58="","",CONCATENATE(COUNTA(B$4:B58),"."))</f>
        <v/>
      </c>
      <c r="B58" s="126"/>
      <c r="C58" s="126"/>
      <c r="D58" s="126"/>
      <c r="E58" s="127"/>
      <c r="F58" s="127"/>
      <c r="G58" s="123" t="str">
        <f aca="false">IF(F58="","",ROUNDUP(F58*10%,0))</f>
        <v/>
      </c>
      <c r="H58" s="124" t="str">
        <f aca="false">IF(D58="","",15%)</f>
        <v/>
      </c>
      <c r="I58" s="123" t="str">
        <f aca="false">IF(COUNTBLANK(E58:H58)&lt;1,ROUNDUP(SUM(F58:G58)*((100+H58*100)%),0),"")</f>
        <v/>
      </c>
      <c r="J58" s="129"/>
      <c r="K58" s="129"/>
    </row>
    <row r="59" customFormat="false" ht="12.75" hidden="false" customHeight="true" outlineLevel="0" collapsed="false">
      <c r="A59" s="121" t="str">
        <f aca="false">IF(B59="","",CONCATENATE(COUNTA(B$4:B59),"."))</f>
        <v/>
      </c>
      <c r="B59" s="126"/>
      <c r="C59" s="126"/>
      <c r="D59" s="126"/>
      <c r="E59" s="127"/>
      <c r="F59" s="127"/>
      <c r="G59" s="123" t="str">
        <f aca="false">IF(F59="","",ROUNDUP(F59*10%,0))</f>
        <v/>
      </c>
      <c r="H59" s="124" t="str">
        <f aca="false">IF(D59="","",15%)</f>
        <v/>
      </c>
      <c r="I59" s="123" t="str">
        <f aca="false">IF(COUNTBLANK(E59:H59)&lt;1,ROUNDUP(SUM(F59:G59)*((100+H59*100)%),0),"")</f>
        <v/>
      </c>
      <c r="J59" s="129"/>
      <c r="K59" s="129"/>
    </row>
    <row r="60" customFormat="false" ht="12.75" hidden="false" customHeight="true" outlineLevel="0" collapsed="false">
      <c r="A60" s="121" t="str">
        <f aca="false">IF(B60="","",CONCATENATE(COUNTA(B$4:B60),"."))</f>
        <v/>
      </c>
      <c r="B60" s="126"/>
      <c r="C60" s="126"/>
      <c r="D60" s="126"/>
      <c r="E60" s="127"/>
      <c r="F60" s="127"/>
      <c r="G60" s="123" t="str">
        <f aca="false">IF(F60="","",ROUNDUP(F60*10%,0))</f>
        <v/>
      </c>
      <c r="H60" s="124" t="str">
        <f aca="false">IF(D60="","",15%)</f>
        <v/>
      </c>
      <c r="I60" s="123" t="str">
        <f aca="false">IF(COUNTBLANK(E60:H60)&lt;1,ROUNDUP(SUM(F60:G60)*((100+H60*100)%),0),"")</f>
        <v/>
      </c>
      <c r="J60" s="129"/>
      <c r="K60" s="129"/>
    </row>
    <row r="61" customFormat="false" ht="12.75" hidden="false" customHeight="true" outlineLevel="0" collapsed="false">
      <c r="A61" s="121" t="str">
        <f aca="false">IF(B61="","",CONCATENATE(COUNTA(B$4:B61),"."))</f>
        <v/>
      </c>
      <c r="B61" s="126"/>
      <c r="C61" s="126"/>
      <c r="D61" s="126"/>
      <c r="E61" s="127"/>
      <c r="F61" s="127"/>
      <c r="G61" s="123" t="str">
        <f aca="false">IF(F61="","",ROUNDUP(F61*10%,0))</f>
        <v/>
      </c>
      <c r="H61" s="124" t="str">
        <f aca="false">IF(D61="","",15%)</f>
        <v/>
      </c>
      <c r="I61" s="123" t="str">
        <f aca="false">IF(COUNTBLANK(E61:H61)&lt;1,ROUNDUP(SUM(F61:G61)*((100+H61*100)%),0),"")</f>
        <v/>
      </c>
      <c r="J61" s="129"/>
      <c r="K61" s="129"/>
    </row>
    <row r="62" customFormat="false" ht="12.75" hidden="false" customHeight="true" outlineLevel="0" collapsed="false">
      <c r="A62" s="121" t="str">
        <f aca="false">IF(B62="","",CONCATENATE(COUNTA(B$4:B62),"."))</f>
        <v/>
      </c>
      <c r="B62" s="126"/>
      <c r="C62" s="126"/>
      <c r="D62" s="126"/>
      <c r="E62" s="127"/>
      <c r="F62" s="127"/>
      <c r="G62" s="123" t="str">
        <f aca="false">IF(F62="","",ROUNDUP(F62*10%,0))</f>
        <v/>
      </c>
      <c r="H62" s="124" t="str">
        <f aca="false">IF(D62="","",15%)</f>
        <v/>
      </c>
      <c r="I62" s="123" t="str">
        <f aca="false">IF(COUNTBLANK(E62:H62)&lt;1,ROUNDUP(SUM(F62:G62)*((100+H62*100)%),0),"")</f>
        <v/>
      </c>
      <c r="J62" s="129"/>
      <c r="K62" s="129"/>
    </row>
    <row r="63" customFormat="false" ht="12.75" hidden="false" customHeight="true" outlineLevel="0" collapsed="false">
      <c r="A63" s="121" t="str">
        <f aca="false">IF(B63="","",CONCATENATE(COUNTA(B$4:B63),"."))</f>
        <v/>
      </c>
      <c r="B63" s="126"/>
      <c r="C63" s="126"/>
      <c r="D63" s="126"/>
      <c r="E63" s="127"/>
      <c r="F63" s="127"/>
      <c r="G63" s="123" t="str">
        <f aca="false">IF(F63="","",ROUNDUP(F63*10%,0))</f>
        <v/>
      </c>
      <c r="H63" s="124" t="str">
        <f aca="false">IF(D63="","",15%)</f>
        <v/>
      </c>
      <c r="I63" s="123" t="str">
        <f aca="false">IF(COUNTBLANK(E63:H63)&lt;1,ROUNDUP(SUM(F63:G63)*((100+H63*100)%),0),"")</f>
        <v/>
      </c>
      <c r="J63" s="129"/>
      <c r="K63" s="129"/>
    </row>
    <row r="64" customFormat="false" ht="12.75" hidden="false" customHeight="true" outlineLevel="0" collapsed="false">
      <c r="A64" s="121" t="str">
        <f aca="false">IF(B64="","",CONCATENATE(COUNTA(B$4:B64),"."))</f>
        <v/>
      </c>
      <c r="B64" s="126"/>
      <c r="C64" s="126"/>
      <c r="D64" s="126"/>
      <c r="E64" s="127"/>
      <c r="F64" s="127"/>
      <c r="G64" s="123" t="str">
        <f aca="false">IF(F64="","",ROUNDUP(F64*10%,0))</f>
        <v/>
      </c>
      <c r="H64" s="124" t="str">
        <f aca="false">IF(D64="","",15%)</f>
        <v/>
      </c>
      <c r="I64" s="123" t="str">
        <f aca="false">IF(COUNTBLANK(E64:H64)&lt;1,ROUNDUP(SUM(F64:G64)*((100+H64*100)%),0),"")</f>
        <v/>
      </c>
      <c r="J64" s="129"/>
      <c r="K64" s="129"/>
    </row>
    <row r="65" customFormat="false" ht="12.75" hidden="false" customHeight="true" outlineLevel="0" collapsed="false">
      <c r="A65" s="121" t="str">
        <f aca="false">IF(B65="","",CONCATENATE(COUNTA(B$4:B65),"."))</f>
        <v/>
      </c>
      <c r="B65" s="126"/>
      <c r="C65" s="126"/>
      <c r="D65" s="126"/>
      <c r="E65" s="127"/>
      <c r="F65" s="127"/>
      <c r="G65" s="123" t="str">
        <f aca="false">IF(F65="","",ROUNDUP(F65*10%,0))</f>
        <v/>
      </c>
      <c r="H65" s="124" t="str">
        <f aca="false">IF(D65="","",15%)</f>
        <v/>
      </c>
      <c r="I65" s="123" t="str">
        <f aca="false">IF(COUNTBLANK(E65:H65)&lt;1,ROUNDUP(SUM(F65:G65)*((100+H65*100)%),0),"")</f>
        <v/>
      </c>
      <c r="J65" s="129"/>
      <c r="K65" s="129"/>
    </row>
    <row r="66" customFormat="false" ht="12.75" hidden="false" customHeight="true" outlineLevel="0" collapsed="false">
      <c r="A66" s="121" t="str">
        <f aca="false">IF(B66="","",CONCATENATE(COUNTA(B$4:B66),"."))</f>
        <v/>
      </c>
      <c r="B66" s="126"/>
      <c r="C66" s="126"/>
      <c r="D66" s="126"/>
      <c r="E66" s="127"/>
      <c r="F66" s="127"/>
      <c r="G66" s="123" t="str">
        <f aca="false">IF(F66="","",ROUNDUP(F66*10%,0))</f>
        <v/>
      </c>
      <c r="H66" s="124" t="str">
        <f aca="false">IF(D66="","",15%)</f>
        <v/>
      </c>
      <c r="I66" s="123" t="str">
        <f aca="false">IF(COUNTBLANK(E66:H66)&lt;1,ROUNDUP(SUM(F66:G66)*((100+H66*100)%),0),"")</f>
        <v/>
      </c>
      <c r="J66" s="129"/>
      <c r="K66" s="129"/>
    </row>
    <row r="67" customFormat="false" ht="12.75" hidden="false" customHeight="true" outlineLevel="0" collapsed="false">
      <c r="A67" s="121" t="str">
        <f aca="false">IF(B67="","",CONCATENATE(COUNTA(B$4:B67),"."))</f>
        <v/>
      </c>
      <c r="B67" s="126"/>
      <c r="C67" s="126"/>
      <c r="D67" s="126"/>
      <c r="E67" s="127"/>
      <c r="F67" s="127"/>
      <c r="G67" s="123" t="str">
        <f aca="false">IF(F67="","",ROUNDUP(F67*10%,0))</f>
        <v/>
      </c>
      <c r="H67" s="124" t="str">
        <f aca="false">IF(D67="","",15%)</f>
        <v/>
      </c>
      <c r="I67" s="123" t="str">
        <f aca="false">IF(COUNTBLANK(E67:H67)&lt;1,ROUNDUP(SUM(F67:G67)*((100+H67*100)%),0),"")</f>
        <v/>
      </c>
      <c r="J67" s="129"/>
      <c r="K67" s="129"/>
    </row>
    <row r="68" customFormat="false" ht="12.75" hidden="false" customHeight="true" outlineLevel="0" collapsed="false">
      <c r="A68" s="121" t="str">
        <f aca="false">IF(B68="","",CONCATENATE(COUNTA(B$4:B68),"."))</f>
        <v/>
      </c>
      <c r="B68" s="126"/>
      <c r="C68" s="126"/>
      <c r="D68" s="126"/>
      <c r="E68" s="127"/>
      <c r="F68" s="127"/>
      <c r="G68" s="123" t="str">
        <f aca="false">IF(F68="","",ROUNDUP(F68*10%,0))</f>
        <v/>
      </c>
      <c r="H68" s="124" t="str">
        <f aca="false">IF(D68="","",15%)</f>
        <v/>
      </c>
      <c r="I68" s="123" t="str">
        <f aca="false">IF(COUNTBLANK(E68:H68)&lt;1,ROUNDUP(SUM(F68:G68)*((100+H68*100)%),0),"")</f>
        <v/>
      </c>
      <c r="J68" s="129"/>
      <c r="K68" s="129"/>
    </row>
    <row r="69" customFormat="false" ht="12.75" hidden="false" customHeight="true" outlineLevel="0" collapsed="false">
      <c r="A69" s="121" t="str">
        <f aca="false">IF(B69="","",CONCATENATE(COUNTA(B$4:B69),"."))</f>
        <v/>
      </c>
      <c r="B69" s="126"/>
      <c r="C69" s="126"/>
      <c r="D69" s="126"/>
      <c r="E69" s="127"/>
      <c r="F69" s="127"/>
      <c r="G69" s="123" t="str">
        <f aca="false">IF(F69="","",ROUNDUP(F69*10%,0))</f>
        <v/>
      </c>
      <c r="H69" s="124" t="str">
        <f aca="false">IF(D69="","",15%)</f>
        <v/>
      </c>
      <c r="I69" s="123" t="str">
        <f aca="false">IF(COUNTBLANK(E69:H69)&lt;1,ROUNDUP(SUM(F69:G69)*((100+H69*100)%),0),"")</f>
        <v/>
      </c>
      <c r="J69" s="129"/>
      <c r="K69" s="129"/>
    </row>
    <row r="70" customFormat="false" ht="12.75" hidden="false" customHeight="true" outlineLevel="0" collapsed="false">
      <c r="A70" s="121" t="str">
        <f aca="false">IF(B70="","",CONCATENATE(COUNTA(B$4:B70),"."))</f>
        <v/>
      </c>
      <c r="B70" s="126"/>
      <c r="C70" s="126"/>
      <c r="D70" s="126"/>
      <c r="E70" s="127"/>
      <c r="F70" s="127"/>
      <c r="G70" s="123" t="str">
        <f aca="false">IF(F70="","",ROUNDUP(F70*10%,0))</f>
        <v/>
      </c>
      <c r="H70" s="124" t="str">
        <f aca="false">IF(D70="","",15%)</f>
        <v/>
      </c>
      <c r="I70" s="123" t="str">
        <f aca="false">IF(COUNTBLANK(E70:H70)&lt;1,ROUNDUP(SUM(F70:G70)*((100+H70*100)%),0),"")</f>
        <v/>
      </c>
      <c r="J70" s="129"/>
      <c r="K70" s="129"/>
    </row>
    <row r="71" customFormat="false" ht="12.75" hidden="false" customHeight="true" outlineLevel="0" collapsed="false">
      <c r="A71" s="121" t="str">
        <f aca="false">IF(B71="","",CONCATENATE(COUNTA(B$4:B71),"."))</f>
        <v/>
      </c>
      <c r="B71" s="126"/>
      <c r="C71" s="126"/>
      <c r="D71" s="126"/>
      <c r="E71" s="127"/>
      <c r="F71" s="127"/>
      <c r="G71" s="123" t="str">
        <f aca="false">IF(F71="","",ROUNDUP(F71*10%,0))</f>
        <v/>
      </c>
      <c r="H71" s="124" t="str">
        <f aca="false">IF(D71="","",15%)</f>
        <v/>
      </c>
      <c r="I71" s="123" t="str">
        <f aca="false">IF(COUNTBLANK(E71:H71)&lt;1,ROUNDUP(SUM(F71:G71)*((100+H71*100)%),0),"")</f>
        <v/>
      </c>
      <c r="J71" s="129"/>
      <c r="K71" s="129"/>
    </row>
    <row r="72" customFormat="false" ht="12.75" hidden="false" customHeight="true" outlineLevel="0" collapsed="false">
      <c r="A72" s="121" t="str">
        <f aca="false">IF(B72="","",CONCATENATE(COUNTA(B$4:B72),"."))</f>
        <v/>
      </c>
      <c r="B72" s="126"/>
      <c r="C72" s="126"/>
      <c r="D72" s="126"/>
      <c r="E72" s="127"/>
      <c r="F72" s="127"/>
      <c r="G72" s="123" t="str">
        <f aca="false">IF(F72="","",ROUNDUP(F72*10%,0))</f>
        <v/>
      </c>
      <c r="H72" s="124" t="str">
        <f aca="false">IF(D72="","",15%)</f>
        <v/>
      </c>
      <c r="I72" s="123" t="str">
        <f aca="false">IF(COUNTBLANK(E72:H72)&lt;1,ROUNDUP(SUM(F72:G72)*((100+H72*100)%),0),"")</f>
        <v/>
      </c>
      <c r="J72" s="129"/>
      <c r="K72" s="129"/>
    </row>
    <row r="73" customFormat="false" ht="12.75" hidden="false" customHeight="true" outlineLevel="0" collapsed="false">
      <c r="A73" s="121" t="str">
        <f aca="false">IF(B73="","",CONCATENATE(COUNTA(B$4:B73),"."))</f>
        <v/>
      </c>
      <c r="B73" s="126"/>
      <c r="C73" s="126"/>
      <c r="D73" s="126"/>
      <c r="E73" s="127"/>
      <c r="F73" s="127"/>
      <c r="G73" s="123" t="str">
        <f aca="false">IF(F73="","",ROUNDUP(F73*10%,0))</f>
        <v/>
      </c>
      <c r="H73" s="124" t="str">
        <f aca="false">IF(D73="","",15%)</f>
        <v/>
      </c>
      <c r="I73" s="123" t="str">
        <f aca="false">IF(COUNTBLANK(E73:H73)&lt;1,ROUNDUP(SUM(F73:G73)*((100+H73*100)%),0),"")</f>
        <v/>
      </c>
      <c r="J73" s="129"/>
      <c r="K73" s="129"/>
    </row>
    <row r="74" customFormat="false" ht="12.75" hidden="false" customHeight="true" outlineLevel="0" collapsed="false">
      <c r="A74" s="121" t="str">
        <f aca="false">IF(B74="","",CONCATENATE(COUNTA(B$4:B74),"."))</f>
        <v/>
      </c>
      <c r="B74" s="126"/>
      <c r="C74" s="126"/>
      <c r="D74" s="126"/>
      <c r="E74" s="127"/>
      <c r="F74" s="127"/>
      <c r="G74" s="123" t="str">
        <f aca="false">IF(F74="","",ROUNDUP(F74*10%,0))</f>
        <v/>
      </c>
      <c r="H74" s="124" t="str">
        <f aca="false">IF(D74="","",15%)</f>
        <v/>
      </c>
      <c r="I74" s="123" t="str">
        <f aca="false">IF(COUNTBLANK(E74:H74)&lt;1,ROUNDUP(SUM(F74:G74)*((100+H74*100)%),0),"")</f>
        <v/>
      </c>
      <c r="J74" s="129"/>
      <c r="K74" s="129"/>
    </row>
    <row r="75" customFormat="false" ht="12.75" hidden="false" customHeight="true" outlineLevel="0" collapsed="false">
      <c r="A75" s="121" t="str">
        <f aca="false">IF(B75="","",CONCATENATE(COUNTA(B$4:B75),"."))</f>
        <v/>
      </c>
      <c r="B75" s="126"/>
      <c r="C75" s="126"/>
      <c r="D75" s="126"/>
      <c r="E75" s="127"/>
      <c r="F75" s="127"/>
      <c r="G75" s="123" t="str">
        <f aca="false">IF(F75="","",ROUNDUP(F75*10%,0))</f>
        <v/>
      </c>
      <c r="H75" s="124" t="str">
        <f aca="false">IF(D75="","",15%)</f>
        <v/>
      </c>
      <c r="I75" s="123" t="str">
        <f aca="false">IF(COUNTBLANK(E75:H75)&lt;1,ROUNDUP(SUM(F75:G75)*((100+H75*100)%),0),"")</f>
        <v/>
      </c>
      <c r="J75" s="129"/>
      <c r="K75" s="129"/>
    </row>
    <row r="76" customFormat="false" ht="12.75" hidden="false" customHeight="true" outlineLevel="0" collapsed="false">
      <c r="A76" s="121" t="str">
        <f aca="false">IF(B76="","",CONCATENATE(COUNTA(B$4:B76),"."))</f>
        <v/>
      </c>
      <c r="B76" s="126"/>
      <c r="C76" s="126"/>
      <c r="D76" s="126"/>
      <c r="E76" s="127"/>
      <c r="F76" s="127"/>
      <c r="G76" s="123" t="str">
        <f aca="false">IF(F76="","",ROUNDUP(F76*10%,0))</f>
        <v/>
      </c>
      <c r="H76" s="124" t="str">
        <f aca="false">IF(D76="","",15%)</f>
        <v/>
      </c>
      <c r="I76" s="123" t="str">
        <f aca="false">IF(COUNTBLANK(E76:H76)&lt;1,ROUNDUP(SUM(F76:G76)*((100+H76*100)%),0),"")</f>
        <v/>
      </c>
      <c r="J76" s="129"/>
      <c r="K76" s="129"/>
    </row>
    <row r="77" customFormat="false" ht="12.75" hidden="false" customHeight="true" outlineLevel="0" collapsed="false">
      <c r="A77" s="121" t="str">
        <f aca="false">IF(B77="","",CONCATENATE(COUNTA(B$4:B77),"."))</f>
        <v/>
      </c>
      <c r="B77" s="126"/>
      <c r="C77" s="126"/>
      <c r="D77" s="126"/>
      <c r="E77" s="127"/>
      <c r="F77" s="127"/>
      <c r="G77" s="123" t="str">
        <f aca="false">IF(F77="","",ROUNDUP(F77*10%,0))</f>
        <v/>
      </c>
      <c r="H77" s="124" t="str">
        <f aca="false">IF(D77="","",15%)</f>
        <v/>
      </c>
      <c r="I77" s="123" t="str">
        <f aca="false">IF(COUNTBLANK(E77:H77)&lt;1,ROUNDUP(SUM(F77:G77)*((100+H77*100)%),0),"")</f>
        <v/>
      </c>
      <c r="J77" s="129"/>
      <c r="K77" s="129"/>
    </row>
    <row r="78" customFormat="false" ht="12.75" hidden="false" customHeight="true" outlineLevel="0" collapsed="false">
      <c r="A78" s="121" t="str">
        <f aca="false">IF(B78="","",CONCATENATE(COUNTA(B$4:B78),"."))</f>
        <v/>
      </c>
      <c r="B78" s="126"/>
      <c r="C78" s="126"/>
      <c r="D78" s="126"/>
      <c r="E78" s="127"/>
      <c r="F78" s="127"/>
      <c r="G78" s="123" t="str">
        <f aca="false">IF(F78="","",ROUNDUP(F78*10%,0))</f>
        <v/>
      </c>
      <c r="H78" s="124" t="str">
        <f aca="false">IF(D78="","",15%)</f>
        <v/>
      </c>
      <c r="I78" s="123" t="str">
        <f aca="false">IF(COUNTBLANK(E78:H78)&lt;1,ROUNDUP(SUM(F78:G78)*((100+H78*100)%),0),"")</f>
        <v/>
      </c>
      <c r="J78" s="129"/>
      <c r="K78" s="129"/>
    </row>
    <row r="79" customFormat="false" ht="12.75" hidden="false" customHeight="true" outlineLevel="0" collapsed="false">
      <c r="A79" s="121" t="str">
        <f aca="false">IF(B79="","",CONCATENATE(COUNTA(B$4:B79),"."))</f>
        <v/>
      </c>
      <c r="B79" s="126"/>
      <c r="C79" s="126"/>
      <c r="D79" s="126"/>
      <c r="E79" s="127"/>
      <c r="F79" s="127"/>
      <c r="G79" s="123" t="str">
        <f aca="false">IF(F79="","",ROUNDUP(F79*10%,0))</f>
        <v/>
      </c>
      <c r="H79" s="124" t="str">
        <f aca="false">IF(D79="","",15%)</f>
        <v/>
      </c>
      <c r="I79" s="123" t="str">
        <f aca="false">IF(COUNTBLANK(E79:H79)&lt;1,ROUNDUP(SUM(F79:G79)*((100+H79*100)%),0),"")</f>
        <v/>
      </c>
      <c r="J79" s="129"/>
      <c r="K79" s="129"/>
    </row>
    <row r="80" customFormat="false" ht="12.75" hidden="false" customHeight="true" outlineLevel="0" collapsed="false">
      <c r="A80" s="121" t="str">
        <f aca="false">IF(B80="","",CONCATENATE(COUNTA(B$4:B80),"."))</f>
        <v/>
      </c>
      <c r="B80" s="126"/>
      <c r="C80" s="126"/>
      <c r="D80" s="126"/>
      <c r="E80" s="127"/>
      <c r="F80" s="127"/>
      <c r="G80" s="123" t="str">
        <f aca="false">IF(F80="","",ROUNDUP(F80*10%,0))</f>
        <v/>
      </c>
      <c r="H80" s="124" t="str">
        <f aca="false">IF(D80="","",15%)</f>
        <v/>
      </c>
      <c r="I80" s="123" t="str">
        <f aca="false">IF(COUNTBLANK(E80:H80)&lt;1,ROUNDUP(SUM(F80:G80)*((100+H80*100)%),0),"")</f>
        <v/>
      </c>
      <c r="J80" s="129"/>
      <c r="K80" s="129"/>
    </row>
    <row r="81" customFormat="false" ht="12.75" hidden="false" customHeight="true" outlineLevel="0" collapsed="false">
      <c r="A81" s="121" t="str">
        <f aca="false">IF(B81="","",CONCATENATE(COUNTA(B$4:B81),"."))</f>
        <v/>
      </c>
      <c r="B81" s="126"/>
      <c r="C81" s="126"/>
      <c r="D81" s="126"/>
      <c r="E81" s="127"/>
      <c r="F81" s="127"/>
      <c r="G81" s="123" t="str">
        <f aca="false">IF(F81="","",ROUNDUP(F81*10%,0))</f>
        <v/>
      </c>
      <c r="H81" s="124" t="str">
        <f aca="false">IF(D81="","",15%)</f>
        <v/>
      </c>
      <c r="I81" s="123" t="str">
        <f aca="false">IF(COUNTBLANK(E81:H81)&lt;1,ROUNDUP(SUM(F81:G81)*((100+H81*100)%),0),"")</f>
        <v/>
      </c>
      <c r="J81" s="129"/>
      <c r="K81" s="129"/>
    </row>
    <row r="82" customFormat="false" ht="12.75" hidden="false" customHeight="true" outlineLevel="0" collapsed="false">
      <c r="A82" s="121" t="str">
        <f aca="false">IF(B82="","",CONCATENATE(COUNTA(B$4:B82),"."))</f>
        <v/>
      </c>
      <c r="B82" s="126"/>
      <c r="C82" s="126"/>
      <c r="D82" s="126"/>
      <c r="E82" s="127"/>
      <c r="F82" s="127"/>
      <c r="G82" s="123" t="str">
        <f aca="false">IF(F82="","",ROUNDUP(F82*10%,0))</f>
        <v/>
      </c>
      <c r="H82" s="124" t="str">
        <f aca="false">IF(D82="","",15%)</f>
        <v/>
      </c>
      <c r="I82" s="123" t="str">
        <f aca="false">IF(COUNTBLANK(E82:H82)&lt;1,ROUNDUP(SUM(F82:G82)*((100+H82*100)%),0),"")</f>
        <v/>
      </c>
      <c r="J82" s="129"/>
      <c r="K82" s="129"/>
    </row>
    <row r="83" customFormat="false" ht="12.75" hidden="false" customHeight="true" outlineLevel="0" collapsed="false">
      <c r="A83" s="121" t="str">
        <f aca="false">IF(B83="","",CONCATENATE(COUNTA(B$4:B83),"."))</f>
        <v/>
      </c>
      <c r="B83" s="126"/>
      <c r="C83" s="126"/>
      <c r="D83" s="126"/>
      <c r="E83" s="127"/>
      <c r="F83" s="127"/>
      <c r="G83" s="123" t="str">
        <f aca="false">IF(F83="","",ROUNDUP(F83*10%,0))</f>
        <v/>
      </c>
      <c r="H83" s="124" t="str">
        <f aca="false">IF(D83="","",15%)</f>
        <v/>
      </c>
      <c r="I83" s="123" t="str">
        <f aca="false">IF(COUNTBLANK(E83:H83)&lt;1,ROUNDUP(SUM(F83:G83)*((100+H83*100)%),0),"")</f>
        <v/>
      </c>
      <c r="J83" s="129"/>
      <c r="K83" s="129"/>
    </row>
    <row r="84" customFormat="false" ht="12.75" hidden="false" customHeight="true" outlineLevel="0" collapsed="false">
      <c r="A84" s="121" t="str">
        <f aca="false">IF(B84="","",CONCATENATE(COUNTA(B$4:B84),"."))</f>
        <v/>
      </c>
      <c r="B84" s="126"/>
      <c r="C84" s="126"/>
      <c r="D84" s="126"/>
      <c r="E84" s="127"/>
      <c r="F84" s="127"/>
      <c r="G84" s="123" t="str">
        <f aca="false">IF(F84="","",ROUNDUP(F84*10%,0))</f>
        <v/>
      </c>
      <c r="H84" s="124" t="str">
        <f aca="false">IF(D84="","",15%)</f>
        <v/>
      </c>
      <c r="I84" s="123" t="str">
        <f aca="false">IF(COUNTBLANK(E84:H84)&lt;1,ROUNDUP(SUM(F84:G84)*((100+H84*100)%),0),"")</f>
        <v/>
      </c>
      <c r="J84" s="129"/>
      <c r="K84" s="129"/>
    </row>
    <row r="85" customFormat="false" ht="12.75" hidden="false" customHeight="true" outlineLevel="0" collapsed="false">
      <c r="A85" s="121" t="str">
        <f aca="false">IF(B85="","",CONCATENATE(COUNTA(B$4:B85),"."))</f>
        <v/>
      </c>
      <c r="B85" s="126"/>
      <c r="C85" s="126"/>
      <c r="D85" s="126"/>
      <c r="E85" s="127"/>
      <c r="F85" s="127"/>
      <c r="G85" s="123" t="str">
        <f aca="false">IF(F85="","",ROUNDUP(F85*10%,0))</f>
        <v/>
      </c>
      <c r="H85" s="124" t="str">
        <f aca="false">IF(D85="","",15%)</f>
        <v/>
      </c>
      <c r="I85" s="123" t="str">
        <f aca="false">IF(COUNTBLANK(E85:H85)&lt;1,ROUNDUP(SUM(F85:G85)*((100+H85*100)%),0),"")</f>
        <v/>
      </c>
      <c r="J85" s="129"/>
      <c r="K85" s="129"/>
    </row>
    <row r="86" customFormat="false" ht="12.75" hidden="false" customHeight="true" outlineLevel="0" collapsed="false">
      <c r="A86" s="121" t="str">
        <f aca="false">IF(B86="","",CONCATENATE(COUNTA(B$4:B86),"."))</f>
        <v/>
      </c>
      <c r="B86" s="126"/>
      <c r="C86" s="126"/>
      <c r="D86" s="126"/>
      <c r="E86" s="127"/>
      <c r="F86" s="127"/>
      <c r="G86" s="123" t="str">
        <f aca="false">IF(F86="","",ROUNDUP(F86*10%,0))</f>
        <v/>
      </c>
      <c r="H86" s="124" t="str">
        <f aca="false">IF(D86="","",15%)</f>
        <v/>
      </c>
      <c r="I86" s="123" t="str">
        <f aca="false">IF(COUNTBLANK(E86:H86)&lt;1,ROUNDUP(SUM(F86:G86)*((100+H86*100)%),0),"")</f>
        <v/>
      </c>
      <c r="J86" s="129"/>
      <c r="K86" s="129"/>
    </row>
    <row r="87" customFormat="false" ht="12.75" hidden="false" customHeight="true" outlineLevel="0" collapsed="false">
      <c r="A87" s="121" t="str">
        <f aca="false">IF(B87="","",CONCATENATE(COUNTA(B$4:B87),"."))</f>
        <v/>
      </c>
      <c r="B87" s="126"/>
      <c r="C87" s="126"/>
      <c r="D87" s="126"/>
      <c r="E87" s="127"/>
      <c r="F87" s="127"/>
      <c r="G87" s="123" t="str">
        <f aca="false">IF(F87="","",ROUNDUP(F87*10%,0))</f>
        <v/>
      </c>
      <c r="H87" s="124" t="str">
        <f aca="false">IF(D87="","",15%)</f>
        <v/>
      </c>
      <c r="I87" s="123" t="str">
        <f aca="false">IF(COUNTBLANK(E87:H87)&lt;1,ROUNDUP(SUM(F87:G87)*((100+H87*100)%),0),"")</f>
        <v/>
      </c>
      <c r="J87" s="129"/>
      <c r="K87" s="129"/>
    </row>
    <row r="88" customFormat="false" ht="12.75" hidden="false" customHeight="true" outlineLevel="0" collapsed="false">
      <c r="A88" s="121" t="str">
        <f aca="false">IF(B88="","",CONCATENATE(COUNTA(B$4:B88),"."))</f>
        <v/>
      </c>
      <c r="B88" s="126"/>
      <c r="C88" s="126"/>
      <c r="D88" s="126"/>
      <c r="E88" s="127"/>
      <c r="F88" s="127"/>
      <c r="G88" s="123" t="str">
        <f aca="false">IF(F88="","",ROUNDUP(F88*10%,0))</f>
        <v/>
      </c>
      <c r="H88" s="124" t="str">
        <f aca="false">IF(D88="","",15%)</f>
        <v/>
      </c>
      <c r="I88" s="123" t="str">
        <f aca="false">IF(COUNTBLANK(E88:H88)&lt;1,ROUNDUP(SUM(F88:G88)*((100+H88*100)%),0),"")</f>
        <v/>
      </c>
      <c r="J88" s="129"/>
      <c r="K88" s="129"/>
    </row>
    <row r="89" customFormat="false" ht="12.75" hidden="false" customHeight="true" outlineLevel="0" collapsed="false">
      <c r="A89" s="121" t="str">
        <f aca="false">IF(B89="","",CONCATENATE(COUNTA(B$4:B89),"."))</f>
        <v/>
      </c>
      <c r="B89" s="126"/>
      <c r="C89" s="126"/>
      <c r="D89" s="126"/>
      <c r="E89" s="127"/>
      <c r="F89" s="127"/>
      <c r="G89" s="123" t="str">
        <f aca="false">IF(F89="","",ROUNDUP(F89*10%,0))</f>
        <v/>
      </c>
      <c r="H89" s="124" t="str">
        <f aca="false">IF(D89="","",15%)</f>
        <v/>
      </c>
      <c r="I89" s="123" t="str">
        <f aca="false">IF(COUNTBLANK(E89:H89)&lt;1,ROUNDUP(SUM(F89:G89)*((100+H89*100)%),0),"")</f>
        <v/>
      </c>
      <c r="J89" s="129"/>
      <c r="K89" s="129"/>
    </row>
    <row r="90" customFormat="false" ht="12.75" hidden="false" customHeight="true" outlineLevel="0" collapsed="false">
      <c r="A90" s="121" t="str">
        <f aca="false">IF(B90="","",CONCATENATE(COUNTA(B$4:B90),"."))</f>
        <v/>
      </c>
      <c r="B90" s="126"/>
      <c r="C90" s="126"/>
      <c r="D90" s="126"/>
      <c r="E90" s="127"/>
      <c r="F90" s="127"/>
      <c r="G90" s="123" t="str">
        <f aca="false">IF(F90="","",ROUNDUP(F90*10%,0))</f>
        <v/>
      </c>
      <c r="H90" s="124" t="str">
        <f aca="false">IF(D90="","",15%)</f>
        <v/>
      </c>
      <c r="I90" s="123" t="str">
        <f aca="false">IF(COUNTBLANK(E90:H90)&lt;1,ROUNDUP(SUM(F90:G90)*((100+H90*100)%),0),"")</f>
        <v/>
      </c>
      <c r="J90" s="129"/>
      <c r="K90" s="129"/>
    </row>
    <row r="91" customFormat="false" ht="12.75" hidden="false" customHeight="true" outlineLevel="0" collapsed="false">
      <c r="A91" s="121" t="str">
        <f aca="false">IF(B91="","",CONCATENATE(COUNTA(B$4:B91),"."))</f>
        <v/>
      </c>
      <c r="B91" s="126"/>
      <c r="C91" s="126"/>
      <c r="D91" s="126"/>
      <c r="E91" s="127"/>
      <c r="F91" s="127"/>
      <c r="G91" s="123" t="str">
        <f aca="false">IF(F91="","",ROUNDUP(F91*10%,0))</f>
        <v/>
      </c>
      <c r="H91" s="124" t="str">
        <f aca="false">IF(D91="","",15%)</f>
        <v/>
      </c>
      <c r="I91" s="123" t="str">
        <f aca="false">IF(COUNTBLANK(E91:H91)&lt;1,ROUNDUP(SUM(F91:G91)*((100+H91*100)%),0),"")</f>
        <v/>
      </c>
      <c r="J91" s="129"/>
      <c r="K91" s="129"/>
    </row>
    <row r="92" customFormat="false" ht="12.75" hidden="false" customHeight="true" outlineLevel="0" collapsed="false">
      <c r="A92" s="121" t="str">
        <f aca="false">IF(B92="","",CONCATENATE(COUNTA(B$4:B92),"."))</f>
        <v/>
      </c>
      <c r="B92" s="126"/>
      <c r="C92" s="126"/>
      <c r="D92" s="126"/>
      <c r="E92" s="127"/>
      <c r="F92" s="127"/>
      <c r="G92" s="123" t="str">
        <f aca="false">IF(F92="","",ROUNDUP(F92*10%,0))</f>
        <v/>
      </c>
      <c r="H92" s="124" t="str">
        <f aca="false">IF(D92="","",15%)</f>
        <v/>
      </c>
      <c r="I92" s="123" t="str">
        <f aca="false">IF(COUNTBLANK(E92:H92)&lt;1,ROUNDUP(SUM(F92:G92)*((100+H92*100)%),0),"")</f>
        <v/>
      </c>
      <c r="J92" s="129"/>
      <c r="K92" s="129"/>
    </row>
    <row r="93" customFormat="false" ht="12.75" hidden="false" customHeight="true" outlineLevel="0" collapsed="false">
      <c r="A93" s="121" t="str">
        <f aca="false">IF(B93="","",CONCATENATE(COUNTA(B$4:B93),"."))</f>
        <v/>
      </c>
      <c r="B93" s="126"/>
      <c r="C93" s="126"/>
      <c r="D93" s="126"/>
      <c r="E93" s="127"/>
      <c r="F93" s="127"/>
      <c r="G93" s="123" t="str">
        <f aca="false">IF(F93="","",ROUNDUP(F93*10%,0))</f>
        <v/>
      </c>
      <c r="H93" s="124" t="str">
        <f aca="false">IF(D93="","",15%)</f>
        <v/>
      </c>
      <c r="I93" s="123" t="str">
        <f aca="false">IF(COUNTBLANK(E93:H93)&lt;1,ROUNDUP(SUM(F93:G93)*((100+H93*100)%),0),"")</f>
        <v/>
      </c>
      <c r="J93" s="129"/>
      <c r="K93" s="129"/>
    </row>
    <row r="94" customFormat="false" ht="12.75" hidden="false" customHeight="true" outlineLevel="0" collapsed="false">
      <c r="A94" s="121" t="str">
        <f aca="false">IF(B94="","",CONCATENATE(COUNTA(B$4:B94),"."))</f>
        <v/>
      </c>
      <c r="B94" s="126"/>
      <c r="C94" s="126"/>
      <c r="D94" s="126"/>
      <c r="E94" s="127"/>
      <c r="F94" s="127"/>
      <c r="G94" s="123" t="str">
        <f aca="false">IF(F94="","",ROUNDUP(F94*10%,0))</f>
        <v/>
      </c>
      <c r="H94" s="124" t="str">
        <f aca="false">IF(D94="","",15%)</f>
        <v/>
      </c>
      <c r="I94" s="123" t="str">
        <f aca="false">IF(COUNTBLANK(E94:H94)&lt;1,ROUNDUP(SUM(F94:G94)*((100+H94*100)%),0),"")</f>
        <v/>
      </c>
      <c r="J94" s="129"/>
      <c r="K94" s="129"/>
    </row>
    <row r="95" customFormat="false" ht="12.75" hidden="false" customHeight="true" outlineLevel="0" collapsed="false">
      <c r="A95" s="121" t="str">
        <f aca="false">IF(B95="","",CONCATENATE(COUNTA(B$4:B95),"."))</f>
        <v/>
      </c>
      <c r="B95" s="126"/>
      <c r="C95" s="126"/>
      <c r="D95" s="126"/>
      <c r="E95" s="127"/>
      <c r="F95" s="127"/>
      <c r="G95" s="123" t="str">
        <f aca="false">IF(F95="","",ROUNDUP(F95*10%,0))</f>
        <v/>
      </c>
      <c r="H95" s="124" t="str">
        <f aca="false">IF(D95="","",15%)</f>
        <v/>
      </c>
      <c r="I95" s="123" t="str">
        <f aca="false">IF(COUNTBLANK(E95:H95)&lt;1,ROUNDUP(SUM(F95:G95)*((100+H95*100)%),0),"")</f>
        <v/>
      </c>
      <c r="J95" s="129"/>
      <c r="K95" s="129"/>
    </row>
    <row r="96" customFormat="false" ht="12.75" hidden="false" customHeight="true" outlineLevel="0" collapsed="false">
      <c r="A96" s="121" t="str">
        <f aca="false">IF(B96="","",CONCATENATE(COUNTA(B$4:B96),"."))</f>
        <v/>
      </c>
      <c r="B96" s="126"/>
      <c r="C96" s="126"/>
      <c r="D96" s="126"/>
      <c r="E96" s="127"/>
      <c r="F96" s="127"/>
      <c r="G96" s="123" t="str">
        <f aca="false">IF(F96="","",ROUNDUP(F96*10%,0))</f>
        <v/>
      </c>
      <c r="H96" s="124" t="str">
        <f aca="false">IF(D96="","",15%)</f>
        <v/>
      </c>
      <c r="I96" s="123" t="str">
        <f aca="false">IF(COUNTBLANK(E96:H96)&lt;1,ROUNDUP(SUM(F96:G96)*((100+H96*100)%),0),"")</f>
        <v/>
      </c>
      <c r="J96" s="129"/>
      <c r="K96" s="129"/>
    </row>
    <row r="97" customFormat="false" ht="12.75" hidden="false" customHeight="true" outlineLevel="0" collapsed="false">
      <c r="A97" s="121" t="str">
        <f aca="false">IF(B97="","",CONCATENATE(COUNTA(B$4:B97),"."))</f>
        <v/>
      </c>
      <c r="B97" s="126"/>
      <c r="C97" s="126"/>
      <c r="D97" s="126"/>
      <c r="E97" s="127"/>
      <c r="F97" s="127"/>
      <c r="G97" s="123" t="str">
        <f aca="false">IF(F97="","",ROUNDUP(F97*10%,0))</f>
        <v/>
      </c>
      <c r="H97" s="124" t="str">
        <f aca="false">IF(D97="","",15%)</f>
        <v/>
      </c>
      <c r="I97" s="123" t="str">
        <f aca="false">IF(COUNTBLANK(E97:H97)&lt;1,ROUNDUP(SUM(F97:G97)*((100+H97*100)%),0),"")</f>
        <v/>
      </c>
      <c r="J97" s="129"/>
      <c r="K97" s="129"/>
    </row>
    <row r="98" customFormat="false" ht="12.75" hidden="false" customHeight="true" outlineLevel="0" collapsed="false">
      <c r="A98" s="121" t="str">
        <f aca="false">IF(B98="","",CONCATENATE(COUNTA(B$4:B98),"."))</f>
        <v/>
      </c>
      <c r="B98" s="126"/>
      <c r="C98" s="126"/>
      <c r="D98" s="126"/>
      <c r="E98" s="127"/>
      <c r="F98" s="127"/>
      <c r="G98" s="123" t="str">
        <f aca="false">IF(F98="","",ROUNDUP(F98*10%,0))</f>
        <v/>
      </c>
      <c r="H98" s="124" t="str">
        <f aca="false">IF(D98="","",15%)</f>
        <v/>
      </c>
      <c r="I98" s="123" t="str">
        <f aca="false">IF(COUNTBLANK(E98:H98)&lt;1,ROUNDUP(SUM(F98:G98)*((100+H98*100)%),0),"")</f>
        <v/>
      </c>
      <c r="J98" s="129"/>
      <c r="K98" s="129"/>
    </row>
    <row r="99" customFormat="false" ht="12.75" hidden="false" customHeight="true" outlineLevel="0" collapsed="false">
      <c r="A99" s="121" t="str">
        <f aca="false">IF(B99="","",CONCATENATE(COUNTA(B$4:B99),"."))</f>
        <v/>
      </c>
      <c r="B99" s="126"/>
      <c r="C99" s="126"/>
      <c r="D99" s="126"/>
      <c r="E99" s="127"/>
      <c r="F99" s="127"/>
      <c r="G99" s="123" t="str">
        <f aca="false">IF(F99="","",ROUNDUP(F99*10%,0))</f>
        <v/>
      </c>
      <c r="H99" s="124" t="str">
        <f aca="false">IF(D99="","",15%)</f>
        <v/>
      </c>
      <c r="I99" s="123" t="str">
        <f aca="false">IF(COUNTBLANK(E99:H99)&lt;1,ROUNDUP(SUM(F99:G99)*((100+H99*100)%),0),"")</f>
        <v/>
      </c>
      <c r="J99" s="129"/>
      <c r="K99" s="129"/>
    </row>
    <row r="100" customFormat="false" ht="12.75" hidden="false" customHeight="true" outlineLevel="0" collapsed="false">
      <c r="A100" s="121" t="str">
        <f aca="false">IF(B100="","",CONCATENATE(COUNTA(B$4:B100),"."))</f>
        <v/>
      </c>
      <c r="B100" s="126"/>
      <c r="C100" s="126"/>
      <c r="D100" s="126"/>
      <c r="E100" s="127"/>
      <c r="F100" s="127"/>
      <c r="G100" s="123" t="str">
        <f aca="false">IF(F100="","",ROUNDUP(F100*10%,0))</f>
        <v/>
      </c>
      <c r="H100" s="124" t="str">
        <f aca="false">IF(D100="","",15%)</f>
        <v/>
      </c>
      <c r="I100" s="123" t="str">
        <f aca="false">IF(COUNTBLANK(E100:H100)&lt;1,ROUNDUP(SUM(F100:G100)*((100+H100*100)%),0),"")</f>
        <v/>
      </c>
      <c r="J100" s="129"/>
      <c r="K100" s="129"/>
    </row>
    <row r="101" customFormat="false" ht="12.75" hidden="false" customHeight="true" outlineLevel="0" collapsed="false">
      <c r="A101" s="121" t="str">
        <f aca="false">IF(B101="","",CONCATENATE(COUNTA(B$4:B101),"."))</f>
        <v/>
      </c>
      <c r="B101" s="126"/>
      <c r="C101" s="126"/>
      <c r="D101" s="126"/>
      <c r="E101" s="127"/>
      <c r="F101" s="127"/>
      <c r="G101" s="123" t="str">
        <f aca="false">IF(F101="","",ROUNDUP(F101*10%,0))</f>
        <v/>
      </c>
      <c r="H101" s="124" t="str">
        <f aca="false">IF(D101="","",15%)</f>
        <v/>
      </c>
      <c r="I101" s="123" t="str">
        <f aca="false">IF(COUNTBLANK(E101:H101)&lt;1,ROUNDUP(SUM(F101:G101)*((100+H101*100)%),0),"")</f>
        <v/>
      </c>
      <c r="J101" s="129"/>
      <c r="K101" s="129"/>
    </row>
    <row r="102" customFormat="false" ht="12.75" hidden="false" customHeight="true" outlineLevel="0" collapsed="false">
      <c r="A102" s="121" t="str">
        <f aca="false">IF(B102="","",CONCATENATE(COUNTA(B$4:B102),"."))</f>
        <v/>
      </c>
      <c r="B102" s="126"/>
      <c r="C102" s="126"/>
      <c r="D102" s="126"/>
      <c r="E102" s="127"/>
      <c r="F102" s="127"/>
      <c r="G102" s="123" t="str">
        <f aca="false">IF(F102="","",ROUNDUP(F102*10%,0))</f>
        <v/>
      </c>
      <c r="H102" s="124" t="str">
        <f aca="false">IF(D102="","",15%)</f>
        <v/>
      </c>
      <c r="I102" s="123" t="str">
        <f aca="false">IF(COUNTBLANK(E102:H102)&lt;1,ROUNDUP(SUM(F102:G102)*((100+H102*100)%),0),"")</f>
        <v/>
      </c>
      <c r="J102" s="129"/>
      <c r="K102" s="129"/>
    </row>
    <row r="103" customFormat="false" ht="12.75" hidden="false" customHeight="true" outlineLevel="0" collapsed="false">
      <c r="A103" s="121" t="str">
        <f aca="false">IF(B103="","",CONCATENATE(COUNTA(B$4:B103),"."))</f>
        <v/>
      </c>
      <c r="B103" s="126"/>
      <c r="C103" s="126"/>
      <c r="D103" s="126"/>
      <c r="E103" s="127"/>
      <c r="F103" s="127"/>
      <c r="G103" s="123" t="str">
        <f aca="false">IF(F103="","",ROUNDUP(F103*10%,0))</f>
        <v/>
      </c>
      <c r="H103" s="124" t="str">
        <f aca="false">IF(D103="","",15%)</f>
        <v/>
      </c>
      <c r="I103" s="123" t="str">
        <f aca="false">IF(COUNTBLANK(E103:H103)&lt;1,ROUNDUP(SUM(F103:G103)*((100+H103*100)%),0),"")</f>
        <v/>
      </c>
      <c r="J103" s="129"/>
      <c r="K103" s="129"/>
    </row>
    <row r="104" customFormat="false" ht="12.75" hidden="false" customHeight="true" outlineLevel="0" collapsed="false">
      <c r="A104" s="121" t="str">
        <f aca="false">IF(B104="","",CONCATENATE(COUNTA(B$4:B104),"."))</f>
        <v/>
      </c>
      <c r="B104" s="126"/>
      <c r="C104" s="126"/>
      <c r="D104" s="126"/>
      <c r="E104" s="127"/>
      <c r="F104" s="127"/>
      <c r="G104" s="123" t="str">
        <f aca="false">IF(F104="","",ROUNDUP(F104*10%,0))</f>
        <v/>
      </c>
      <c r="H104" s="124" t="str">
        <f aca="false">IF(D104="","",15%)</f>
        <v/>
      </c>
      <c r="I104" s="123" t="str">
        <f aca="false">IF(COUNTBLANK(E104:H104)&lt;1,ROUNDUP(SUM(F104:G104)*((100+H104*100)%),0),"")</f>
        <v/>
      </c>
      <c r="J104" s="129"/>
      <c r="K104" s="129"/>
    </row>
    <row r="105" customFormat="false" ht="12.75" hidden="false" customHeight="true" outlineLevel="0" collapsed="false">
      <c r="A105" s="121" t="str">
        <f aca="false">IF(B105="","",CONCATENATE(COUNTA(B$4:B105),"."))</f>
        <v/>
      </c>
      <c r="B105" s="126"/>
      <c r="C105" s="126"/>
      <c r="D105" s="126"/>
      <c r="E105" s="127"/>
      <c r="F105" s="127"/>
      <c r="G105" s="123" t="str">
        <f aca="false">IF(F105="","",ROUNDUP(F105*10%,0))</f>
        <v/>
      </c>
      <c r="H105" s="124" t="str">
        <f aca="false">IF(D105="","",15%)</f>
        <v/>
      </c>
      <c r="I105" s="123" t="str">
        <f aca="false">IF(COUNTBLANK(E105:H105)&lt;1,ROUNDUP(SUM(F105:G105)*((100+H105*100)%),0),"")</f>
        <v/>
      </c>
      <c r="J105" s="129"/>
      <c r="K105" s="129"/>
    </row>
    <row r="106" customFormat="false" ht="12.75" hidden="false" customHeight="true" outlineLevel="0" collapsed="false">
      <c r="A106" s="121" t="str">
        <f aca="false">IF(B106="","",CONCATENATE(COUNTA(B$4:B106),"."))</f>
        <v/>
      </c>
      <c r="B106" s="126"/>
      <c r="C106" s="126"/>
      <c r="D106" s="126"/>
      <c r="E106" s="127"/>
      <c r="F106" s="127"/>
      <c r="G106" s="123" t="str">
        <f aca="false">IF(F106="","",ROUNDUP(F106*10%,0))</f>
        <v/>
      </c>
      <c r="H106" s="124" t="str">
        <f aca="false">IF(D106="","",15%)</f>
        <v/>
      </c>
      <c r="I106" s="123" t="str">
        <f aca="false">IF(COUNTBLANK(E106:H106)&lt;1,ROUNDUP(SUM(F106:G106)*((100+H106*100)%),0),"")</f>
        <v/>
      </c>
      <c r="J106" s="129"/>
      <c r="K106" s="129"/>
    </row>
    <row r="107" customFormat="false" ht="12.75" hidden="false" customHeight="true" outlineLevel="0" collapsed="false">
      <c r="A107" s="121" t="str">
        <f aca="false">IF(B107="","",CONCATENATE(COUNTA(B$4:B107),"."))</f>
        <v/>
      </c>
      <c r="B107" s="126"/>
      <c r="C107" s="126"/>
      <c r="D107" s="126"/>
      <c r="E107" s="127"/>
      <c r="F107" s="127"/>
      <c r="G107" s="123" t="str">
        <f aca="false">IF(F107="","",ROUNDUP(F107*10%,0))</f>
        <v/>
      </c>
      <c r="H107" s="124" t="str">
        <f aca="false">IF(D107="","",15%)</f>
        <v/>
      </c>
      <c r="I107" s="123" t="str">
        <f aca="false">IF(COUNTBLANK(E107:H107)&lt;1,ROUNDUP(SUM(F107:G107)*((100+H107*100)%),0),"")</f>
        <v/>
      </c>
      <c r="J107" s="129"/>
      <c r="K107" s="129"/>
    </row>
    <row r="108" customFormat="false" ht="12.75" hidden="false" customHeight="true" outlineLevel="0" collapsed="false">
      <c r="A108" s="121" t="str">
        <f aca="false">IF(B108="","",CONCATENATE(COUNTA(B$4:B108),"."))</f>
        <v/>
      </c>
      <c r="B108" s="126"/>
      <c r="C108" s="126"/>
      <c r="D108" s="126"/>
      <c r="E108" s="127"/>
      <c r="F108" s="127"/>
      <c r="G108" s="123" t="str">
        <f aca="false">IF(F108="","",ROUNDUP(F108*10%,0))</f>
        <v/>
      </c>
      <c r="H108" s="124" t="str">
        <f aca="false">IF(D108="","",15%)</f>
        <v/>
      </c>
      <c r="I108" s="123" t="str">
        <f aca="false">IF(COUNTBLANK(E108:H108)&lt;1,ROUNDUP(SUM(F108:G108)*((100+H108*100)%),0),"")</f>
        <v/>
      </c>
      <c r="J108" s="129"/>
      <c r="K108" s="129"/>
    </row>
    <row r="109" customFormat="false" ht="12.75" hidden="false" customHeight="true" outlineLevel="0" collapsed="false">
      <c r="A109" s="121" t="str">
        <f aca="false">IF(B109="","",CONCATENATE(COUNTA(B$4:B109),"."))</f>
        <v/>
      </c>
      <c r="B109" s="126"/>
      <c r="C109" s="126"/>
      <c r="D109" s="126"/>
      <c r="E109" s="127"/>
      <c r="F109" s="127"/>
      <c r="G109" s="123" t="str">
        <f aca="false">IF(F109="","",ROUNDUP(F109*10%,0))</f>
        <v/>
      </c>
      <c r="H109" s="124" t="str">
        <f aca="false">IF(D109="","",15%)</f>
        <v/>
      </c>
      <c r="I109" s="123" t="str">
        <f aca="false">IF(COUNTBLANK(E109:H109)&lt;1,ROUNDUP(SUM(F109:G109)*((100+H109*100)%),0),"")</f>
        <v/>
      </c>
      <c r="J109" s="129"/>
      <c r="K109" s="129"/>
    </row>
    <row r="110" customFormat="false" ht="12.75" hidden="false" customHeight="true" outlineLevel="0" collapsed="false">
      <c r="A110" s="121" t="str">
        <f aca="false">IF(B110="","",CONCATENATE(COUNTA(B$4:B110),"."))</f>
        <v/>
      </c>
      <c r="B110" s="126"/>
      <c r="C110" s="126"/>
      <c r="D110" s="126"/>
      <c r="E110" s="127"/>
      <c r="F110" s="127"/>
      <c r="G110" s="123" t="str">
        <f aca="false">IF(F110="","",ROUNDUP(F110*10%,0))</f>
        <v/>
      </c>
      <c r="H110" s="124" t="str">
        <f aca="false">IF(D110="","",15%)</f>
        <v/>
      </c>
      <c r="I110" s="123" t="str">
        <f aca="false">IF(COUNTBLANK(E110:H110)&lt;1,ROUNDUP(SUM(F110:G110)*((100+H110*100)%),0),"")</f>
        <v/>
      </c>
      <c r="J110" s="129"/>
      <c r="K110" s="129"/>
    </row>
    <row r="111" customFormat="false" ht="12.75" hidden="false" customHeight="true" outlineLevel="0" collapsed="false">
      <c r="A111" s="121" t="str">
        <f aca="false">IF(B111="","",CONCATENATE(COUNTA(B$4:B111),"."))</f>
        <v/>
      </c>
      <c r="B111" s="126"/>
      <c r="C111" s="126"/>
      <c r="D111" s="126"/>
      <c r="E111" s="127"/>
      <c r="F111" s="127"/>
      <c r="G111" s="123" t="str">
        <f aca="false">IF(F111="","",ROUNDUP(F111*10%,0))</f>
        <v/>
      </c>
      <c r="H111" s="124" t="str">
        <f aca="false">IF(D111="","",15%)</f>
        <v/>
      </c>
      <c r="I111" s="123" t="str">
        <f aca="false">IF(COUNTBLANK(E111:H111)&lt;1,ROUNDUP(SUM(F111:G111)*((100+H111*100)%),0),"")</f>
        <v/>
      </c>
      <c r="J111" s="129"/>
      <c r="K111" s="129"/>
    </row>
    <row r="112" customFormat="false" ht="12.75" hidden="false" customHeight="true" outlineLevel="0" collapsed="false">
      <c r="A112" s="121" t="str">
        <f aca="false">IF(B112="","",CONCATENATE(COUNTA(B$4:B112),"."))</f>
        <v/>
      </c>
      <c r="B112" s="126"/>
      <c r="C112" s="126"/>
      <c r="D112" s="126"/>
      <c r="E112" s="127"/>
      <c r="F112" s="127"/>
      <c r="G112" s="123" t="str">
        <f aca="false">IF(F112="","",ROUNDUP(F112*10%,0))</f>
        <v/>
      </c>
      <c r="H112" s="124" t="str">
        <f aca="false">IF(D112="","",15%)</f>
        <v/>
      </c>
      <c r="I112" s="123" t="str">
        <f aca="false">IF(COUNTBLANK(E112:H112)&lt;1,ROUNDUP(SUM(F112:G112)*((100+H112*100)%),0),"")</f>
        <v/>
      </c>
      <c r="J112" s="129"/>
      <c r="K112" s="129"/>
    </row>
    <row r="113" customFormat="false" ht="12.75" hidden="false" customHeight="true" outlineLevel="0" collapsed="false">
      <c r="A113" s="121" t="str">
        <f aca="false">IF(B113="","",CONCATENATE(COUNTA(B$4:B113),"."))</f>
        <v/>
      </c>
      <c r="B113" s="126"/>
      <c r="C113" s="126"/>
      <c r="D113" s="126"/>
      <c r="E113" s="127"/>
      <c r="F113" s="127"/>
      <c r="G113" s="123" t="str">
        <f aca="false">IF(F113="","",ROUNDUP(F113*10%,0))</f>
        <v/>
      </c>
      <c r="H113" s="124" t="str">
        <f aca="false">IF(D113="","",15%)</f>
        <v/>
      </c>
      <c r="I113" s="123" t="str">
        <f aca="false">IF(COUNTBLANK(E113:H113)&lt;1,ROUNDUP(SUM(F113:G113)*((100+H113*100)%),0),"")</f>
        <v/>
      </c>
      <c r="J113" s="129"/>
      <c r="K113" s="129"/>
    </row>
    <row r="114" customFormat="false" ht="12.75" hidden="false" customHeight="true" outlineLevel="0" collapsed="false">
      <c r="A114" s="121" t="str">
        <f aca="false">IF(B114="","",CONCATENATE(COUNTA(B$4:B114),"."))</f>
        <v/>
      </c>
      <c r="B114" s="126"/>
      <c r="C114" s="126"/>
      <c r="D114" s="126"/>
      <c r="E114" s="127"/>
      <c r="F114" s="127"/>
      <c r="G114" s="123" t="str">
        <f aca="false">IF(F114="","",ROUNDUP(F114*10%,0))</f>
        <v/>
      </c>
      <c r="H114" s="124" t="str">
        <f aca="false">IF(D114="","",15%)</f>
        <v/>
      </c>
      <c r="I114" s="123" t="str">
        <f aca="false">IF(COUNTBLANK(E114:H114)&lt;1,ROUNDUP(SUM(F114:G114)*((100+H114*100)%),0),"")</f>
        <v/>
      </c>
      <c r="J114" s="129"/>
      <c r="K114" s="129"/>
    </row>
    <row r="115" customFormat="false" ht="12.75" hidden="false" customHeight="true" outlineLevel="0" collapsed="false">
      <c r="A115" s="121" t="str">
        <f aca="false">IF(B115="","",CONCATENATE(COUNTA(B$4:B115),"."))</f>
        <v/>
      </c>
      <c r="B115" s="126"/>
      <c r="C115" s="126"/>
      <c r="D115" s="126"/>
      <c r="E115" s="127"/>
      <c r="F115" s="127"/>
      <c r="G115" s="123" t="str">
        <f aca="false">IF(F115="","",ROUNDUP(F115*10%,0))</f>
        <v/>
      </c>
      <c r="H115" s="124" t="str">
        <f aca="false">IF(D115="","",15%)</f>
        <v/>
      </c>
      <c r="I115" s="123" t="str">
        <f aca="false">IF(COUNTBLANK(E115:H115)&lt;1,ROUNDUP(SUM(F115:G115)*((100+H115*100)%),0),"")</f>
        <v/>
      </c>
      <c r="J115" s="129"/>
      <c r="K115" s="129"/>
    </row>
    <row r="116" customFormat="false" ht="12.75" hidden="false" customHeight="true" outlineLevel="0" collapsed="false">
      <c r="A116" s="121" t="str">
        <f aca="false">IF(B116="","",CONCATENATE(COUNTA(B$4:B116),"."))</f>
        <v/>
      </c>
      <c r="B116" s="126"/>
      <c r="C116" s="126"/>
      <c r="D116" s="126"/>
      <c r="E116" s="127"/>
      <c r="F116" s="127"/>
      <c r="G116" s="123" t="str">
        <f aca="false">IF(F116="","",ROUNDUP(F116*10%,0))</f>
        <v/>
      </c>
      <c r="H116" s="124" t="str">
        <f aca="false">IF(D116="","",15%)</f>
        <v/>
      </c>
      <c r="I116" s="123" t="str">
        <f aca="false">IF(COUNTBLANK(E116:H116)&lt;1,ROUNDUP(SUM(F116:G116)*((100+H116*100)%),0),"")</f>
        <v/>
      </c>
      <c r="J116" s="129"/>
      <c r="K116" s="129"/>
    </row>
    <row r="117" customFormat="false" ht="12.75" hidden="false" customHeight="true" outlineLevel="0" collapsed="false">
      <c r="A117" s="121" t="str">
        <f aca="false">IF(B117="","",CONCATENATE(COUNTA(B$4:B117),"."))</f>
        <v/>
      </c>
      <c r="B117" s="126"/>
      <c r="C117" s="126"/>
      <c r="D117" s="126"/>
      <c r="E117" s="127"/>
      <c r="F117" s="127"/>
      <c r="G117" s="123" t="str">
        <f aca="false">IF(F117="","",ROUNDUP(F117*10%,0))</f>
        <v/>
      </c>
      <c r="H117" s="124" t="str">
        <f aca="false">IF(D117="","",15%)</f>
        <v/>
      </c>
      <c r="I117" s="123" t="str">
        <f aca="false">IF(COUNTBLANK(E117:H117)&lt;1,ROUNDUP(SUM(F117:G117)*((100+H117*100)%),0),"")</f>
        <v/>
      </c>
      <c r="J117" s="129"/>
      <c r="K117" s="129"/>
    </row>
    <row r="118" customFormat="false" ht="12.75" hidden="false" customHeight="true" outlineLevel="0" collapsed="false">
      <c r="A118" s="121" t="str">
        <f aca="false">IF(B118="","",CONCATENATE(COUNTA(B$4:B118),"."))</f>
        <v/>
      </c>
      <c r="B118" s="126"/>
      <c r="C118" s="126"/>
      <c r="D118" s="126"/>
      <c r="E118" s="127"/>
      <c r="F118" s="127"/>
      <c r="G118" s="123" t="str">
        <f aca="false">IF(F118="","",ROUNDUP(F118*10%,0))</f>
        <v/>
      </c>
      <c r="H118" s="124" t="str">
        <f aca="false">IF(D118="","",15%)</f>
        <v/>
      </c>
      <c r="I118" s="123" t="str">
        <f aca="false">IF(COUNTBLANK(E118:H118)&lt;1,ROUNDUP(SUM(F118:G118)*((100+H118*100)%),0),"")</f>
        <v/>
      </c>
      <c r="J118" s="129"/>
      <c r="K118" s="129"/>
    </row>
    <row r="119" customFormat="false" ht="12.75" hidden="false" customHeight="true" outlineLevel="0" collapsed="false">
      <c r="A119" s="121" t="str">
        <f aca="false">IF(B119="","",CONCATENATE(COUNTA(B$4:B119),"."))</f>
        <v/>
      </c>
      <c r="B119" s="126"/>
      <c r="C119" s="126"/>
      <c r="D119" s="126"/>
      <c r="E119" s="127"/>
      <c r="F119" s="127"/>
      <c r="G119" s="123" t="str">
        <f aca="false">IF(F119="","",ROUNDUP(F119*10%,0))</f>
        <v/>
      </c>
      <c r="H119" s="124" t="str">
        <f aca="false">IF(D119="","",15%)</f>
        <v/>
      </c>
      <c r="I119" s="123" t="str">
        <f aca="false">IF(COUNTBLANK(E119:H119)&lt;1,ROUNDUP(SUM(F119:G119)*((100+H119*100)%),0),"")</f>
        <v/>
      </c>
      <c r="J119" s="129"/>
      <c r="K119" s="129"/>
    </row>
    <row r="120" customFormat="false" ht="12.75" hidden="false" customHeight="true" outlineLevel="0" collapsed="false">
      <c r="A120" s="121" t="str">
        <f aca="false">IF(B120="","",CONCATENATE(COUNTA(B$4:B120),"."))</f>
        <v/>
      </c>
      <c r="B120" s="126"/>
      <c r="C120" s="126"/>
      <c r="D120" s="126"/>
      <c r="E120" s="127"/>
      <c r="F120" s="127"/>
      <c r="G120" s="123" t="str">
        <f aca="false">IF(F120="","",ROUNDUP(F120*10%,0))</f>
        <v/>
      </c>
      <c r="H120" s="124" t="str">
        <f aca="false">IF(D120="","",15%)</f>
        <v/>
      </c>
      <c r="I120" s="123" t="str">
        <f aca="false">IF(COUNTBLANK(E120:H120)&lt;1,ROUNDUP(SUM(F120:G120)*((100+H120*100)%),0),"")</f>
        <v/>
      </c>
      <c r="J120" s="129"/>
      <c r="K120" s="129"/>
    </row>
    <row r="121" customFormat="false" ht="12.75" hidden="false" customHeight="true" outlineLevel="0" collapsed="false">
      <c r="A121" s="121" t="str">
        <f aca="false">IF(B121="","",CONCATENATE(COUNTA(B$4:B121),"."))</f>
        <v/>
      </c>
      <c r="B121" s="126"/>
      <c r="C121" s="126"/>
      <c r="D121" s="126"/>
      <c r="E121" s="127"/>
      <c r="F121" s="127"/>
      <c r="G121" s="123" t="str">
        <f aca="false">IF(F121="","",ROUNDUP(F121*10%,0))</f>
        <v/>
      </c>
      <c r="H121" s="124" t="str">
        <f aca="false">IF(D121="","",15%)</f>
        <v/>
      </c>
      <c r="I121" s="123" t="str">
        <f aca="false">IF(COUNTBLANK(E121:H121)&lt;1,ROUNDUP(SUM(F121:G121)*((100+H121*100)%),0),"")</f>
        <v/>
      </c>
      <c r="J121" s="129"/>
      <c r="K121" s="129"/>
    </row>
    <row r="122" customFormat="false" ht="12.75" hidden="false" customHeight="true" outlineLevel="0" collapsed="false">
      <c r="A122" s="121" t="str">
        <f aca="false">IF(B122="","",CONCATENATE(COUNTA(B$4:B122),"."))</f>
        <v/>
      </c>
      <c r="B122" s="126"/>
      <c r="C122" s="126"/>
      <c r="D122" s="126"/>
      <c r="E122" s="127"/>
      <c r="F122" s="127"/>
      <c r="G122" s="123" t="str">
        <f aca="false">IF(F122="","",ROUNDUP(F122*10%,0))</f>
        <v/>
      </c>
      <c r="H122" s="124" t="str">
        <f aca="false">IF(D122="","",15%)</f>
        <v/>
      </c>
      <c r="I122" s="123" t="str">
        <f aca="false">IF(COUNTBLANK(E122:H122)&lt;1,ROUNDUP(SUM(F122:G122)*((100+H122*100)%),0),"")</f>
        <v/>
      </c>
      <c r="J122" s="129"/>
      <c r="K122" s="129"/>
    </row>
    <row r="123" customFormat="false" ht="12.75" hidden="false" customHeight="true" outlineLevel="0" collapsed="false">
      <c r="A123" s="121" t="str">
        <f aca="false">IF(B123="","",CONCATENATE(COUNTA(B$4:B123),"."))</f>
        <v/>
      </c>
      <c r="B123" s="126"/>
      <c r="C123" s="126"/>
      <c r="D123" s="126"/>
      <c r="E123" s="127"/>
      <c r="F123" s="127"/>
      <c r="G123" s="123" t="str">
        <f aca="false">IF(F123="","",ROUNDUP(F123*10%,0))</f>
        <v/>
      </c>
      <c r="H123" s="124" t="str">
        <f aca="false">IF(D123="","",15%)</f>
        <v/>
      </c>
      <c r="I123" s="123" t="str">
        <f aca="false">IF(COUNTBLANK(E123:H123)&lt;1,ROUNDUP(SUM(F123:G123)*((100+H123*100)%),0),"")</f>
        <v/>
      </c>
      <c r="J123" s="129"/>
      <c r="K123" s="129"/>
    </row>
    <row r="124" customFormat="false" ht="12.75" hidden="false" customHeight="true" outlineLevel="0" collapsed="false">
      <c r="A124" s="121" t="str">
        <f aca="false">IF(B124="","",CONCATENATE(COUNTA(B$4:B124),"."))</f>
        <v/>
      </c>
      <c r="B124" s="126"/>
      <c r="C124" s="126"/>
      <c r="D124" s="126"/>
      <c r="E124" s="127"/>
      <c r="F124" s="127"/>
      <c r="G124" s="123" t="str">
        <f aca="false">IF(F124="","",ROUNDUP(F124*10%,0))</f>
        <v/>
      </c>
      <c r="H124" s="124" t="str">
        <f aca="false">IF(D124="","",15%)</f>
        <v/>
      </c>
      <c r="I124" s="123" t="str">
        <f aca="false">IF(COUNTBLANK(E124:H124)&lt;1,ROUNDUP(SUM(F124:G124)*((100+H124*100)%),0),"")</f>
        <v/>
      </c>
      <c r="J124" s="129"/>
      <c r="K124" s="129"/>
    </row>
    <row r="125" customFormat="false" ht="12.75" hidden="false" customHeight="true" outlineLevel="0" collapsed="false">
      <c r="A125" s="121" t="str">
        <f aca="false">IF(B125="","",CONCATENATE(COUNTA(B$4:B125),"."))</f>
        <v/>
      </c>
      <c r="B125" s="126"/>
      <c r="C125" s="126"/>
      <c r="D125" s="126"/>
      <c r="E125" s="127"/>
      <c r="F125" s="127"/>
      <c r="G125" s="123" t="str">
        <f aca="false">IF(F125="","",ROUNDUP(F125*10%,0))</f>
        <v/>
      </c>
      <c r="H125" s="124" t="str">
        <f aca="false">IF(D125="","",15%)</f>
        <v/>
      </c>
      <c r="I125" s="123" t="str">
        <f aca="false">IF(COUNTBLANK(E125:H125)&lt;1,ROUNDUP(SUM(F125:G125)*((100+H125*100)%),0),"")</f>
        <v/>
      </c>
      <c r="J125" s="129"/>
      <c r="K125" s="129"/>
    </row>
    <row r="126" customFormat="false" ht="12.75" hidden="false" customHeight="true" outlineLevel="0" collapsed="false">
      <c r="A126" s="121" t="str">
        <f aca="false">IF(B126="","",CONCATENATE(COUNTA(B$4:B126),"."))</f>
        <v/>
      </c>
      <c r="B126" s="126"/>
      <c r="C126" s="126"/>
      <c r="D126" s="126"/>
      <c r="E126" s="127"/>
      <c r="F126" s="127"/>
      <c r="G126" s="123" t="str">
        <f aca="false">IF(F126="","",ROUNDUP(F126*10%,0))</f>
        <v/>
      </c>
      <c r="H126" s="124" t="str">
        <f aca="false">IF(D126="","",15%)</f>
        <v/>
      </c>
      <c r="I126" s="123" t="str">
        <f aca="false">IF(COUNTBLANK(E126:H126)&lt;1,ROUNDUP(SUM(F126:G126)*((100+H126*100)%),0),"")</f>
        <v/>
      </c>
      <c r="J126" s="129"/>
      <c r="K126" s="129"/>
    </row>
    <row r="127" customFormat="false" ht="12.75" hidden="false" customHeight="true" outlineLevel="0" collapsed="false">
      <c r="A127" s="121" t="str">
        <f aca="false">IF(B127="","",CONCATENATE(COUNTA(B$4:B127),"."))</f>
        <v/>
      </c>
      <c r="B127" s="126"/>
      <c r="C127" s="126"/>
      <c r="D127" s="126"/>
      <c r="E127" s="127"/>
      <c r="F127" s="127"/>
      <c r="G127" s="123" t="str">
        <f aca="false">IF(F127="","",ROUNDUP(F127*10%,0))</f>
        <v/>
      </c>
      <c r="H127" s="124" t="str">
        <f aca="false">IF(D127="","",15%)</f>
        <v/>
      </c>
      <c r="I127" s="123" t="str">
        <f aca="false">IF(COUNTBLANK(E127:H127)&lt;1,ROUNDUP(SUM(F127:G127)*((100+H127*100)%),0),"")</f>
        <v/>
      </c>
      <c r="J127" s="129"/>
      <c r="K127" s="129"/>
    </row>
    <row r="128" customFormat="false" ht="12.75" hidden="false" customHeight="true" outlineLevel="0" collapsed="false">
      <c r="A128" s="121" t="str">
        <f aca="false">IF(B128="","",CONCATENATE(COUNTA(B$4:B128),"."))</f>
        <v/>
      </c>
      <c r="B128" s="126"/>
      <c r="C128" s="126"/>
      <c r="D128" s="126"/>
      <c r="E128" s="127"/>
      <c r="F128" s="127"/>
      <c r="G128" s="123" t="str">
        <f aca="false">IF(F128="","",ROUNDUP(F128*10%,0))</f>
        <v/>
      </c>
      <c r="H128" s="124" t="str">
        <f aca="false">IF(D128="","",15%)</f>
        <v/>
      </c>
      <c r="I128" s="123" t="str">
        <f aca="false">IF(COUNTBLANK(E128:H128)&lt;1,ROUNDUP(SUM(F128:G128)*((100+H128*100)%),0),"")</f>
        <v/>
      </c>
      <c r="J128" s="129"/>
      <c r="K128" s="129"/>
    </row>
    <row r="129" customFormat="false" ht="12.75" hidden="false" customHeight="true" outlineLevel="0" collapsed="false">
      <c r="A129" s="121" t="str">
        <f aca="false">IF(B129="","",CONCATENATE(COUNTA(B$4:B129),"."))</f>
        <v/>
      </c>
      <c r="B129" s="126"/>
      <c r="C129" s="126"/>
      <c r="D129" s="126"/>
      <c r="E129" s="127"/>
      <c r="F129" s="127"/>
      <c r="G129" s="123" t="str">
        <f aca="false">IF(F129="","",ROUNDUP(F129*10%,0))</f>
        <v/>
      </c>
      <c r="H129" s="124" t="str">
        <f aca="false">IF(D129="","",15%)</f>
        <v/>
      </c>
      <c r="I129" s="123" t="str">
        <f aca="false">IF(COUNTBLANK(E129:H129)&lt;1,ROUNDUP(SUM(F129:G129)*((100+H129*100)%),0),"")</f>
        <v/>
      </c>
      <c r="J129" s="129"/>
      <c r="K129" s="129"/>
    </row>
    <row r="130" customFormat="false" ht="12.75" hidden="false" customHeight="true" outlineLevel="0" collapsed="false">
      <c r="A130" s="121" t="str">
        <f aca="false">IF(B130="","",CONCATENATE(COUNTA(B$4:B130),"."))</f>
        <v/>
      </c>
      <c r="B130" s="126"/>
      <c r="C130" s="126"/>
      <c r="D130" s="126"/>
      <c r="E130" s="127"/>
      <c r="F130" s="127"/>
      <c r="G130" s="123" t="str">
        <f aca="false">IF(F130="","",ROUNDUP(F130*10%,0))</f>
        <v/>
      </c>
      <c r="H130" s="124" t="str">
        <f aca="false">IF(D130="","",15%)</f>
        <v/>
      </c>
      <c r="I130" s="123" t="str">
        <f aca="false">IF(COUNTBLANK(E130:H130)&lt;1,ROUNDUP(SUM(F130:G130)*((100+H130*100)%),0),"")</f>
        <v/>
      </c>
      <c r="J130" s="129"/>
      <c r="K130" s="129"/>
    </row>
    <row r="131" customFormat="false" ht="12.75" hidden="false" customHeight="true" outlineLevel="0" collapsed="false">
      <c r="A131" s="121" t="str">
        <f aca="false">IF(B131="","",CONCATENATE(COUNTA(B$4:B131),"."))</f>
        <v/>
      </c>
      <c r="B131" s="126"/>
      <c r="C131" s="126"/>
      <c r="D131" s="126"/>
      <c r="E131" s="127"/>
      <c r="F131" s="127"/>
      <c r="G131" s="123" t="str">
        <f aca="false">IF(F131="","",ROUNDUP(F131*10%,0))</f>
        <v/>
      </c>
      <c r="H131" s="124" t="str">
        <f aca="false">IF(D131="","",15%)</f>
        <v/>
      </c>
      <c r="I131" s="123" t="str">
        <f aca="false">IF(COUNTBLANK(E131:H131)&lt;1,ROUNDUP(SUM(F131:G131)*((100+H131*100)%),0),"")</f>
        <v/>
      </c>
      <c r="J131" s="129"/>
      <c r="K131" s="129"/>
    </row>
    <row r="132" customFormat="false" ht="12.75" hidden="false" customHeight="true" outlineLevel="0" collapsed="false">
      <c r="A132" s="121" t="str">
        <f aca="false">IF(B132="","",CONCATENATE(COUNTA(B$4:B132),"."))</f>
        <v/>
      </c>
      <c r="B132" s="126"/>
      <c r="C132" s="126"/>
      <c r="D132" s="126"/>
      <c r="E132" s="127"/>
      <c r="F132" s="127"/>
      <c r="G132" s="123" t="str">
        <f aca="false">IF(F132="","",ROUNDUP(F132*10%,0))</f>
        <v/>
      </c>
      <c r="H132" s="124" t="str">
        <f aca="false">IF(D132="","",15%)</f>
        <v/>
      </c>
      <c r="I132" s="123" t="str">
        <f aca="false">IF(COUNTBLANK(E132:H132)&lt;1,ROUNDUP(SUM(F132:G132)*((100+H132*100)%),0),"")</f>
        <v/>
      </c>
      <c r="J132" s="129"/>
      <c r="K132" s="129"/>
    </row>
    <row r="133" customFormat="false" ht="12.75" hidden="false" customHeight="true" outlineLevel="0" collapsed="false">
      <c r="A133" s="121" t="str">
        <f aca="false">IF(B133="","",CONCATENATE(COUNTA(B$4:B133),"."))</f>
        <v/>
      </c>
      <c r="B133" s="126"/>
      <c r="C133" s="126"/>
      <c r="D133" s="126"/>
      <c r="E133" s="127"/>
      <c r="F133" s="127"/>
      <c r="G133" s="123" t="str">
        <f aca="false">IF(F133="","",ROUNDUP(F133*10%,0))</f>
        <v/>
      </c>
      <c r="H133" s="124" t="str">
        <f aca="false">IF(D133="","",15%)</f>
        <v/>
      </c>
      <c r="I133" s="123" t="str">
        <f aca="false">IF(COUNTBLANK(E133:H133)&lt;1,ROUNDUP(SUM(F133:G133)*((100+H133*100)%),0),"")</f>
        <v/>
      </c>
      <c r="J133" s="129"/>
      <c r="K133" s="129"/>
    </row>
    <row r="134" customFormat="false" ht="12.75" hidden="false" customHeight="true" outlineLevel="0" collapsed="false">
      <c r="A134" s="121" t="str">
        <f aca="false">IF(B134="","",CONCATENATE(COUNTA(B$4:B134),"."))</f>
        <v/>
      </c>
      <c r="B134" s="126"/>
      <c r="C134" s="126"/>
      <c r="D134" s="126"/>
      <c r="E134" s="127"/>
      <c r="F134" s="127"/>
      <c r="G134" s="123" t="str">
        <f aca="false">IF(F134="","",ROUNDUP(F134*10%,0))</f>
        <v/>
      </c>
      <c r="H134" s="124" t="str">
        <f aca="false">IF(D134="","",15%)</f>
        <v/>
      </c>
      <c r="I134" s="123" t="str">
        <f aca="false">IF(COUNTBLANK(E134:H134)&lt;1,ROUNDUP(SUM(F134:G134)*((100+H134*100)%),0),"")</f>
        <v/>
      </c>
      <c r="J134" s="129"/>
      <c r="K134" s="129"/>
    </row>
    <row r="135" customFormat="false" ht="12.75" hidden="false" customHeight="true" outlineLevel="0" collapsed="false">
      <c r="A135" s="121" t="str">
        <f aca="false">IF(B135="","",CONCATENATE(COUNTA(B$4:B135),"."))</f>
        <v/>
      </c>
      <c r="B135" s="126"/>
      <c r="C135" s="126"/>
      <c r="D135" s="126"/>
      <c r="E135" s="127"/>
      <c r="F135" s="127"/>
      <c r="G135" s="123" t="str">
        <f aca="false">IF(F135="","",ROUNDUP(F135*10%,0))</f>
        <v/>
      </c>
      <c r="H135" s="124" t="str">
        <f aca="false">IF(D135="","",15%)</f>
        <v/>
      </c>
      <c r="I135" s="123" t="str">
        <f aca="false">IF(COUNTBLANK(E135:H135)&lt;1,ROUNDUP(SUM(F135:G135)*((100+H135*100)%),0),"")</f>
        <v/>
      </c>
      <c r="J135" s="129"/>
      <c r="K135" s="129"/>
    </row>
    <row r="136" customFormat="false" ht="12.75" hidden="false" customHeight="true" outlineLevel="0" collapsed="false">
      <c r="A136" s="121" t="str">
        <f aca="false">IF(B136="","",CONCATENATE(COUNTA(B$4:B136),"."))</f>
        <v/>
      </c>
      <c r="B136" s="126"/>
      <c r="C136" s="126"/>
      <c r="D136" s="126"/>
      <c r="E136" s="127"/>
      <c r="F136" s="127"/>
      <c r="G136" s="123" t="str">
        <f aca="false">IF(F136="","",ROUNDUP(F136*10%,0))</f>
        <v/>
      </c>
      <c r="H136" s="124" t="str">
        <f aca="false">IF(D136="","",15%)</f>
        <v/>
      </c>
      <c r="I136" s="123" t="str">
        <f aca="false">IF(COUNTBLANK(E136:H136)&lt;1,ROUNDUP(SUM(F136:G136)*((100+H136*100)%),0),"")</f>
        <v/>
      </c>
      <c r="J136" s="129"/>
      <c r="K136" s="129"/>
    </row>
    <row r="137" customFormat="false" ht="12.75" hidden="false" customHeight="true" outlineLevel="0" collapsed="false">
      <c r="A137" s="121" t="str">
        <f aca="false">IF(B137="","",CONCATENATE(COUNTA(B$4:B137),"."))</f>
        <v/>
      </c>
      <c r="B137" s="126"/>
      <c r="C137" s="126"/>
      <c r="D137" s="126"/>
      <c r="E137" s="127"/>
      <c r="F137" s="127"/>
      <c r="G137" s="123" t="str">
        <f aca="false">IF(F137="","",ROUNDUP(F137*10%,0))</f>
        <v/>
      </c>
      <c r="H137" s="124" t="str">
        <f aca="false">IF(D137="","",15%)</f>
        <v/>
      </c>
      <c r="I137" s="123" t="str">
        <f aca="false">IF(COUNTBLANK(E137:H137)&lt;1,ROUNDUP(SUM(F137:G137)*((100+H137*100)%),0),"")</f>
        <v/>
      </c>
      <c r="J137" s="129"/>
      <c r="K137" s="129"/>
    </row>
    <row r="138" customFormat="false" ht="12.75" hidden="false" customHeight="true" outlineLevel="0" collapsed="false">
      <c r="A138" s="121" t="str">
        <f aca="false">IF(B138="","",CONCATENATE(COUNTA(B$4:B138),"."))</f>
        <v/>
      </c>
      <c r="B138" s="126"/>
      <c r="C138" s="126"/>
      <c r="D138" s="126"/>
      <c r="E138" s="127"/>
      <c r="F138" s="127"/>
      <c r="G138" s="123" t="str">
        <f aca="false">IF(F138="","",ROUNDUP(F138*10%,0))</f>
        <v/>
      </c>
      <c r="H138" s="124" t="str">
        <f aca="false">IF(D138="","",15%)</f>
        <v/>
      </c>
      <c r="I138" s="123" t="str">
        <f aca="false">IF(COUNTBLANK(E138:H138)&lt;1,ROUNDUP(SUM(F138:G138)*((100+H138*100)%),0),"")</f>
        <v/>
      </c>
      <c r="J138" s="129"/>
      <c r="K138" s="129"/>
    </row>
    <row r="139" customFormat="false" ht="12.75" hidden="false" customHeight="true" outlineLevel="0" collapsed="false">
      <c r="A139" s="121" t="str">
        <f aca="false">IF(B139="","",CONCATENATE(COUNTA(B$4:B139),"."))</f>
        <v/>
      </c>
      <c r="B139" s="126"/>
      <c r="C139" s="126"/>
      <c r="D139" s="126"/>
      <c r="E139" s="127"/>
      <c r="F139" s="127"/>
      <c r="G139" s="123" t="str">
        <f aca="false">IF(F139="","",ROUNDUP(F139*10%,0))</f>
        <v/>
      </c>
      <c r="H139" s="124" t="str">
        <f aca="false">IF(D139="","",15%)</f>
        <v/>
      </c>
      <c r="I139" s="123" t="str">
        <f aca="false">IF(COUNTBLANK(E139:H139)&lt;1,ROUNDUP(SUM(F139:G139)*((100+H139*100)%),0),"")</f>
        <v/>
      </c>
      <c r="J139" s="129"/>
      <c r="K139" s="129"/>
    </row>
    <row r="140" customFormat="false" ht="12.75" hidden="false" customHeight="true" outlineLevel="0" collapsed="false">
      <c r="A140" s="121" t="str">
        <f aca="false">IF(B140="","",CONCATENATE(COUNTA(B$4:B140),"."))</f>
        <v/>
      </c>
      <c r="B140" s="126"/>
      <c r="C140" s="126"/>
      <c r="D140" s="126"/>
      <c r="E140" s="127"/>
      <c r="F140" s="127"/>
      <c r="G140" s="123" t="str">
        <f aca="false">IF(F140="","",ROUNDUP(F140*10%,0))</f>
        <v/>
      </c>
      <c r="H140" s="124" t="str">
        <f aca="false">IF(D140="","",15%)</f>
        <v/>
      </c>
      <c r="I140" s="123" t="str">
        <f aca="false">IF(COUNTBLANK(E140:H140)&lt;1,ROUNDUP(SUM(F140:G140)*((100+H140*100)%),0),"")</f>
        <v/>
      </c>
      <c r="J140" s="129"/>
      <c r="K140" s="129"/>
    </row>
    <row r="141" customFormat="false" ht="12.75" hidden="false" customHeight="true" outlineLevel="0" collapsed="false">
      <c r="A141" s="121" t="str">
        <f aca="false">IF(B141="","",CONCATENATE(COUNTA(B$4:B141),"."))</f>
        <v/>
      </c>
      <c r="B141" s="126"/>
      <c r="C141" s="126"/>
      <c r="D141" s="126"/>
      <c r="E141" s="127"/>
      <c r="F141" s="127"/>
      <c r="G141" s="123" t="str">
        <f aca="false">IF(F141="","",ROUNDUP(F141*10%,0))</f>
        <v/>
      </c>
      <c r="H141" s="124" t="str">
        <f aca="false">IF(D141="","",15%)</f>
        <v/>
      </c>
      <c r="I141" s="123" t="str">
        <f aca="false">IF(COUNTBLANK(E141:H141)&lt;1,ROUNDUP(SUM(F141:G141)*((100+H141*100)%),0),"")</f>
        <v/>
      </c>
      <c r="J141" s="129"/>
      <c r="K141" s="129"/>
    </row>
    <row r="142" customFormat="false" ht="12.75" hidden="false" customHeight="true" outlineLevel="0" collapsed="false">
      <c r="A142" s="121" t="str">
        <f aca="false">IF(B142="","",CONCATENATE(COUNTA(B$4:B142),"."))</f>
        <v/>
      </c>
      <c r="B142" s="126"/>
      <c r="C142" s="126"/>
      <c r="D142" s="126"/>
      <c r="E142" s="127"/>
      <c r="F142" s="127"/>
      <c r="G142" s="123" t="str">
        <f aca="false">IF(F142="","",ROUNDUP(F142*10%,0))</f>
        <v/>
      </c>
      <c r="H142" s="124" t="str">
        <f aca="false">IF(D142="","",15%)</f>
        <v/>
      </c>
      <c r="I142" s="123" t="str">
        <f aca="false">IF(COUNTBLANK(E142:H142)&lt;1,ROUNDUP(SUM(F142:G142)*((100+H142*100)%),0),"")</f>
        <v/>
      </c>
      <c r="J142" s="129"/>
      <c r="K142" s="129"/>
    </row>
    <row r="143" customFormat="false" ht="12.75" hidden="false" customHeight="true" outlineLevel="0" collapsed="false">
      <c r="A143" s="121" t="str">
        <f aca="false">IF(B143="","",CONCATENATE(COUNTA(B$4:B143),"."))</f>
        <v/>
      </c>
      <c r="B143" s="126"/>
      <c r="C143" s="126"/>
      <c r="D143" s="126"/>
      <c r="E143" s="127"/>
      <c r="F143" s="127"/>
      <c r="G143" s="123" t="str">
        <f aca="false">IF(F143="","",ROUNDUP(F143*10%,0))</f>
        <v/>
      </c>
      <c r="H143" s="124" t="str">
        <f aca="false">IF(D143="","",15%)</f>
        <v/>
      </c>
      <c r="I143" s="123" t="str">
        <f aca="false">IF(COUNTBLANK(E143:H143)&lt;1,ROUNDUP(SUM(F143:G143)*((100+H143*100)%),0),"")</f>
        <v/>
      </c>
      <c r="J143" s="129"/>
      <c r="K143" s="129"/>
    </row>
    <row r="144" customFormat="false" ht="12.75" hidden="false" customHeight="true" outlineLevel="0" collapsed="false">
      <c r="A144" s="121" t="str">
        <f aca="false">IF(B144="","",CONCATENATE(COUNTA(B$4:B144),"."))</f>
        <v/>
      </c>
      <c r="B144" s="126"/>
      <c r="C144" s="126"/>
      <c r="D144" s="126"/>
      <c r="E144" s="127"/>
      <c r="F144" s="127"/>
      <c r="G144" s="123" t="str">
        <f aca="false">IF(F144="","",ROUNDUP(F144*10%,0))</f>
        <v/>
      </c>
      <c r="H144" s="124" t="str">
        <f aca="false">IF(D144="","",15%)</f>
        <v/>
      </c>
      <c r="I144" s="123" t="str">
        <f aca="false">IF(COUNTBLANK(E144:H144)&lt;1,ROUNDUP(SUM(F144:G144)*((100+H144*100)%),0),"")</f>
        <v/>
      </c>
      <c r="J144" s="129"/>
      <c r="K144" s="129"/>
    </row>
    <row r="145" customFormat="false" ht="12.75" hidden="false" customHeight="true" outlineLevel="0" collapsed="false">
      <c r="A145" s="121" t="str">
        <f aca="false">IF(B145="","",CONCATENATE(COUNTA(B$4:B145),"."))</f>
        <v/>
      </c>
      <c r="B145" s="126"/>
      <c r="C145" s="126"/>
      <c r="D145" s="126"/>
      <c r="E145" s="127"/>
      <c r="F145" s="127"/>
      <c r="G145" s="123" t="str">
        <f aca="false">IF(F145="","",ROUNDUP(F145*10%,0))</f>
        <v/>
      </c>
      <c r="H145" s="124" t="str">
        <f aca="false">IF(D145="","",15%)</f>
        <v/>
      </c>
      <c r="I145" s="123" t="str">
        <f aca="false">IF(COUNTBLANK(E145:H145)&lt;1,ROUNDUP(SUM(F145:G145)*((100+H145*100)%),0),"")</f>
        <v/>
      </c>
      <c r="J145" s="129"/>
      <c r="K145" s="129"/>
    </row>
    <row r="146" customFormat="false" ht="12.75" hidden="false" customHeight="true" outlineLevel="0" collapsed="false">
      <c r="A146" s="121" t="str">
        <f aca="false">IF(B146="","",CONCATENATE(COUNTA(B$4:B146),"."))</f>
        <v/>
      </c>
      <c r="B146" s="126"/>
      <c r="C146" s="126"/>
      <c r="D146" s="126"/>
      <c r="E146" s="127"/>
      <c r="F146" s="127"/>
      <c r="G146" s="123" t="str">
        <f aca="false">IF(F146="","",ROUNDUP(F146*10%,0))</f>
        <v/>
      </c>
      <c r="H146" s="124" t="str">
        <f aca="false">IF(D146="","",15%)</f>
        <v/>
      </c>
      <c r="I146" s="123" t="str">
        <f aca="false">IF(COUNTBLANK(E146:H146)&lt;1,ROUNDUP(SUM(F146:G146)*((100+H146*100)%),0),"")</f>
        <v/>
      </c>
      <c r="J146" s="129"/>
      <c r="K146" s="129"/>
    </row>
    <row r="147" customFormat="false" ht="12.75" hidden="false" customHeight="true" outlineLevel="0" collapsed="false">
      <c r="A147" s="121" t="str">
        <f aca="false">IF(B147="","",CONCATENATE(COUNTA(B$4:B147),"."))</f>
        <v/>
      </c>
      <c r="B147" s="126"/>
      <c r="C147" s="126"/>
      <c r="D147" s="126"/>
      <c r="E147" s="127"/>
      <c r="F147" s="127"/>
      <c r="G147" s="123" t="str">
        <f aca="false">IF(F147="","",ROUNDUP(F147*10%,0))</f>
        <v/>
      </c>
      <c r="H147" s="124" t="str">
        <f aca="false">IF(D147="","",15%)</f>
        <v/>
      </c>
      <c r="I147" s="123" t="str">
        <f aca="false">IF(COUNTBLANK(E147:H147)&lt;1,ROUNDUP(SUM(F147:G147)*((100+H147*100)%),0),"")</f>
        <v/>
      </c>
      <c r="J147" s="129"/>
      <c r="K147" s="129"/>
    </row>
    <row r="148" customFormat="false" ht="12.75" hidden="false" customHeight="true" outlineLevel="0" collapsed="false">
      <c r="A148" s="121" t="str">
        <f aca="false">IF(B148="","",CONCATENATE(COUNTA(B$4:B148),"."))</f>
        <v/>
      </c>
      <c r="B148" s="126"/>
      <c r="C148" s="126"/>
      <c r="D148" s="126"/>
      <c r="E148" s="127"/>
      <c r="F148" s="127"/>
      <c r="G148" s="123" t="str">
        <f aca="false">IF(F148="","",ROUNDUP(F148*10%,0))</f>
        <v/>
      </c>
      <c r="H148" s="124" t="str">
        <f aca="false">IF(D148="","",15%)</f>
        <v/>
      </c>
      <c r="I148" s="123" t="str">
        <f aca="false">IF(COUNTBLANK(E148:H148)&lt;1,ROUNDUP(SUM(F148:G148)*((100+H148*100)%),0),"")</f>
        <v/>
      </c>
      <c r="J148" s="129"/>
      <c r="K148" s="129"/>
    </row>
    <row r="149" customFormat="false" ht="12.75" hidden="false" customHeight="true" outlineLevel="0" collapsed="false">
      <c r="A149" s="121" t="str">
        <f aca="false">IF(B149="","",CONCATENATE(COUNTA(B$4:B149),"."))</f>
        <v/>
      </c>
      <c r="B149" s="126"/>
      <c r="C149" s="126"/>
      <c r="D149" s="126"/>
      <c r="E149" s="127"/>
      <c r="F149" s="127"/>
      <c r="G149" s="123" t="str">
        <f aca="false">IF(F149="","",ROUNDUP(F149*10%,0))</f>
        <v/>
      </c>
      <c r="H149" s="124" t="str">
        <f aca="false">IF(D149="","",15%)</f>
        <v/>
      </c>
      <c r="I149" s="123" t="str">
        <f aca="false">IF(COUNTBLANK(E149:H149)&lt;1,ROUNDUP(SUM(F149:G149)*((100+H149*100)%),0),"")</f>
        <v/>
      </c>
      <c r="J149" s="129"/>
      <c r="K149" s="129"/>
    </row>
    <row r="150" customFormat="false" ht="12.75" hidden="false" customHeight="true" outlineLevel="0" collapsed="false">
      <c r="A150" s="121" t="str">
        <f aca="false">IF(B150="","",CONCATENATE(COUNTA(B$4:B150),"."))</f>
        <v/>
      </c>
      <c r="B150" s="126"/>
      <c r="C150" s="126"/>
      <c r="D150" s="126"/>
      <c r="E150" s="127"/>
      <c r="F150" s="127"/>
      <c r="G150" s="123" t="str">
        <f aca="false">IF(F150="","",ROUNDUP(F150*10%,0))</f>
        <v/>
      </c>
      <c r="H150" s="124" t="str">
        <f aca="false">IF(D150="","",15%)</f>
        <v/>
      </c>
      <c r="I150" s="123" t="str">
        <f aca="false">IF(COUNTBLANK(E150:H150)&lt;1,ROUNDUP(SUM(F150:G150)*((100+H150*100)%),0),"")</f>
        <v/>
      </c>
      <c r="J150" s="129"/>
      <c r="K150" s="129"/>
    </row>
    <row r="151" customFormat="false" ht="12.75" hidden="false" customHeight="true" outlineLevel="0" collapsed="false">
      <c r="A151" s="121" t="str">
        <f aca="false">IF(B151="","",CONCATENATE(COUNTA(B$4:B151),"."))</f>
        <v/>
      </c>
      <c r="B151" s="126"/>
      <c r="C151" s="126"/>
      <c r="D151" s="126"/>
      <c r="E151" s="127"/>
      <c r="F151" s="127"/>
      <c r="G151" s="123" t="str">
        <f aca="false">IF(F151="","",ROUNDUP(F151*10%,0))</f>
        <v/>
      </c>
      <c r="H151" s="124" t="str">
        <f aca="false">IF(D151="","",15%)</f>
        <v/>
      </c>
      <c r="I151" s="123" t="str">
        <f aca="false">IF(COUNTBLANK(E151:H151)&lt;1,ROUNDUP(SUM(F151:G151)*((100+H151*100)%),0),"")</f>
        <v/>
      </c>
      <c r="J151" s="129"/>
      <c r="K151" s="129"/>
    </row>
    <row r="152" customFormat="false" ht="12.75" hidden="false" customHeight="true" outlineLevel="0" collapsed="false">
      <c r="A152" s="121" t="str">
        <f aca="false">IF(B152="","",CONCATENATE(COUNTA(B$4:B152),"."))</f>
        <v/>
      </c>
      <c r="B152" s="126"/>
      <c r="C152" s="126"/>
      <c r="D152" s="126"/>
      <c r="E152" s="127"/>
      <c r="F152" s="127"/>
      <c r="G152" s="123" t="str">
        <f aca="false">IF(F152="","",ROUNDUP(F152*10%,0))</f>
        <v/>
      </c>
      <c r="H152" s="124" t="str">
        <f aca="false">IF(D152="","",15%)</f>
        <v/>
      </c>
      <c r="I152" s="123" t="str">
        <f aca="false">IF(COUNTBLANK(E152:H152)&lt;1,ROUNDUP(SUM(F152:G152)*((100+H152*100)%),0),"")</f>
        <v/>
      </c>
      <c r="J152" s="129"/>
      <c r="K152" s="129"/>
    </row>
    <row r="153" customFormat="false" ht="12.75" hidden="false" customHeight="true" outlineLevel="0" collapsed="false">
      <c r="A153" s="121" t="str">
        <f aca="false">IF(B153="","",CONCATENATE(COUNTA(B$4:B153),"."))</f>
        <v/>
      </c>
      <c r="B153" s="126"/>
      <c r="C153" s="126"/>
      <c r="D153" s="126"/>
      <c r="E153" s="127"/>
      <c r="F153" s="127"/>
      <c r="G153" s="123" t="str">
        <f aca="false">IF(F153="","",ROUNDUP(F153*10%,0))</f>
        <v/>
      </c>
      <c r="H153" s="124" t="str">
        <f aca="false">IF(D153="","",15%)</f>
        <v/>
      </c>
      <c r="I153" s="123" t="str">
        <f aca="false">IF(COUNTBLANK(E153:H153)&lt;1,ROUNDUP(SUM(F153:G153)*((100+H153*100)%),0),"")</f>
        <v/>
      </c>
      <c r="J153" s="129"/>
      <c r="K153" s="129"/>
    </row>
    <row r="154" customFormat="false" ht="12.75" hidden="false" customHeight="true" outlineLevel="0" collapsed="false">
      <c r="A154" s="121" t="str">
        <f aca="false">IF(B154="","",CONCATENATE(COUNTA(B$4:B154),"."))</f>
        <v/>
      </c>
      <c r="B154" s="126"/>
      <c r="C154" s="126"/>
      <c r="D154" s="126"/>
      <c r="E154" s="127"/>
      <c r="F154" s="127"/>
      <c r="G154" s="123" t="str">
        <f aca="false">IF(F154="","",ROUNDUP(F154*10%,0))</f>
        <v/>
      </c>
      <c r="H154" s="124" t="str">
        <f aca="false">IF(D154="","",15%)</f>
        <v/>
      </c>
      <c r="I154" s="123" t="str">
        <f aca="false">IF(COUNTBLANK(E154:H154)&lt;1,ROUNDUP(SUM(F154:G154)*((100+H154*100)%),0),"")</f>
        <v/>
      </c>
      <c r="J154" s="129"/>
      <c r="K154" s="129"/>
    </row>
    <row r="155" customFormat="false" ht="12.75" hidden="false" customHeight="true" outlineLevel="0" collapsed="false">
      <c r="A155" s="121" t="str">
        <f aca="false">IF(B155="","",CONCATENATE(COUNTA(B$4:B155),"."))</f>
        <v/>
      </c>
      <c r="B155" s="126"/>
      <c r="C155" s="126"/>
      <c r="D155" s="126"/>
      <c r="E155" s="127"/>
      <c r="F155" s="127"/>
      <c r="G155" s="123" t="str">
        <f aca="false">IF(F155="","",ROUNDUP(F155*10%,0))</f>
        <v/>
      </c>
      <c r="H155" s="124" t="str">
        <f aca="false">IF(D155="","",15%)</f>
        <v/>
      </c>
      <c r="I155" s="123" t="str">
        <f aca="false">IF(COUNTBLANK(E155:H155)&lt;1,ROUNDUP(SUM(F155:G155)*((100+H155*100)%),0),"")</f>
        <v/>
      </c>
      <c r="J155" s="129"/>
      <c r="K155" s="129"/>
    </row>
    <row r="156" customFormat="false" ht="12.75" hidden="false" customHeight="true" outlineLevel="0" collapsed="false">
      <c r="A156" s="121" t="str">
        <f aca="false">IF(B156="","",CONCATENATE(COUNTA(B$4:B156),"."))</f>
        <v/>
      </c>
      <c r="B156" s="126"/>
      <c r="C156" s="126"/>
      <c r="D156" s="126"/>
      <c r="E156" s="127"/>
      <c r="F156" s="127"/>
      <c r="G156" s="123" t="str">
        <f aca="false">IF(F156="","",ROUNDUP(F156*10%,0))</f>
        <v/>
      </c>
      <c r="H156" s="124" t="str">
        <f aca="false">IF(D156="","",15%)</f>
        <v/>
      </c>
      <c r="I156" s="123" t="str">
        <f aca="false">IF(COUNTBLANK(E156:H156)&lt;1,ROUNDUP(SUM(F156:G156)*((100+H156*100)%),0),"")</f>
        <v/>
      </c>
      <c r="J156" s="129"/>
      <c r="K156" s="129"/>
    </row>
    <row r="157" customFormat="false" ht="12.75" hidden="false" customHeight="true" outlineLevel="0" collapsed="false">
      <c r="A157" s="121" t="str">
        <f aca="false">IF(B157="","",CONCATENATE(COUNTA(B$4:B157),"."))</f>
        <v/>
      </c>
      <c r="B157" s="126"/>
      <c r="C157" s="126"/>
      <c r="D157" s="126"/>
      <c r="E157" s="127"/>
      <c r="F157" s="127"/>
      <c r="G157" s="123" t="str">
        <f aca="false">IF(F157="","",ROUNDUP(F157*10%,0))</f>
        <v/>
      </c>
      <c r="H157" s="124" t="str">
        <f aca="false">IF(D157="","",15%)</f>
        <v/>
      </c>
      <c r="I157" s="123" t="str">
        <f aca="false">IF(COUNTBLANK(E157:H157)&lt;1,ROUNDUP(SUM(F157:G157)*((100+H157*100)%),0),"")</f>
        <v/>
      </c>
      <c r="J157" s="129"/>
      <c r="K157" s="129"/>
    </row>
    <row r="158" customFormat="false" ht="12.75" hidden="false" customHeight="true" outlineLevel="0" collapsed="false">
      <c r="A158" s="121" t="str">
        <f aca="false">IF(B158="","",CONCATENATE(COUNTA(B$4:B158),"."))</f>
        <v/>
      </c>
      <c r="B158" s="126"/>
      <c r="C158" s="126"/>
      <c r="D158" s="126"/>
      <c r="E158" s="127"/>
      <c r="F158" s="127"/>
      <c r="G158" s="123" t="str">
        <f aca="false">IF(F158="","",ROUNDUP(F158*10%,0))</f>
        <v/>
      </c>
      <c r="H158" s="124" t="str">
        <f aca="false">IF(D158="","",15%)</f>
        <v/>
      </c>
      <c r="I158" s="123" t="str">
        <f aca="false">IF(COUNTBLANK(E158:H158)&lt;1,ROUNDUP(SUM(F158:G158)*((100+H158*100)%),0),"")</f>
        <v/>
      </c>
      <c r="J158" s="129"/>
      <c r="K158" s="129"/>
    </row>
    <row r="159" customFormat="false" ht="12.75" hidden="false" customHeight="true" outlineLevel="0" collapsed="false">
      <c r="A159" s="121" t="str">
        <f aca="false">IF(B159="","",CONCATENATE(COUNTA(B$4:B159),"."))</f>
        <v/>
      </c>
      <c r="B159" s="126"/>
      <c r="C159" s="126"/>
      <c r="D159" s="126"/>
      <c r="E159" s="127"/>
      <c r="F159" s="127"/>
      <c r="G159" s="123" t="str">
        <f aca="false">IF(F159="","",ROUNDUP(F159*10%,0))</f>
        <v/>
      </c>
      <c r="H159" s="124" t="str">
        <f aca="false">IF(D159="","",15%)</f>
        <v/>
      </c>
      <c r="I159" s="123" t="str">
        <f aca="false">IF(COUNTBLANK(E159:H159)&lt;1,ROUNDUP(SUM(F159:G159)*((100+H159*100)%),0),"")</f>
        <v/>
      </c>
      <c r="J159" s="129"/>
      <c r="K159" s="129"/>
    </row>
    <row r="160" customFormat="false" ht="12.75" hidden="false" customHeight="true" outlineLevel="0" collapsed="false">
      <c r="A160" s="121" t="str">
        <f aca="false">IF(B160="","",CONCATENATE(COUNTA(B$4:B160),"."))</f>
        <v/>
      </c>
      <c r="B160" s="126"/>
      <c r="C160" s="126"/>
      <c r="D160" s="126"/>
      <c r="E160" s="127"/>
      <c r="F160" s="127"/>
      <c r="G160" s="123" t="str">
        <f aca="false">IF(F160="","",ROUNDUP(F160*10%,0))</f>
        <v/>
      </c>
      <c r="H160" s="124" t="str">
        <f aca="false">IF(D160="","",15%)</f>
        <v/>
      </c>
      <c r="I160" s="123" t="str">
        <f aca="false">IF(COUNTBLANK(E160:H160)&lt;1,ROUNDUP(SUM(F160:G160)*((100+H160*100)%),0),"")</f>
        <v/>
      </c>
      <c r="J160" s="129"/>
      <c r="K160" s="129"/>
    </row>
    <row r="161" customFormat="false" ht="12.75" hidden="false" customHeight="true" outlineLevel="0" collapsed="false">
      <c r="A161" s="121" t="str">
        <f aca="false">IF(B161="","",CONCATENATE(COUNTA(B$4:B161),"."))</f>
        <v/>
      </c>
      <c r="B161" s="126"/>
      <c r="C161" s="126"/>
      <c r="D161" s="126"/>
      <c r="E161" s="127"/>
      <c r="F161" s="127"/>
      <c r="G161" s="123" t="str">
        <f aca="false">IF(F161="","",ROUNDUP(F161*10%,0))</f>
        <v/>
      </c>
      <c r="H161" s="124" t="str">
        <f aca="false">IF(D161="","",15%)</f>
        <v/>
      </c>
      <c r="I161" s="123" t="str">
        <f aca="false">IF(COUNTBLANK(E161:H161)&lt;1,ROUNDUP(SUM(F161:G161)*((100+H161*100)%),0),"")</f>
        <v/>
      </c>
      <c r="J161" s="129"/>
      <c r="K161" s="129"/>
    </row>
    <row r="162" customFormat="false" ht="12.75" hidden="false" customHeight="true" outlineLevel="0" collapsed="false">
      <c r="A162" s="121" t="str">
        <f aca="false">IF(B162="","",CONCATENATE(COUNTA(B$4:B162),"."))</f>
        <v/>
      </c>
      <c r="B162" s="126"/>
      <c r="C162" s="126"/>
      <c r="D162" s="126"/>
      <c r="E162" s="127"/>
      <c r="F162" s="127"/>
      <c r="G162" s="123" t="str">
        <f aca="false">IF(F162="","",ROUNDUP(F162*10%,0))</f>
        <v/>
      </c>
      <c r="H162" s="124" t="str">
        <f aca="false">IF(D162="","",15%)</f>
        <v/>
      </c>
      <c r="I162" s="123" t="str">
        <f aca="false">IF(COUNTBLANK(E162:H162)&lt;1,ROUNDUP(SUM(F162:G162)*((100+H162*100)%),0),"")</f>
        <v/>
      </c>
      <c r="J162" s="129"/>
      <c r="K162" s="129"/>
    </row>
    <row r="163" customFormat="false" ht="12.75" hidden="false" customHeight="true" outlineLevel="0" collapsed="false">
      <c r="A163" s="121" t="str">
        <f aca="false">IF(B163="","",CONCATENATE(COUNTA(B$4:B163),"."))</f>
        <v/>
      </c>
      <c r="B163" s="126"/>
      <c r="C163" s="126"/>
      <c r="D163" s="126"/>
      <c r="E163" s="127"/>
      <c r="F163" s="127"/>
      <c r="G163" s="123" t="str">
        <f aca="false">IF(F163="","",ROUNDUP(F163*10%,0))</f>
        <v/>
      </c>
      <c r="H163" s="124" t="str">
        <f aca="false">IF(D163="","",15%)</f>
        <v/>
      </c>
      <c r="I163" s="123" t="str">
        <f aca="false">IF(COUNTBLANK(E163:H163)&lt;1,ROUNDUP(SUM(F163:G163)*((100+H163*100)%),0),"")</f>
        <v/>
      </c>
      <c r="J163" s="129"/>
      <c r="K163" s="129"/>
    </row>
    <row r="164" customFormat="false" ht="12.75" hidden="false" customHeight="true" outlineLevel="0" collapsed="false">
      <c r="A164" s="121" t="str">
        <f aca="false">IF(B164="","",CONCATENATE(COUNTA(B$4:B164),"."))</f>
        <v/>
      </c>
      <c r="B164" s="126"/>
      <c r="C164" s="126"/>
      <c r="D164" s="126"/>
      <c r="E164" s="127"/>
      <c r="F164" s="127"/>
      <c r="G164" s="123" t="str">
        <f aca="false">IF(F164="","",ROUNDUP(F164*10%,0))</f>
        <v/>
      </c>
      <c r="H164" s="124" t="str">
        <f aca="false">IF(D164="","",15%)</f>
        <v/>
      </c>
      <c r="I164" s="123" t="str">
        <f aca="false">IF(COUNTBLANK(E164:H164)&lt;1,ROUNDUP(SUM(F164:G164)*((100+H164*100)%),0),"")</f>
        <v/>
      </c>
      <c r="J164" s="129"/>
      <c r="K164" s="129"/>
    </row>
    <row r="165" customFormat="false" ht="12.75" hidden="false" customHeight="true" outlineLevel="0" collapsed="false">
      <c r="A165" s="121" t="str">
        <f aca="false">IF(B165="","",CONCATENATE(COUNTA(B$4:B165),"."))</f>
        <v/>
      </c>
      <c r="B165" s="126"/>
      <c r="C165" s="126"/>
      <c r="D165" s="126"/>
      <c r="E165" s="127"/>
      <c r="F165" s="127"/>
      <c r="G165" s="123" t="str">
        <f aca="false">IF(F165="","",ROUNDUP(F165*10%,0))</f>
        <v/>
      </c>
      <c r="H165" s="124" t="str">
        <f aca="false">IF(D165="","",15%)</f>
        <v/>
      </c>
      <c r="I165" s="123" t="str">
        <f aca="false">IF(COUNTBLANK(E165:H165)&lt;1,ROUNDUP(SUM(F165:G165)*((100+H165*100)%),0),"")</f>
        <v/>
      </c>
      <c r="J165" s="129"/>
      <c r="K165" s="129"/>
    </row>
    <row r="166" customFormat="false" ht="12.75" hidden="false" customHeight="true" outlineLevel="0" collapsed="false">
      <c r="A166" s="121" t="str">
        <f aca="false">IF(B166="","",CONCATENATE(COUNTA(B$4:B166),"."))</f>
        <v/>
      </c>
      <c r="B166" s="126"/>
      <c r="C166" s="126"/>
      <c r="D166" s="126"/>
      <c r="E166" s="127"/>
      <c r="F166" s="127"/>
      <c r="G166" s="123" t="str">
        <f aca="false">IF(F166="","",ROUNDUP(F166*10%,0))</f>
        <v/>
      </c>
      <c r="H166" s="124" t="str">
        <f aca="false">IF(D166="","",15%)</f>
        <v/>
      </c>
      <c r="I166" s="123" t="str">
        <f aca="false">IF(COUNTBLANK(E166:H166)&lt;1,ROUNDUP(SUM(F166:G166)*((100+H166*100)%),0),"")</f>
        <v/>
      </c>
      <c r="J166" s="129"/>
      <c r="K166" s="129"/>
    </row>
    <row r="167" customFormat="false" ht="12.75" hidden="false" customHeight="true" outlineLevel="0" collapsed="false">
      <c r="A167" s="121" t="str">
        <f aca="false">IF(B167="","",CONCATENATE(COUNTA(B$4:B167),"."))</f>
        <v/>
      </c>
      <c r="B167" s="126"/>
      <c r="C167" s="126"/>
      <c r="D167" s="126"/>
      <c r="E167" s="127"/>
      <c r="F167" s="127"/>
      <c r="G167" s="123" t="str">
        <f aca="false">IF(F167="","",ROUNDUP(F167*10%,0))</f>
        <v/>
      </c>
      <c r="H167" s="124" t="str">
        <f aca="false">IF(D167="","",15%)</f>
        <v/>
      </c>
      <c r="I167" s="123" t="str">
        <f aca="false">IF(COUNTBLANK(E167:H167)&lt;1,ROUNDUP(SUM(F167:G167)*((100+H167*100)%),0),"")</f>
        <v/>
      </c>
      <c r="J167" s="129"/>
      <c r="K167" s="129"/>
    </row>
    <row r="168" customFormat="false" ht="12.75" hidden="false" customHeight="true" outlineLevel="0" collapsed="false">
      <c r="A168" s="121" t="str">
        <f aca="false">IF(B168="","",CONCATENATE(COUNTA(B$4:B168),"."))</f>
        <v/>
      </c>
      <c r="B168" s="126"/>
      <c r="C168" s="126"/>
      <c r="D168" s="126"/>
      <c r="E168" s="127"/>
      <c r="F168" s="127"/>
      <c r="G168" s="123" t="str">
        <f aca="false">IF(F168="","",ROUNDUP(F168*10%,0))</f>
        <v/>
      </c>
      <c r="H168" s="124" t="str">
        <f aca="false">IF(D168="","",15%)</f>
        <v/>
      </c>
      <c r="I168" s="123" t="str">
        <f aca="false">IF(COUNTBLANK(E168:H168)&lt;1,ROUNDUP(SUM(F168:G168)*((100+H168*100)%),0),"")</f>
        <v/>
      </c>
      <c r="J168" s="129"/>
      <c r="K168" s="129"/>
    </row>
    <row r="169" customFormat="false" ht="12.75" hidden="false" customHeight="true" outlineLevel="0" collapsed="false">
      <c r="A169" s="121" t="str">
        <f aca="false">IF(B169="","",CONCATENATE(COUNTA(B$4:B169),"."))</f>
        <v/>
      </c>
      <c r="B169" s="126"/>
      <c r="C169" s="126"/>
      <c r="D169" s="126"/>
      <c r="E169" s="127"/>
      <c r="F169" s="127"/>
      <c r="G169" s="123" t="str">
        <f aca="false">IF(F169="","",ROUNDUP(F169*10%,0))</f>
        <v/>
      </c>
      <c r="H169" s="124" t="str">
        <f aca="false">IF(D169="","",15%)</f>
        <v/>
      </c>
      <c r="I169" s="123" t="str">
        <f aca="false">IF(COUNTBLANK(E169:H169)&lt;1,ROUNDUP(SUM(F169:G169)*((100+H169*100)%),0),"")</f>
        <v/>
      </c>
      <c r="J169" s="129"/>
      <c r="K169" s="129"/>
    </row>
    <row r="170" customFormat="false" ht="12.75" hidden="false" customHeight="true" outlineLevel="0" collapsed="false">
      <c r="A170" s="121" t="str">
        <f aca="false">IF(B170="","",CONCATENATE(COUNTA(B$4:B170),"."))</f>
        <v/>
      </c>
      <c r="B170" s="126"/>
      <c r="C170" s="126"/>
      <c r="D170" s="126"/>
      <c r="E170" s="127"/>
      <c r="F170" s="127"/>
      <c r="G170" s="123" t="str">
        <f aca="false">IF(F170="","",ROUNDUP(F170*10%,0))</f>
        <v/>
      </c>
      <c r="H170" s="124" t="str">
        <f aca="false">IF(D170="","",15%)</f>
        <v/>
      </c>
      <c r="I170" s="123" t="str">
        <f aca="false">IF(COUNTBLANK(E170:H170)&lt;1,ROUNDUP(SUM(F170:G170)*((100+H170*100)%),0),"")</f>
        <v/>
      </c>
      <c r="J170" s="129"/>
      <c r="K170" s="129"/>
    </row>
    <row r="171" customFormat="false" ht="12.75" hidden="false" customHeight="true" outlineLevel="0" collapsed="false">
      <c r="A171" s="121" t="str">
        <f aca="false">IF(B171="","",CONCATENATE(COUNTA(B$4:B171),"."))</f>
        <v/>
      </c>
      <c r="B171" s="126"/>
      <c r="C171" s="126"/>
      <c r="D171" s="126"/>
      <c r="E171" s="127"/>
      <c r="F171" s="127"/>
      <c r="G171" s="123" t="str">
        <f aca="false">IF(F171="","",ROUNDUP(F171*10%,0))</f>
        <v/>
      </c>
      <c r="H171" s="124" t="str">
        <f aca="false">IF(D171="","",15%)</f>
        <v/>
      </c>
      <c r="I171" s="123" t="str">
        <f aca="false">IF(COUNTBLANK(E171:H171)&lt;1,ROUNDUP(SUM(F171:G171)*((100+H171*100)%),0),"")</f>
        <v/>
      </c>
      <c r="J171" s="129"/>
      <c r="K171" s="129"/>
    </row>
    <row r="172" customFormat="false" ht="12.75" hidden="false" customHeight="true" outlineLevel="0" collapsed="false">
      <c r="A172" s="121" t="str">
        <f aca="false">IF(B172="","",CONCATENATE(COUNTA(B$4:B172),"."))</f>
        <v/>
      </c>
      <c r="B172" s="126"/>
      <c r="C172" s="126"/>
      <c r="D172" s="126"/>
      <c r="E172" s="127"/>
      <c r="F172" s="127"/>
      <c r="G172" s="123" t="str">
        <f aca="false">IF(F172="","",ROUNDUP(F172*10%,0))</f>
        <v/>
      </c>
      <c r="H172" s="124" t="str">
        <f aca="false">IF(D172="","",15%)</f>
        <v/>
      </c>
      <c r="I172" s="123" t="str">
        <f aca="false">IF(COUNTBLANK(E172:H172)&lt;1,ROUNDUP(SUM(F172:G172)*((100+H172*100)%),0),"")</f>
        <v/>
      </c>
      <c r="J172" s="129"/>
      <c r="K172" s="129"/>
    </row>
    <row r="173" customFormat="false" ht="12.75" hidden="false" customHeight="true" outlineLevel="0" collapsed="false">
      <c r="A173" s="121" t="str">
        <f aca="false">IF(B173="","",CONCATENATE(COUNTA(B$4:B173),"."))</f>
        <v/>
      </c>
      <c r="B173" s="126"/>
      <c r="C173" s="126"/>
      <c r="D173" s="126"/>
      <c r="E173" s="127"/>
      <c r="F173" s="127"/>
      <c r="G173" s="123" t="str">
        <f aca="false">IF(F173="","",ROUNDUP(F173*10%,0))</f>
        <v/>
      </c>
      <c r="H173" s="124" t="str">
        <f aca="false">IF(D173="","",15%)</f>
        <v/>
      </c>
      <c r="I173" s="123" t="str">
        <f aca="false">IF(COUNTBLANK(E173:H173)&lt;1,ROUNDUP(SUM(F173:G173)*((100+H173*100)%),0),"")</f>
        <v/>
      </c>
      <c r="J173" s="129"/>
      <c r="K173" s="129"/>
    </row>
    <row r="174" customFormat="false" ht="12.75" hidden="false" customHeight="true" outlineLevel="0" collapsed="false">
      <c r="A174" s="121" t="str">
        <f aca="false">IF(B174="","",CONCATENATE(COUNTA(B$4:B174),"."))</f>
        <v/>
      </c>
      <c r="B174" s="126"/>
      <c r="C174" s="126"/>
      <c r="D174" s="126"/>
      <c r="E174" s="127"/>
      <c r="F174" s="127"/>
      <c r="G174" s="123" t="str">
        <f aca="false">IF(F174="","",ROUNDUP(F174*10%,0))</f>
        <v/>
      </c>
      <c r="H174" s="124" t="str">
        <f aca="false">IF(D174="","",15%)</f>
        <v/>
      </c>
      <c r="I174" s="123" t="str">
        <f aca="false">IF(COUNTBLANK(E174:H174)&lt;1,ROUNDUP(SUM(F174:G174)*((100+H174*100)%),0),"")</f>
        <v/>
      </c>
      <c r="J174" s="129"/>
      <c r="K174" s="129"/>
    </row>
    <row r="175" customFormat="false" ht="12.75" hidden="false" customHeight="true" outlineLevel="0" collapsed="false">
      <c r="A175" s="121" t="str">
        <f aca="false">IF(B175="","",CONCATENATE(COUNTA(B$4:B175),"."))</f>
        <v/>
      </c>
      <c r="B175" s="126"/>
      <c r="C175" s="126"/>
      <c r="D175" s="126"/>
      <c r="E175" s="127"/>
      <c r="F175" s="127"/>
      <c r="G175" s="123" t="str">
        <f aca="false">IF(F175="","",ROUNDUP(F175*10%,0))</f>
        <v/>
      </c>
      <c r="H175" s="124" t="str">
        <f aca="false">IF(D175="","",15%)</f>
        <v/>
      </c>
      <c r="I175" s="123" t="str">
        <f aca="false">IF(COUNTBLANK(E175:H175)&lt;1,ROUNDUP(SUM(F175:G175)*((100+H175*100)%),0),"")</f>
        <v/>
      </c>
      <c r="J175" s="129"/>
      <c r="K175" s="129"/>
    </row>
    <row r="176" customFormat="false" ht="12.75" hidden="false" customHeight="true" outlineLevel="0" collapsed="false">
      <c r="A176" s="121" t="str">
        <f aca="false">IF(B176="","",CONCATENATE(COUNTA(B$4:B176),"."))</f>
        <v/>
      </c>
      <c r="B176" s="126"/>
      <c r="C176" s="126"/>
      <c r="D176" s="126"/>
      <c r="E176" s="127"/>
      <c r="F176" s="127"/>
      <c r="G176" s="123" t="str">
        <f aca="false">IF(F176="","",ROUNDUP(F176*10%,0))</f>
        <v/>
      </c>
      <c r="H176" s="124" t="str">
        <f aca="false">IF(D176="","",15%)</f>
        <v/>
      </c>
      <c r="I176" s="123" t="str">
        <f aca="false">IF(COUNTBLANK(E176:H176)&lt;1,ROUNDUP(SUM(F176:G176)*((100+H176*100)%),0),"")</f>
        <v/>
      </c>
      <c r="J176" s="129"/>
      <c r="K176" s="129"/>
    </row>
    <row r="177" customFormat="false" ht="12.75" hidden="false" customHeight="true" outlineLevel="0" collapsed="false">
      <c r="A177" s="121" t="str">
        <f aca="false">IF(B177="","",CONCATENATE(COUNTA(B$4:B177),"."))</f>
        <v/>
      </c>
      <c r="B177" s="126"/>
      <c r="C177" s="126"/>
      <c r="D177" s="126"/>
      <c r="E177" s="127"/>
      <c r="F177" s="127"/>
      <c r="G177" s="123" t="str">
        <f aca="false">IF(F177="","",ROUNDUP(F177*10%,0))</f>
        <v/>
      </c>
      <c r="H177" s="124" t="str">
        <f aca="false">IF(D177="","",15%)</f>
        <v/>
      </c>
      <c r="I177" s="123" t="str">
        <f aca="false">IF(COUNTBLANK(E177:H177)&lt;1,ROUNDUP(SUM(F177:G177)*((100+H177*100)%),0),"")</f>
        <v/>
      </c>
      <c r="J177" s="129"/>
      <c r="K177" s="129"/>
    </row>
    <row r="178" customFormat="false" ht="12.75" hidden="false" customHeight="true" outlineLevel="0" collapsed="false">
      <c r="A178" s="121" t="str">
        <f aca="false">IF(B178="","",CONCATENATE(COUNTA(B$4:B178),"."))</f>
        <v/>
      </c>
      <c r="B178" s="126"/>
      <c r="C178" s="126"/>
      <c r="D178" s="126"/>
      <c r="E178" s="127"/>
      <c r="F178" s="127"/>
      <c r="G178" s="123" t="str">
        <f aca="false">IF(F178="","",ROUNDUP(F178*10%,0))</f>
        <v/>
      </c>
      <c r="H178" s="124" t="str">
        <f aca="false">IF(D178="","",15%)</f>
        <v/>
      </c>
      <c r="I178" s="123" t="str">
        <f aca="false">IF(COUNTBLANK(E178:H178)&lt;1,ROUNDUP(SUM(F178:G178)*((100+H178*100)%),0),"")</f>
        <v/>
      </c>
      <c r="J178" s="129"/>
      <c r="K178" s="129"/>
    </row>
    <row r="179" customFormat="false" ht="12.75" hidden="false" customHeight="true" outlineLevel="0" collapsed="false">
      <c r="A179" s="121" t="str">
        <f aca="false">IF(B179="","",CONCATENATE(COUNTA(B$4:B179),"."))</f>
        <v/>
      </c>
      <c r="B179" s="126"/>
      <c r="C179" s="126"/>
      <c r="D179" s="126"/>
      <c r="E179" s="127"/>
      <c r="F179" s="127"/>
      <c r="G179" s="123" t="str">
        <f aca="false">IF(F179="","",ROUNDUP(F179*10%,0))</f>
        <v/>
      </c>
      <c r="H179" s="124" t="str">
        <f aca="false">IF(D179="","",15%)</f>
        <v/>
      </c>
      <c r="I179" s="123" t="str">
        <f aca="false">IF(COUNTBLANK(E179:H179)&lt;1,ROUNDUP(SUM(F179:G179)*((100+H179*100)%),0),"")</f>
        <v/>
      </c>
      <c r="J179" s="129"/>
      <c r="K179" s="129"/>
    </row>
    <row r="180" customFormat="false" ht="12.75" hidden="false" customHeight="true" outlineLevel="0" collapsed="false">
      <c r="A180" s="121" t="str">
        <f aca="false">IF(B180="","",CONCATENATE(COUNTA(B$4:B180),"."))</f>
        <v/>
      </c>
      <c r="B180" s="126"/>
      <c r="C180" s="126"/>
      <c r="D180" s="126"/>
      <c r="E180" s="127"/>
      <c r="F180" s="127"/>
      <c r="G180" s="123" t="str">
        <f aca="false">IF(F180="","",ROUNDUP(F180*10%,0))</f>
        <v/>
      </c>
      <c r="H180" s="124" t="str">
        <f aca="false">IF(D180="","",15%)</f>
        <v/>
      </c>
      <c r="I180" s="123" t="str">
        <f aca="false">IF(COUNTBLANK(E180:H180)&lt;1,ROUNDUP(SUM(F180:G180)*((100+H180*100)%),0),"")</f>
        <v/>
      </c>
      <c r="J180" s="129"/>
      <c r="K180" s="129"/>
    </row>
    <row r="181" customFormat="false" ht="12.75" hidden="false" customHeight="true" outlineLevel="0" collapsed="false">
      <c r="A181" s="121" t="str">
        <f aca="false">IF(B181="","",CONCATENATE(COUNTA(B$4:B181),"."))</f>
        <v/>
      </c>
      <c r="B181" s="126"/>
      <c r="C181" s="126"/>
      <c r="D181" s="126"/>
      <c r="E181" s="127"/>
      <c r="F181" s="127"/>
      <c r="G181" s="123" t="str">
        <f aca="false">IF(F181="","",ROUNDUP(F181*10%,0))</f>
        <v/>
      </c>
      <c r="H181" s="124" t="str">
        <f aca="false">IF(D181="","",15%)</f>
        <v/>
      </c>
      <c r="I181" s="123" t="str">
        <f aca="false">IF(COUNTBLANK(E181:H181)&lt;1,ROUNDUP(SUM(F181:G181)*((100+H181*100)%),0),"")</f>
        <v/>
      </c>
      <c r="J181" s="129"/>
      <c r="K181" s="129"/>
    </row>
    <row r="182" customFormat="false" ht="12.75" hidden="false" customHeight="true" outlineLevel="0" collapsed="false">
      <c r="A182" s="121" t="str">
        <f aca="false">IF(B182="","",CONCATENATE(COUNTA(B$4:B182),"."))</f>
        <v/>
      </c>
      <c r="B182" s="126"/>
      <c r="C182" s="126"/>
      <c r="D182" s="126"/>
      <c r="E182" s="127"/>
      <c r="F182" s="127"/>
      <c r="G182" s="123" t="str">
        <f aca="false">IF(F182="","",ROUNDUP(F182*10%,0))</f>
        <v/>
      </c>
      <c r="H182" s="124" t="str">
        <f aca="false">IF(D182="","",15%)</f>
        <v/>
      </c>
      <c r="I182" s="123" t="str">
        <f aca="false">IF(COUNTBLANK(E182:H182)&lt;1,ROUNDUP(SUM(F182:G182)*((100+H182*100)%),0),"")</f>
        <v/>
      </c>
      <c r="J182" s="129"/>
      <c r="K182" s="129"/>
    </row>
    <row r="183" customFormat="false" ht="12.75" hidden="false" customHeight="true" outlineLevel="0" collapsed="false">
      <c r="A183" s="121" t="str">
        <f aca="false">IF(B183="","",CONCATENATE(COUNTA(B$4:B183),"."))</f>
        <v/>
      </c>
      <c r="B183" s="126"/>
      <c r="C183" s="126"/>
      <c r="D183" s="126"/>
      <c r="E183" s="127"/>
      <c r="F183" s="127"/>
      <c r="G183" s="123" t="str">
        <f aca="false">IF(F183="","",ROUNDUP(F183*10%,0))</f>
        <v/>
      </c>
      <c r="H183" s="124" t="str">
        <f aca="false">IF(D183="","",15%)</f>
        <v/>
      </c>
      <c r="I183" s="123" t="str">
        <f aca="false">IF(COUNTBLANK(E183:H183)&lt;1,ROUNDUP(SUM(F183:G183)*((100+H183*100)%),0),"")</f>
        <v/>
      </c>
      <c r="J183" s="129"/>
      <c r="K183" s="129"/>
    </row>
    <row r="184" customFormat="false" ht="12.75" hidden="false" customHeight="true" outlineLevel="0" collapsed="false">
      <c r="A184" s="121" t="str">
        <f aca="false">IF(B184="","",CONCATENATE(COUNTA(B$4:B184),"."))</f>
        <v/>
      </c>
      <c r="B184" s="126"/>
      <c r="C184" s="126"/>
      <c r="D184" s="126"/>
      <c r="E184" s="127"/>
      <c r="F184" s="127"/>
      <c r="G184" s="123" t="str">
        <f aca="false">IF(F184="","",ROUNDUP(F184*10%,0))</f>
        <v/>
      </c>
      <c r="H184" s="124" t="str">
        <f aca="false">IF(D184="","",15%)</f>
        <v/>
      </c>
      <c r="I184" s="123" t="str">
        <f aca="false">IF(COUNTBLANK(E184:H184)&lt;1,ROUNDUP(SUM(F184:G184)*((100+H184*100)%),0),"")</f>
        <v/>
      </c>
      <c r="J184" s="129"/>
      <c r="K184" s="129"/>
    </row>
    <row r="185" customFormat="false" ht="12.75" hidden="false" customHeight="true" outlineLevel="0" collapsed="false">
      <c r="A185" s="121" t="str">
        <f aca="false">IF(B185="","",CONCATENATE(COUNTA(B$4:B185),"."))</f>
        <v/>
      </c>
      <c r="B185" s="126"/>
      <c r="C185" s="126"/>
      <c r="D185" s="126"/>
      <c r="E185" s="127"/>
      <c r="F185" s="127"/>
      <c r="G185" s="123" t="str">
        <f aca="false">IF(F185="","",ROUNDUP(F185*10%,0))</f>
        <v/>
      </c>
      <c r="H185" s="124" t="str">
        <f aca="false">IF(D185="","",15%)</f>
        <v/>
      </c>
      <c r="I185" s="123" t="str">
        <f aca="false">IF(COUNTBLANK(E185:H185)&lt;1,ROUNDUP(SUM(F185:G185)*((100+H185*100)%),0),"")</f>
        <v/>
      </c>
      <c r="J185" s="129"/>
      <c r="K185" s="129"/>
    </row>
    <row r="186" customFormat="false" ht="12.75" hidden="false" customHeight="true" outlineLevel="0" collapsed="false">
      <c r="A186" s="121" t="str">
        <f aca="false">IF(B186="","",CONCATENATE(COUNTA(B$4:B186),"."))</f>
        <v/>
      </c>
      <c r="B186" s="126"/>
      <c r="C186" s="126"/>
      <c r="D186" s="126"/>
      <c r="E186" s="127"/>
      <c r="F186" s="127"/>
      <c r="G186" s="123" t="str">
        <f aca="false">IF(F186="","",ROUNDUP(F186*10%,0))</f>
        <v/>
      </c>
      <c r="H186" s="124" t="str">
        <f aca="false">IF(D186="","",15%)</f>
        <v/>
      </c>
      <c r="I186" s="123" t="str">
        <f aca="false">IF(COUNTBLANK(E186:H186)&lt;1,ROUNDUP(SUM(F186:G186)*((100+H186*100)%),0),"")</f>
        <v/>
      </c>
      <c r="J186" s="129"/>
      <c r="K186" s="129"/>
    </row>
    <row r="187" customFormat="false" ht="12.75" hidden="false" customHeight="true" outlineLevel="0" collapsed="false">
      <c r="A187" s="121" t="str">
        <f aca="false">IF(B187="","",CONCATENATE(COUNTA(B$4:B187),"."))</f>
        <v/>
      </c>
      <c r="B187" s="126"/>
      <c r="C187" s="126"/>
      <c r="D187" s="126"/>
      <c r="E187" s="127"/>
      <c r="F187" s="127"/>
      <c r="G187" s="123" t="str">
        <f aca="false">IF(F187="","",ROUNDUP(F187*10%,0))</f>
        <v/>
      </c>
      <c r="H187" s="124" t="str">
        <f aca="false">IF(D187="","",15%)</f>
        <v/>
      </c>
      <c r="I187" s="123" t="str">
        <f aca="false">IF(COUNTBLANK(E187:H187)&lt;1,ROUNDUP(SUM(F187:G187)*((100+H187*100)%),0),"")</f>
        <v/>
      </c>
      <c r="J187" s="129"/>
      <c r="K187" s="129"/>
    </row>
    <row r="188" customFormat="false" ht="12.75" hidden="false" customHeight="true" outlineLevel="0" collapsed="false">
      <c r="A188" s="121" t="str">
        <f aca="false">IF(B188="","",CONCATENATE(COUNTA(B$4:B188),"."))</f>
        <v/>
      </c>
      <c r="B188" s="126"/>
      <c r="C188" s="126"/>
      <c r="D188" s="126"/>
      <c r="E188" s="127"/>
      <c r="F188" s="127"/>
      <c r="G188" s="123" t="str">
        <f aca="false">IF(F188="","",ROUNDUP(F188*10%,0))</f>
        <v/>
      </c>
      <c r="H188" s="124" t="str">
        <f aca="false">IF(D188="","",15%)</f>
        <v/>
      </c>
      <c r="I188" s="123" t="str">
        <f aca="false">IF(COUNTBLANK(E188:H188)&lt;1,ROUNDUP(SUM(F188:G188)*((100+H188*100)%),0),"")</f>
        <v/>
      </c>
      <c r="J188" s="129"/>
      <c r="K188" s="129"/>
    </row>
    <row r="189" customFormat="false" ht="12.75" hidden="false" customHeight="true" outlineLevel="0" collapsed="false">
      <c r="A189" s="121" t="str">
        <f aca="false">IF(B189="","",CONCATENATE(COUNTA(B$4:B189),"."))</f>
        <v/>
      </c>
      <c r="B189" s="126"/>
      <c r="C189" s="126"/>
      <c r="D189" s="126"/>
      <c r="E189" s="127"/>
      <c r="F189" s="127"/>
      <c r="G189" s="123" t="str">
        <f aca="false">IF(F189="","",ROUNDUP(F189*10%,0))</f>
        <v/>
      </c>
      <c r="H189" s="124" t="str">
        <f aca="false">IF(D189="","",15%)</f>
        <v/>
      </c>
      <c r="I189" s="123" t="str">
        <f aca="false">IF(COUNTBLANK(E189:H189)&lt;1,ROUNDUP(SUM(F189:G189)*((100+H189*100)%),0),"")</f>
        <v/>
      </c>
      <c r="J189" s="129"/>
      <c r="K189" s="129"/>
    </row>
    <row r="190" customFormat="false" ht="12.75" hidden="false" customHeight="true" outlineLevel="0" collapsed="false">
      <c r="A190" s="121" t="str">
        <f aca="false">IF(B190="","",CONCATENATE(COUNTA(B$4:B190),"."))</f>
        <v/>
      </c>
      <c r="B190" s="126"/>
      <c r="C190" s="126"/>
      <c r="D190" s="126"/>
      <c r="E190" s="127"/>
      <c r="F190" s="127"/>
      <c r="G190" s="123" t="str">
        <f aca="false">IF(F190="","",ROUNDUP(F190*10%,0))</f>
        <v/>
      </c>
      <c r="H190" s="124" t="str">
        <f aca="false">IF(D190="","",15%)</f>
        <v/>
      </c>
      <c r="I190" s="123" t="str">
        <f aca="false">IF(COUNTBLANK(E190:H190)&lt;1,ROUNDUP(SUM(F190:G190)*((100+H190*100)%),0),"")</f>
        <v/>
      </c>
      <c r="J190" s="129"/>
      <c r="K190" s="129"/>
    </row>
    <row r="191" customFormat="false" ht="12.75" hidden="false" customHeight="true" outlineLevel="0" collapsed="false">
      <c r="A191" s="121" t="str">
        <f aca="false">IF(B191="","",CONCATENATE(COUNTA(B$4:B191),"."))</f>
        <v/>
      </c>
      <c r="B191" s="126"/>
      <c r="C191" s="126"/>
      <c r="D191" s="126"/>
      <c r="E191" s="127"/>
      <c r="F191" s="127"/>
      <c r="G191" s="123" t="str">
        <f aca="false">IF(F191="","",ROUNDUP(F191*10%,0))</f>
        <v/>
      </c>
      <c r="H191" s="124" t="str">
        <f aca="false">IF(D191="","",15%)</f>
        <v/>
      </c>
      <c r="I191" s="123" t="str">
        <f aca="false">IF(COUNTBLANK(E191:H191)&lt;1,ROUNDUP(SUM(F191:G191)*((100+H191*100)%),0),"")</f>
        <v/>
      </c>
      <c r="J191" s="129"/>
      <c r="K191" s="129"/>
    </row>
    <row r="192" customFormat="false" ht="12.75" hidden="false" customHeight="true" outlineLevel="0" collapsed="false">
      <c r="A192" s="121" t="str">
        <f aca="false">IF(B192="","",CONCATENATE(COUNTA(B$4:B192),"."))</f>
        <v/>
      </c>
      <c r="B192" s="126"/>
      <c r="C192" s="126"/>
      <c r="D192" s="126"/>
      <c r="E192" s="127"/>
      <c r="F192" s="127"/>
      <c r="G192" s="123" t="str">
        <f aca="false">IF(F192="","",ROUNDUP(F192*10%,0))</f>
        <v/>
      </c>
      <c r="H192" s="124" t="str">
        <f aca="false">IF(D192="","",15%)</f>
        <v/>
      </c>
      <c r="I192" s="123" t="str">
        <f aca="false">IF(COUNTBLANK(E192:H192)&lt;1,ROUNDUP(SUM(F192:G192)*((100+H192*100)%),0),"")</f>
        <v/>
      </c>
      <c r="J192" s="129"/>
      <c r="K192" s="129"/>
    </row>
    <row r="193" customFormat="false" ht="12.75" hidden="false" customHeight="true" outlineLevel="0" collapsed="false">
      <c r="A193" s="121" t="str">
        <f aca="false">IF(B193="","",CONCATENATE(COUNTA(B$4:B193),"."))</f>
        <v/>
      </c>
      <c r="B193" s="126"/>
      <c r="C193" s="126"/>
      <c r="D193" s="126"/>
      <c r="E193" s="127"/>
      <c r="F193" s="127"/>
      <c r="G193" s="123" t="str">
        <f aca="false">IF(F193="","",ROUNDUP(F193*10%,0))</f>
        <v/>
      </c>
      <c r="H193" s="124" t="str">
        <f aca="false">IF(D193="","",15%)</f>
        <v/>
      </c>
      <c r="I193" s="123" t="str">
        <f aca="false">IF(COUNTBLANK(E193:H193)&lt;1,ROUNDUP(SUM(F193:G193)*((100+H193*100)%),0),"")</f>
        <v/>
      </c>
      <c r="J193" s="129"/>
      <c r="K193" s="129"/>
    </row>
    <row r="194" customFormat="false" ht="12.75" hidden="false" customHeight="true" outlineLevel="0" collapsed="false">
      <c r="A194" s="121" t="str">
        <f aca="false">IF(B194="","",CONCATENATE(COUNTA(B$4:B194),"."))</f>
        <v/>
      </c>
      <c r="B194" s="126"/>
      <c r="C194" s="126"/>
      <c r="D194" s="126"/>
      <c r="E194" s="127"/>
      <c r="F194" s="127"/>
      <c r="G194" s="123" t="str">
        <f aca="false">IF(F194="","",ROUNDUP(F194*10%,0))</f>
        <v/>
      </c>
      <c r="H194" s="124" t="str">
        <f aca="false">IF(D194="","",15%)</f>
        <v/>
      </c>
      <c r="I194" s="123" t="str">
        <f aca="false">IF(COUNTBLANK(E194:H194)&lt;1,ROUNDUP(SUM(F194:G194)*((100+H194*100)%),0),"")</f>
        <v/>
      </c>
      <c r="J194" s="129"/>
      <c r="K194" s="129"/>
    </row>
    <row r="195" customFormat="false" ht="12.75" hidden="false" customHeight="true" outlineLevel="0" collapsed="false">
      <c r="A195" s="121" t="str">
        <f aca="false">IF(B195="","",CONCATENATE(COUNTA(B$4:B195),"."))</f>
        <v/>
      </c>
      <c r="B195" s="126"/>
      <c r="C195" s="126"/>
      <c r="D195" s="126"/>
      <c r="E195" s="127"/>
      <c r="F195" s="127"/>
      <c r="G195" s="123" t="str">
        <f aca="false">IF(F195="","",ROUNDUP(F195*10%,0))</f>
        <v/>
      </c>
      <c r="H195" s="124" t="str">
        <f aca="false">IF(D195="","",15%)</f>
        <v/>
      </c>
      <c r="I195" s="123" t="str">
        <f aca="false">IF(COUNTBLANK(E195:H195)&lt;1,ROUNDUP(SUM(F195:G195)*((100+H195*100)%),0),"")</f>
        <v/>
      </c>
      <c r="J195" s="129"/>
      <c r="K195" s="129"/>
    </row>
    <row r="196" customFormat="false" ht="12.75" hidden="false" customHeight="true" outlineLevel="0" collapsed="false">
      <c r="A196" s="121" t="str">
        <f aca="false">IF(B196="","",CONCATENATE(COUNTA(B$4:B196),"."))</f>
        <v/>
      </c>
      <c r="B196" s="126"/>
      <c r="C196" s="126"/>
      <c r="D196" s="126"/>
      <c r="E196" s="127"/>
      <c r="F196" s="127"/>
      <c r="G196" s="123" t="str">
        <f aca="false">IF(F196="","",ROUNDUP(F196*10%,0))</f>
        <v/>
      </c>
      <c r="H196" s="124" t="str">
        <f aca="false">IF(D196="","",15%)</f>
        <v/>
      </c>
      <c r="I196" s="123" t="str">
        <f aca="false">IF(COUNTBLANK(E196:H196)&lt;1,ROUNDUP(SUM(F196:G196)*((100+H196*100)%),0),"")</f>
        <v/>
      </c>
      <c r="J196" s="129"/>
      <c r="K196" s="129"/>
    </row>
    <row r="197" customFormat="false" ht="12.75" hidden="false" customHeight="true" outlineLevel="0" collapsed="false">
      <c r="A197" s="121" t="str">
        <f aca="false">IF(B197="","",CONCATENATE(COUNTA(B$4:B197),"."))</f>
        <v/>
      </c>
      <c r="B197" s="126"/>
      <c r="C197" s="126"/>
      <c r="D197" s="126"/>
      <c r="E197" s="127"/>
      <c r="F197" s="127"/>
      <c r="G197" s="123" t="str">
        <f aca="false">IF(F197="","",ROUNDUP(F197*10%,0))</f>
        <v/>
      </c>
      <c r="H197" s="124" t="str">
        <f aca="false">IF(D197="","",15%)</f>
        <v/>
      </c>
      <c r="I197" s="123" t="str">
        <f aca="false">IF(COUNTBLANK(E197:H197)&lt;1,ROUNDUP(SUM(F197:G197)*((100+H197*100)%),0),"")</f>
        <v/>
      </c>
      <c r="J197" s="129"/>
      <c r="K197" s="129"/>
    </row>
    <row r="198" customFormat="false" ht="12.75" hidden="false" customHeight="true" outlineLevel="0" collapsed="false">
      <c r="A198" s="121" t="str">
        <f aca="false">IF(B198="","",CONCATENATE(COUNTA(B$4:B198),"."))</f>
        <v/>
      </c>
      <c r="B198" s="126"/>
      <c r="C198" s="126"/>
      <c r="D198" s="126"/>
      <c r="E198" s="127"/>
      <c r="F198" s="127"/>
      <c r="G198" s="123" t="str">
        <f aca="false">IF(F198="","",ROUNDUP(F198*10%,0))</f>
        <v/>
      </c>
      <c r="H198" s="124" t="str">
        <f aca="false">IF(D198="","",15%)</f>
        <v/>
      </c>
      <c r="I198" s="123" t="str">
        <f aca="false">IF(COUNTBLANK(E198:H198)&lt;1,ROUNDUP(SUM(F198:G198)*((100+H198*100)%),0),"")</f>
        <v/>
      </c>
      <c r="J198" s="129"/>
      <c r="K198" s="129"/>
    </row>
    <row r="199" customFormat="false" ht="12.75" hidden="false" customHeight="true" outlineLevel="0" collapsed="false">
      <c r="A199" s="121" t="str">
        <f aca="false">IF(B199="","",CONCATENATE(COUNTA(B$4:B199),"."))</f>
        <v/>
      </c>
      <c r="B199" s="126"/>
      <c r="C199" s="126"/>
      <c r="D199" s="126"/>
      <c r="E199" s="127"/>
      <c r="F199" s="127"/>
      <c r="G199" s="123" t="str">
        <f aca="false">IF(F199="","",ROUNDUP(F199*10%,0))</f>
        <v/>
      </c>
      <c r="H199" s="124" t="str">
        <f aca="false">IF(D199="","",15%)</f>
        <v/>
      </c>
      <c r="I199" s="123" t="str">
        <f aca="false">IF(COUNTBLANK(E199:H199)&lt;1,ROUNDUP(SUM(F199:G199)*((100+H199*100)%),0),"")</f>
        <v/>
      </c>
      <c r="J199" s="129"/>
      <c r="K199" s="129"/>
    </row>
    <row r="200" customFormat="false" ht="12.75" hidden="false" customHeight="true" outlineLevel="0" collapsed="false">
      <c r="A200" s="121" t="str">
        <f aca="false">IF(B200="","",CONCATENATE(COUNTA(B$4:B200),"."))</f>
        <v/>
      </c>
      <c r="B200" s="126"/>
      <c r="C200" s="126"/>
      <c r="D200" s="126"/>
      <c r="E200" s="127"/>
      <c r="F200" s="127"/>
      <c r="G200" s="123" t="str">
        <f aca="false">IF(F200="","",ROUNDUP(F200*10%,0))</f>
        <v/>
      </c>
      <c r="H200" s="124" t="str">
        <f aca="false">IF(D200="","",15%)</f>
        <v/>
      </c>
      <c r="I200" s="123" t="str">
        <f aca="false">IF(COUNTBLANK(E200:H200)&lt;1,ROUNDUP(SUM(F200:G200)*((100+H200*100)%),0),"")</f>
        <v/>
      </c>
      <c r="J200" s="129"/>
      <c r="K200" s="129"/>
    </row>
    <row r="201" customFormat="false" ht="12.75" hidden="false" customHeight="true" outlineLevel="0" collapsed="false">
      <c r="A201" s="121" t="str">
        <f aca="false">IF(B201="","",CONCATENATE(COUNTA(B$4:B201),"."))</f>
        <v/>
      </c>
      <c r="B201" s="126"/>
      <c r="C201" s="126"/>
      <c r="D201" s="126"/>
      <c r="E201" s="127"/>
      <c r="F201" s="127"/>
      <c r="G201" s="123" t="str">
        <f aca="false">IF(F201="","",ROUNDUP(F201*10%,0))</f>
        <v/>
      </c>
      <c r="H201" s="124" t="str">
        <f aca="false">IF(D201="","",15%)</f>
        <v/>
      </c>
      <c r="I201" s="123" t="str">
        <f aca="false">IF(COUNTBLANK(E201:H201)&lt;1,ROUNDUP(SUM(F201:G201)*((100+H201*100)%),0),"")</f>
        <v/>
      </c>
      <c r="J201" s="129"/>
      <c r="K201" s="129"/>
    </row>
    <row r="202" customFormat="false" ht="12.75" hidden="false" customHeight="true" outlineLevel="0" collapsed="false">
      <c r="A202" s="121" t="str">
        <f aca="false">IF(B202="","",CONCATENATE(COUNTA(B$4:B202),"."))</f>
        <v/>
      </c>
      <c r="B202" s="126"/>
      <c r="C202" s="126"/>
      <c r="D202" s="126"/>
      <c r="E202" s="127"/>
      <c r="F202" s="127"/>
      <c r="G202" s="123" t="str">
        <f aca="false">IF(F202="","",ROUNDUP(F202*10%,0))</f>
        <v/>
      </c>
      <c r="H202" s="124" t="str">
        <f aca="false">IF(D202="","",15%)</f>
        <v/>
      </c>
      <c r="I202" s="123" t="str">
        <f aca="false">IF(COUNTBLANK(E202:H202)&lt;1,ROUNDUP(SUM(F202:G202)*((100+H202*100)%),0),"")</f>
        <v/>
      </c>
      <c r="J202" s="129"/>
      <c r="K202" s="129"/>
    </row>
    <row r="203" customFormat="false" ht="12.75" hidden="false" customHeight="true" outlineLevel="0" collapsed="false">
      <c r="A203" s="121" t="str">
        <f aca="false">IF(B203="","",CONCATENATE(COUNTA(B$4:B203),"."))</f>
        <v/>
      </c>
      <c r="B203" s="126"/>
      <c r="C203" s="126"/>
      <c r="D203" s="126"/>
      <c r="E203" s="127"/>
      <c r="F203" s="127"/>
      <c r="G203" s="123" t="str">
        <f aca="false">IF(F203="","",ROUNDUP(F203*10%,0))</f>
        <v/>
      </c>
      <c r="H203" s="124" t="str">
        <f aca="false">IF(D203="","",15%)</f>
        <v/>
      </c>
      <c r="I203" s="123" t="str">
        <f aca="false">IF(COUNTBLANK(E203:H203)&lt;1,ROUNDUP(SUM(F203:G203)*((100+H203*100)%),0),"")</f>
        <v/>
      </c>
      <c r="J203" s="129"/>
      <c r="K203" s="129"/>
    </row>
    <row r="204" customFormat="false" ht="12.75" hidden="false" customHeight="true" outlineLevel="0" collapsed="false">
      <c r="A204" s="121" t="str">
        <f aca="false">IF(B204="","",CONCATENATE(COUNTA(B$4:B204),"."))</f>
        <v/>
      </c>
      <c r="B204" s="126"/>
      <c r="C204" s="126"/>
      <c r="D204" s="126"/>
      <c r="E204" s="127"/>
      <c r="F204" s="127"/>
      <c r="G204" s="123" t="str">
        <f aca="false">IF(F204="","",ROUNDUP(F204*10%,0))</f>
        <v/>
      </c>
      <c r="H204" s="124" t="str">
        <f aca="false">IF(D204="","",15%)</f>
        <v/>
      </c>
      <c r="I204" s="123" t="str">
        <f aca="false">IF(COUNTBLANK(E204:H204)&lt;1,ROUNDUP(SUM(F204:G204)*((100+H204*100)%),0),"")</f>
        <v/>
      </c>
      <c r="J204" s="129"/>
      <c r="K204" s="129"/>
    </row>
    <row r="205" customFormat="false" ht="12.75" hidden="false" customHeight="true" outlineLevel="0" collapsed="false">
      <c r="A205" s="121" t="str">
        <f aca="false">IF(B205="","",CONCATENATE(COUNTA(B$4:B205),"."))</f>
        <v/>
      </c>
      <c r="B205" s="126"/>
      <c r="C205" s="126"/>
      <c r="D205" s="126"/>
      <c r="E205" s="127"/>
      <c r="F205" s="127"/>
      <c r="G205" s="123" t="str">
        <f aca="false">IF(F205="","",ROUNDUP(F205*10%,0))</f>
        <v/>
      </c>
      <c r="H205" s="124" t="str">
        <f aca="false">IF(D205="","",15%)</f>
        <v/>
      </c>
      <c r="I205" s="123" t="str">
        <f aca="false">IF(COUNTBLANK(E205:H205)&lt;1,ROUNDUP(SUM(F205:G205)*((100+H205*100)%),0),"")</f>
        <v/>
      </c>
      <c r="J205" s="129"/>
      <c r="K205" s="129"/>
    </row>
    <row r="206" customFormat="false" ht="12.75" hidden="false" customHeight="true" outlineLevel="0" collapsed="false">
      <c r="A206" s="121" t="str">
        <f aca="false">IF(B206="","",CONCATENATE(COUNTA(B$4:B206),"."))</f>
        <v/>
      </c>
      <c r="B206" s="126"/>
      <c r="C206" s="126"/>
      <c r="D206" s="126"/>
      <c r="E206" s="127"/>
      <c r="F206" s="127"/>
      <c r="G206" s="123" t="str">
        <f aca="false">IF(F206="","",ROUNDUP(F206*10%,0))</f>
        <v/>
      </c>
      <c r="H206" s="124" t="str">
        <f aca="false">IF(D206="","",15%)</f>
        <v/>
      </c>
      <c r="I206" s="123" t="str">
        <f aca="false">IF(COUNTBLANK(E206:H206)&lt;1,ROUNDUP(SUM(F206:G206)*((100+H206*100)%),0),"")</f>
        <v/>
      </c>
      <c r="J206" s="129"/>
      <c r="K206" s="129"/>
    </row>
    <row r="207" customFormat="false" ht="12.75" hidden="false" customHeight="true" outlineLevel="0" collapsed="false">
      <c r="A207" s="121" t="str">
        <f aca="false">IF(B207="","",CONCATENATE(COUNTA(B$4:B207),"."))</f>
        <v/>
      </c>
      <c r="B207" s="126"/>
      <c r="C207" s="126"/>
      <c r="D207" s="126"/>
      <c r="E207" s="127"/>
      <c r="F207" s="127"/>
      <c r="G207" s="123" t="str">
        <f aca="false">IF(F207="","",ROUNDUP(F207*10%,0))</f>
        <v/>
      </c>
      <c r="H207" s="124" t="str">
        <f aca="false">IF(D207="","",15%)</f>
        <v/>
      </c>
      <c r="I207" s="123" t="str">
        <f aca="false">IF(COUNTBLANK(E207:H207)&lt;1,ROUNDUP(SUM(F207:G207)*((100+H207*100)%),0),"")</f>
        <v/>
      </c>
      <c r="J207" s="129"/>
      <c r="K207" s="129"/>
    </row>
    <row r="208" customFormat="false" ht="12.75" hidden="false" customHeight="true" outlineLevel="0" collapsed="false">
      <c r="A208" s="121" t="str">
        <f aca="false">IF(B208="","",CONCATENATE(COUNTA(B$4:B208),"."))</f>
        <v/>
      </c>
      <c r="B208" s="126"/>
      <c r="C208" s="126"/>
      <c r="D208" s="126"/>
      <c r="E208" s="127"/>
      <c r="F208" s="127"/>
      <c r="G208" s="123" t="str">
        <f aca="false">IF(F208="","",ROUNDUP(F208*10%,0))</f>
        <v/>
      </c>
      <c r="H208" s="124" t="str">
        <f aca="false">IF(D208="","",15%)</f>
        <v/>
      </c>
      <c r="I208" s="123" t="str">
        <f aca="false">IF(COUNTBLANK(E208:H208)&lt;1,ROUNDUP(SUM(F208:G208)*((100+H208*100)%),0),"")</f>
        <v/>
      </c>
      <c r="J208" s="129"/>
      <c r="K208" s="129"/>
    </row>
    <row r="209" customFormat="false" ht="12.75" hidden="false" customHeight="true" outlineLevel="0" collapsed="false">
      <c r="A209" s="121" t="str">
        <f aca="false">IF(B209="","",CONCATENATE(COUNTA(B$4:B209),"."))</f>
        <v/>
      </c>
      <c r="B209" s="126"/>
      <c r="C209" s="126"/>
      <c r="D209" s="126"/>
      <c r="E209" s="127"/>
      <c r="F209" s="127"/>
      <c r="G209" s="123" t="str">
        <f aca="false">IF(F209="","",ROUNDUP(F209*10%,0))</f>
        <v/>
      </c>
      <c r="H209" s="124" t="str">
        <f aca="false">IF(D209="","",15%)</f>
        <v/>
      </c>
      <c r="I209" s="123" t="str">
        <f aca="false">IF(COUNTBLANK(E209:H209)&lt;1,ROUNDUP(SUM(F209:G209)*((100+H209*100)%),0),"")</f>
        <v/>
      </c>
      <c r="J209" s="129"/>
      <c r="K209" s="129"/>
    </row>
    <row r="210" customFormat="false" ht="12.75" hidden="false" customHeight="true" outlineLevel="0" collapsed="false">
      <c r="A210" s="121" t="str">
        <f aca="false">IF(B210="","",CONCATENATE(COUNTA(B$4:B210),"."))</f>
        <v/>
      </c>
      <c r="B210" s="126"/>
      <c r="C210" s="126"/>
      <c r="D210" s="126"/>
      <c r="E210" s="127"/>
      <c r="F210" s="127"/>
      <c r="G210" s="123" t="str">
        <f aca="false">IF(F210="","",ROUNDUP(F210*10%,0))</f>
        <v/>
      </c>
      <c r="H210" s="124" t="str">
        <f aca="false">IF(D210="","",15%)</f>
        <v/>
      </c>
      <c r="I210" s="123" t="str">
        <f aca="false">IF(COUNTBLANK(E210:H210)&lt;1,ROUNDUP(SUM(F210:G210)*((100+H210*100)%),0),"")</f>
        <v/>
      </c>
      <c r="J210" s="129"/>
      <c r="K210" s="129"/>
    </row>
    <row r="211" customFormat="false" ht="12.75" hidden="false" customHeight="true" outlineLevel="0" collapsed="false">
      <c r="A211" s="121" t="str">
        <f aca="false">IF(B211="","",CONCATENATE(COUNTA(B$4:B211),"."))</f>
        <v/>
      </c>
      <c r="B211" s="126"/>
      <c r="C211" s="126"/>
      <c r="D211" s="126"/>
      <c r="E211" s="127"/>
      <c r="F211" s="127"/>
      <c r="G211" s="123" t="str">
        <f aca="false">IF(F211="","",ROUNDUP(F211*10%,0))</f>
        <v/>
      </c>
      <c r="H211" s="124" t="str">
        <f aca="false">IF(D211="","",15%)</f>
        <v/>
      </c>
      <c r="I211" s="123" t="str">
        <f aca="false">IF(COUNTBLANK(E211:H211)&lt;1,ROUNDUP(SUM(F211:G211)*((100+H211*100)%),0),"")</f>
        <v/>
      </c>
      <c r="J211" s="129"/>
      <c r="K211" s="129"/>
    </row>
    <row r="212" customFormat="false" ht="12.75" hidden="false" customHeight="true" outlineLevel="0" collapsed="false">
      <c r="A212" s="121" t="str">
        <f aca="false">IF(B212="","",CONCATENATE(COUNTA(B$4:B212),"."))</f>
        <v/>
      </c>
      <c r="B212" s="126"/>
      <c r="C212" s="126"/>
      <c r="D212" s="126"/>
      <c r="E212" s="127"/>
      <c r="F212" s="127"/>
      <c r="G212" s="123" t="str">
        <f aca="false">IF(F212="","",ROUNDUP(F212*10%,0))</f>
        <v/>
      </c>
      <c r="H212" s="124" t="str">
        <f aca="false">IF(D212="","",15%)</f>
        <v/>
      </c>
      <c r="I212" s="123" t="str">
        <f aca="false">IF(COUNTBLANK(E212:H212)&lt;1,ROUNDUP(SUM(F212:G212)*((100+H212*100)%),0),"")</f>
        <v/>
      </c>
      <c r="J212" s="129"/>
      <c r="K212" s="129"/>
    </row>
    <row r="213" customFormat="false" ht="12.75" hidden="false" customHeight="true" outlineLevel="0" collapsed="false">
      <c r="A213" s="121" t="str">
        <f aca="false">IF(B213="","",CONCATENATE(COUNTA(B$4:B213),"."))</f>
        <v/>
      </c>
      <c r="B213" s="126"/>
      <c r="C213" s="126"/>
      <c r="D213" s="126"/>
      <c r="E213" s="127"/>
      <c r="F213" s="127"/>
      <c r="G213" s="123" t="str">
        <f aca="false">IF(F213="","",ROUNDUP(F213*10%,0))</f>
        <v/>
      </c>
      <c r="H213" s="124" t="str">
        <f aca="false">IF(D213="","",15%)</f>
        <v/>
      </c>
      <c r="I213" s="123" t="str">
        <f aca="false">IF(COUNTBLANK(E213:H213)&lt;1,ROUNDUP(SUM(F213:G213)*((100+H213*100)%),0),"")</f>
        <v/>
      </c>
      <c r="J213" s="129"/>
      <c r="K213" s="129"/>
    </row>
    <row r="214" customFormat="false" ht="12.75" hidden="false" customHeight="true" outlineLevel="0" collapsed="false">
      <c r="A214" s="121" t="str">
        <f aca="false">IF(B214="","",CONCATENATE(COUNTA(B$4:B214),"."))</f>
        <v/>
      </c>
      <c r="B214" s="126"/>
      <c r="C214" s="126"/>
      <c r="D214" s="126"/>
      <c r="E214" s="127"/>
      <c r="F214" s="127"/>
      <c r="G214" s="123" t="str">
        <f aca="false">IF(F214="","",ROUNDUP(F214*10%,0))</f>
        <v/>
      </c>
      <c r="H214" s="124" t="str">
        <f aca="false">IF(D214="","",15%)</f>
        <v/>
      </c>
      <c r="I214" s="123" t="str">
        <f aca="false">IF(COUNTBLANK(E214:H214)&lt;1,ROUNDUP(SUM(F214:G214)*((100+H214*100)%),0),"")</f>
        <v/>
      </c>
      <c r="J214" s="129"/>
      <c r="K214" s="129"/>
    </row>
    <row r="215" customFormat="false" ht="12.75" hidden="false" customHeight="true" outlineLevel="0" collapsed="false">
      <c r="A215" s="121" t="str">
        <f aca="false">IF(B215="","",CONCATENATE(COUNTA(B$4:B215),"."))</f>
        <v/>
      </c>
      <c r="B215" s="126"/>
      <c r="C215" s="126"/>
      <c r="D215" s="126"/>
      <c r="E215" s="127"/>
      <c r="F215" s="127"/>
      <c r="G215" s="123" t="str">
        <f aca="false">IF(F215="","",ROUNDUP(F215*10%,0))</f>
        <v/>
      </c>
      <c r="H215" s="124" t="str">
        <f aca="false">IF(D215="","",15%)</f>
        <v/>
      </c>
      <c r="I215" s="123" t="str">
        <f aca="false">IF(COUNTBLANK(E215:H215)&lt;1,ROUNDUP(SUM(F215:G215)*((100+H215*100)%),0),"")</f>
        <v/>
      </c>
      <c r="J215" s="129"/>
      <c r="K215" s="129"/>
    </row>
    <row r="216" customFormat="false" ht="12.75" hidden="false" customHeight="true" outlineLevel="0" collapsed="false">
      <c r="A216" s="121" t="str">
        <f aca="false">IF(B216="","",CONCATENATE(COUNTA(B$4:B216),"."))</f>
        <v/>
      </c>
      <c r="B216" s="126"/>
      <c r="C216" s="126"/>
      <c r="D216" s="126"/>
      <c r="E216" s="127"/>
      <c r="F216" s="127"/>
      <c r="G216" s="123" t="str">
        <f aca="false">IF(F216="","",ROUNDUP(F216*10%,0))</f>
        <v/>
      </c>
      <c r="H216" s="124" t="str">
        <f aca="false">IF(D216="","",15%)</f>
        <v/>
      </c>
      <c r="I216" s="123" t="str">
        <f aca="false">IF(COUNTBLANK(E216:H216)&lt;1,ROUNDUP(SUM(F216:G216)*((100+H216*100)%),0),"")</f>
        <v/>
      </c>
      <c r="J216" s="129"/>
      <c r="K216" s="129"/>
    </row>
    <row r="217" customFormat="false" ht="12.75" hidden="false" customHeight="true" outlineLevel="0" collapsed="false">
      <c r="A217" s="121" t="str">
        <f aca="false">IF(B217="","",CONCATENATE(COUNTA(B$4:B217),"."))</f>
        <v/>
      </c>
      <c r="B217" s="126"/>
      <c r="C217" s="126"/>
      <c r="D217" s="126"/>
      <c r="E217" s="127"/>
      <c r="F217" s="127"/>
      <c r="G217" s="123" t="str">
        <f aca="false">IF(F217="","",ROUNDUP(F217*10%,0))</f>
        <v/>
      </c>
      <c r="H217" s="124" t="str">
        <f aca="false">IF(D217="","",15%)</f>
        <v/>
      </c>
      <c r="I217" s="123" t="str">
        <f aca="false">IF(COUNTBLANK(E217:H217)&lt;1,ROUNDUP(SUM(F217:G217)*((100+H217*100)%),0),"")</f>
        <v/>
      </c>
      <c r="J217" s="129"/>
      <c r="K217" s="129"/>
    </row>
    <row r="218" customFormat="false" ht="12.75" hidden="false" customHeight="true" outlineLevel="0" collapsed="false">
      <c r="A218" s="121" t="str">
        <f aca="false">IF(B218="","",CONCATENATE(COUNTA(B$4:B218),"."))</f>
        <v/>
      </c>
      <c r="B218" s="126"/>
      <c r="C218" s="126"/>
      <c r="D218" s="126"/>
      <c r="E218" s="127"/>
      <c r="F218" s="127"/>
      <c r="G218" s="123" t="str">
        <f aca="false">IF(F218="","",ROUNDUP(F218*10%,0))</f>
        <v/>
      </c>
      <c r="H218" s="124" t="str">
        <f aca="false">IF(D218="","",15%)</f>
        <v/>
      </c>
      <c r="I218" s="123" t="str">
        <f aca="false">IF(COUNTBLANK(E218:H218)&lt;1,ROUNDUP(SUM(F218:G218)*((100+H218*100)%),0),"")</f>
        <v/>
      </c>
      <c r="J218" s="129"/>
      <c r="K218" s="129"/>
    </row>
    <row r="219" customFormat="false" ht="12.75" hidden="false" customHeight="true" outlineLevel="0" collapsed="false">
      <c r="A219" s="121" t="str">
        <f aca="false">IF(B219="","",CONCATENATE(COUNTA(B$4:B219),"."))</f>
        <v/>
      </c>
      <c r="B219" s="126"/>
      <c r="C219" s="126"/>
      <c r="D219" s="126"/>
      <c r="E219" s="127"/>
      <c r="F219" s="127"/>
      <c r="G219" s="123" t="str">
        <f aca="false">IF(F219="","",ROUNDUP(F219*10%,0))</f>
        <v/>
      </c>
      <c r="H219" s="124" t="str">
        <f aca="false">IF(D219="","",15%)</f>
        <v/>
      </c>
      <c r="I219" s="123" t="str">
        <f aca="false">IF(COUNTBLANK(E219:H219)&lt;1,ROUNDUP(SUM(F219:G219)*((100+H219*100)%),0),"")</f>
        <v/>
      </c>
      <c r="J219" s="129"/>
      <c r="K219" s="129"/>
    </row>
    <row r="220" customFormat="false" ht="12.75" hidden="false" customHeight="true" outlineLevel="0" collapsed="false">
      <c r="A220" s="121" t="str">
        <f aca="false">IF(B220="","",CONCATENATE(COUNTA(B$4:B220),"."))</f>
        <v/>
      </c>
      <c r="B220" s="126"/>
      <c r="C220" s="126"/>
      <c r="D220" s="126"/>
      <c r="E220" s="127"/>
      <c r="F220" s="127"/>
      <c r="G220" s="123" t="str">
        <f aca="false">IF(F220="","",ROUNDUP(F220*10%,0))</f>
        <v/>
      </c>
      <c r="H220" s="124" t="str">
        <f aca="false">IF(D220="","",15%)</f>
        <v/>
      </c>
      <c r="I220" s="123" t="str">
        <f aca="false">IF(COUNTBLANK(E220:H220)&lt;1,ROUNDUP(SUM(F220:G220)*((100+H220*100)%),0),"")</f>
        <v/>
      </c>
      <c r="J220" s="129"/>
      <c r="K220" s="129"/>
    </row>
    <row r="221" customFormat="false" ht="12.75" hidden="false" customHeight="true" outlineLevel="0" collapsed="false">
      <c r="A221" s="121" t="str">
        <f aca="false">IF(B221="","",CONCATENATE(COUNTA(B$4:B221),"."))</f>
        <v/>
      </c>
      <c r="B221" s="126"/>
      <c r="C221" s="126"/>
      <c r="D221" s="126"/>
      <c r="E221" s="127"/>
      <c r="F221" s="127"/>
      <c r="G221" s="123" t="str">
        <f aca="false">IF(F221="","",ROUNDUP(F221*10%,0))</f>
        <v/>
      </c>
      <c r="H221" s="124" t="str">
        <f aca="false">IF(D221="","",15%)</f>
        <v/>
      </c>
      <c r="I221" s="123" t="str">
        <f aca="false">IF(COUNTBLANK(E221:H221)&lt;1,ROUNDUP(SUM(F221:G221)*((100+H221*100)%),0),"")</f>
        <v/>
      </c>
      <c r="J221" s="129"/>
      <c r="K221" s="129"/>
    </row>
    <row r="222" customFormat="false" ht="12.75" hidden="false" customHeight="true" outlineLevel="0" collapsed="false">
      <c r="A222" s="121" t="str">
        <f aca="false">IF(B222="","",CONCATENATE(COUNTA(B$4:B222),"."))</f>
        <v/>
      </c>
      <c r="B222" s="126"/>
      <c r="C222" s="126"/>
      <c r="D222" s="126"/>
      <c r="E222" s="127"/>
      <c r="F222" s="127"/>
      <c r="G222" s="123" t="str">
        <f aca="false">IF(F222="","",ROUNDUP(F222*10%,0))</f>
        <v/>
      </c>
      <c r="H222" s="124" t="str">
        <f aca="false">IF(D222="","",15%)</f>
        <v/>
      </c>
      <c r="I222" s="123" t="str">
        <f aca="false">IF(COUNTBLANK(E222:H222)&lt;1,ROUNDUP(SUM(F222:G222)*((100+H222*100)%),0),"")</f>
        <v/>
      </c>
      <c r="J222" s="129"/>
      <c r="K222" s="129"/>
    </row>
    <row r="223" customFormat="false" ht="12.75" hidden="false" customHeight="true" outlineLevel="0" collapsed="false">
      <c r="A223" s="121" t="str">
        <f aca="false">IF(B223="","",CONCATENATE(COUNTA(B$4:B223),"."))</f>
        <v/>
      </c>
      <c r="B223" s="126"/>
      <c r="C223" s="126"/>
      <c r="D223" s="126"/>
      <c r="E223" s="127"/>
      <c r="F223" s="127"/>
      <c r="G223" s="123" t="str">
        <f aca="false">IF(F223="","",ROUNDUP(F223*10%,0))</f>
        <v/>
      </c>
      <c r="H223" s="124" t="str">
        <f aca="false">IF(D223="","",15%)</f>
        <v/>
      </c>
      <c r="I223" s="123" t="str">
        <f aca="false">IF(COUNTBLANK(E223:H223)&lt;1,ROUNDUP(SUM(F223:G223)*((100+H223*100)%),0),"")</f>
        <v/>
      </c>
      <c r="J223" s="129"/>
      <c r="K223" s="129"/>
    </row>
    <row r="224" customFormat="false" ht="12.75" hidden="false" customHeight="true" outlineLevel="0" collapsed="false">
      <c r="A224" s="121" t="str">
        <f aca="false">IF(B224="","",CONCATENATE(COUNTA(B$4:B224),"."))</f>
        <v/>
      </c>
      <c r="B224" s="126"/>
      <c r="C224" s="126"/>
      <c r="D224" s="126"/>
      <c r="E224" s="127"/>
      <c r="F224" s="127"/>
      <c r="G224" s="123" t="str">
        <f aca="false">IF(F224="","",ROUNDUP(F224*10%,0))</f>
        <v/>
      </c>
      <c r="H224" s="124" t="str">
        <f aca="false">IF(D224="","",15%)</f>
        <v/>
      </c>
      <c r="I224" s="123" t="str">
        <f aca="false">IF(COUNTBLANK(E224:H224)&lt;1,ROUNDUP(SUM(F224:G224)*((100+H224*100)%),0),"")</f>
        <v/>
      </c>
      <c r="J224" s="129"/>
      <c r="K224" s="129"/>
    </row>
    <row r="225" customFormat="false" ht="12.75" hidden="false" customHeight="true" outlineLevel="0" collapsed="false">
      <c r="A225" s="121" t="str">
        <f aca="false">IF(B225="","",CONCATENATE(COUNTA(B$4:B225),"."))</f>
        <v/>
      </c>
      <c r="B225" s="126"/>
      <c r="C225" s="126"/>
      <c r="D225" s="126"/>
      <c r="E225" s="127"/>
      <c r="F225" s="127"/>
      <c r="G225" s="123" t="str">
        <f aca="false">IF(F225="","",ROUNDUP(F225*10%,0))</f>
        <v/>
      </c>
      <c r="H225" s="124" t="str">
        <f aca="false">IF(D225="","",15%)</f>
        <v/>
      </c>
      <c r="I225" s="123" t="str">
        <f aca="false">IF(COUNTBLANK(E225:H225)&lt;1,ROUNDUP(SUM(F225:G225)*((100+H225*100)%),0),"")</f>
        <v/>
      </c>
      <c r="J225" s="129"/>
      <c r="K225" s="129"/>
    </row>
    <row r="226" customFormat="false" ht="12.75" hidden="false" customHeight="true" outlineLevel="0" collapsed="false">
      <c r="A226" s="121" t="str">
        <f aca="false">IF(B226="","",CONCATENATE(COUNTA(B$4:B226),"."))</f>
        <v/>
      </c>
      <c r="B226" s="126"/>
      <c r="C226" s="126"/>
      <c r="D226" s="126"/>
      <c r="E226" s="127"/>
      <c r="F226" s="127"/>
      <c r="G226" s="123" t="str">
        <f aca="false">IF(F226="","",ROUNDUP(F226*10%,0))</f>
        <v/>
      </c>
      <c r="H226" s="124" t="str">
        <f aca="false">IF(D226="","",15%)</f>
        <v/>
      </c>
      <c r="I226" s="123" t="str">
        <f aca="false">IF(COUNTBLANK(E226:H226)&lt;1,ROUNDUP(SUM(F226:G226)*((100+H226*100)%),0),"")</f>
        <v/>
      </c>
      <c r="J226" s="129"/>
      <c r="K226" s="129"/>
    </row>
    <row r="227" customFormat="false" ht="12.75" hidden="false" customHeight="true" outlineLevel="0" collapsed="false">
      <c r="A227" s="121" t="str">
        <f aca="false">IF(B227="","",CONCATENATE(COUNTA(B$4:B227),"."))</f>
        <v/>
      </c>
      <c r="B227" s="126"/>
      <c r="C227" s="126"/>
      <c r="D227" s="126"/>
      <c r="E227" s="127"/>
      <c r="F227" s="127"/>
      <c r="G227" s="123" t="str">
        <f aca="false">IF(F227="","",ROUNDUP(F227*10%,0))</f>
        <v/>
      </c>
      <c r="H227" s="124" t="str">
        <f aca="false">IF(D227="","",15%)</f>
        <v/>
      </c>
      <c r="I227" s="123" t="str">
        <f aca="false">IF(COUNTBLANK(E227:H227)&lt;1,ROUNDUP(SUM(F227:G227)*((100+H227*100)%),0),"")</f>
        <v/>
      </c>
      <c r="J227" s="129"/>
      <c r="K227" s="129"/>
    </row>
    <row r="228" customFormat="false" ht="12.75" hidden="false" customHeight="true" outlineLevel="0" collapsed="false">
      <c r="A228" s="121" t="str">
        <f aca="false">IF(B228="","",CONCATENATE(COUNTA(B$4:B228),"."))</f>
        <v/>
      </c>
      <c r="B228" s="126"/>
      <c r="C228" s="126"/>
      <c r="D228" s="126"/>
      <c r="E228" s="127"/>
      <c r="F228" s="127"/>
      <c r="G228" s="123" t="str">
        <f aca="false">IF(F228="","",ROUNDUP(F228*10%,0))</f>
        <v/>
      </c>
      <c r="H228" s="124" t="str">
        <f aca="false">IF(D228="","",15%)</f>
        <v/>
      </c>
      <c r="I228" s="123" t="str">
        <f aca="false">IF(COUNTBLANK(E228:H228)&lt;1,ROUNDUP(SUM(F228:G228)*((100+H228*100)%),0),"")</f>
        <v/>
      </c>
      <c r="J228" s="129"/>
      <c r="K228" s="129"/>
    </row>
    <row r="229" customFormat="false" ht="12.75" hidden="false" customHeight="true" outlineLevel="0" collapsed="false">
      <c r="A229" s="121" t="str">
        <f aca="false">IF(B229="","",CONCATENATE(COUNTA(B$4:B229),"."))</f>
        <v/>
      </c>
      <c r="B229" s="126"/>
      <c r="C229" s="126"/>
      <c r="D229" s="126"/>
      <c r="E229" s="127"/>
      <c r="F229" s="127"/>
      <c r="G229" s="123" t="str">
        <f aca="false">IF(F229="","",ROUNDUP(F229*10%,0))</f>
        <v/>
      </c>
      <c r="H229" s="124" t="str">
        <f aca="false">IF(D229="","",15%)</f>
        <v/>
      </c>
      <c r="I229" s="123" t="str">
        <f aca="false">IF(COUNTBLANK(E229:H229)&lt;1,ROUNDUP(SUM(F229:G229)*((100+H229*100)%),0),"")</f>
        <v/>
      </c>
      <c r="J229" s="129"/>
      <c r="K229" s="129"/>
    </row>
    <row r="230" customFormat="false" ht="12.75" hidden="false" customHeight="true" outlineLevel="0" collapsed="false">
      <c r="A230" s="121" t="str">
        <f aca="false">IF(B230="","",CONCATENATE(COUNTA(B$4:B230),"."))</f>
        <v/>
      </c>
      <c r="B230" s="126"/>
      <c r="C230" s="126"/>
      <c r="D230" s="126"/>
      <c r="E230" s="127"/>
      <c r="F230" s="127"/>
      <c r="G230" s="123" t="str">
        <f aca="false">IF(F230="","",ROUNDUP(F230*10%,0))</f>
        <v/>
      </c>
      <c r="H230" s="124" t="str">
        <f aca="false">IF(D230="","",15%)</f>
        <v/>
      </c>
      <c r="I230" s="123" t="str">
        <f aca="false">IF(COUNTBLANK(E230:H230)&lt;1,ROUNDUP(SUM(F230:G230)*((100+H230*100)%),0),"")</f>
        <v/>
      </c>
      <c r="J230" s="129"/>
      <c r="K230" s="129"/>
    </row>
    <row r="231" customFormat="false" ht="12.75" hidden="false" customHeight="true" outlineLevel="0" collapsed="false">
      <c r="A231" s="121" t="str">
        <f aca="false">IF(B231="","",CONCATENATE(COUNTA(B$4:B231),"."))</f>
        <v/>
      </c>
      <c r="B231" s="126"/>
      <c r="C231" s="126"/>
      <c r="D231" s="126"/>
      <c r="E231" s="127"/>
      <c r="F231" s="127"/>
      <c r="G231" s="123" t="str">
        <f aca="false">IF(F231="","",ROUNDUP(F231*10%,0))</f>
        <v/>
      </c>
      <c r="H231" s="124" t="str">
        <f aca="false">IF(D231="","",15%)</f>
        <v/>
      </c>
      <c r="I231" s="123" t="str">
        <f aca="false">IF(COUNTBLANK(E231:H231)&lt;1,ROUNDUP(SUM(F231:G231)*((100+H231*100)%),0),"")</f>
        <v/>
      </c>
      <c r="J231" s="129"/>
      <c r="K231" s="129"/>
    </row>
    <row r="232" customFormat="false" ht="12.75" hidden="false" customHeight="true" outlineLevel="0" collapsed="false">
      <c r="A232" s="121" t="str">
        <f aca="false">IF(B232="","",CONCATENATE(COUNTA(B$4:B232),"."))</f>
        <v/>
      </c>
      <c r="B232" s="126"/>
      <c r="C232" s="126"/>
      <c r="D232" s="126"/>
      <c r="E232" s="127"/>
      <c r="F232" s="127"/>
      <c r="G232" s="123" t="str">
        <f aca="false">IF(F232="","",ROUNDUP(F232*10%,0))</f>
        <v/>
      </c>
      <c r="H232" s="124" t="str">
        <f aca="false">IF(D232="","",15%)</f>
        <v/>
      </c>
      <c r="I232" s="123" t="str">
        <f aca="false">IF(COUNTBLANK(E232:H232)&lt;1,ROUNDUP(SUM(F232:G232)*((100+H232*100)%),0),"")</f>
        <v/>
      </c>
      <c r="J232" s="129"/>
      <c r="K232" s="129"/>
    </row>
    <row r="233" customFormat="false" ht="12.75" hidden="false" customHeight="true" outlineLevel="0" collapsed="false">
      <c r="A233" s="121" t="str">
        <f aca="false">IF(B233="","",CONCATENATE(COUNTA(B$4:B233),"."))</f>
        <v/>
      </c>
      <c r="B233" s="126"/>
      <c r="C233" s="126"/>
      <c r="D233" s="126"/>
      <c r="E233" s="127"/>
      <c r="F233" s="127"/>
      <c r="G233" s="123" t="str">
        <f aca="false">IF(F233="","",ROUNDUP(F233*10%,0))</f>
        <v/>
      </c>
      <c r="H233" s="124" t="str">
        <f aca="false">IF(D233="","",15%)</f>
        <v/>
      </c>
      <c r="I233" s="123" t="str">
        <f aca="false">IF(COUNTBLANK(E233:H233)&lt;1,ROUNDUP(SUM(F233:G233)*((100+H233*100)%),0),"")</f>
        <v/>
      </c>
      <c r="J233" s="129"/>
      <c r="K233" s="129"/>
    </row>
    <row r="234" customFormat="false" ht="12.75" hidden="false" customHeight="true" outlineLevel="0" collapsed="false">
      <c r="A234" s="121" t="str">
        <f aca="false">IF(B234="","",CONCATENATE(COUNTA(B$4:B234),"."))</f>
        <v/>
      </c>
      <c r="B234" s="126"/>
      <c r="C234" s="126"/>
      <c r="D234" s="126"/>
      <c r="E234" s="127"/>
      <c r="F234" s="127"/>
      <c r="G234" s="123" t="str">
        <f aca="false">IF(F234="","",ROUNDUP(F234*10%,0))</f>
        <v/>
      </c>
      <c r="H234" s="124" t="str">
        <f aca="false">IF(D234="","",15%)</f>
        <v/>
      </c>
      <c r="I234" s="123" t="str">
        <f aca="false">IF(COUNTBLANK(E234:H234)&lt;1,ROUNDUP(SUM(F234:G234)*((100+H234*100)%),0),"")</f>
        <v/>
      </c>
      <c r="J234" s="129"/>
      <c r="K234" s="129"/>
    </row>
    <row r="235" customFormat="false" ht="12.75" hidden="false" customHeight="true" outlineLevel="0" collapsed="false">
      <c r="A235" s="121" t="str">
        <f aca="false">IF(B235="","",CONCATENATE(COUNTA(B$4:B235),"."))</f>
        <v/>
      </c>
      <c r="B235" s="126"/>
      <c r="C235" s="126"/>
      <c r="D235" s="126"/>
      <c r="E235" s="127"/>
      <c r="F235" s="127"/>
      <c r="G235" s="123" t="str">
        <f aca="false">IF(F235="","",ROUNDUP(F235*10%,0))</f>
        <v/>
      </c>
      <c r="H235" s="124" t="str">
        <f aca="false">IF(D235="","",15%)</f>
        <v/>
      </c>
      <c r="I235" s="123" t="str">
        <f aca="false">IF(COUNTBLANK(E235:H235)&lt;1,ROUNDUP(SUM(F235:G235)*((100+H235*100)%),0),"")</f>
        <v/>
      </c>
      <c r="J235" s="129"/>
      <c r="K235" s="129"/>
    </row>
    <row r="236" customFormat="false" ht="12.75" hidden="false" customHeight="true" outlineLevel="0" collapsed="false">
      <c r="A236" s="121" t="str">
        <f aca="false">IF(B236="","",CONCATENATE(COUNTA(B$4:B236),"."))</f>
        <v/>
      </c>
      <c r="B236" s="126"/>
      <c r="C236" s="126"/>
      <c r="D236" s="126"/>
      <c r="E236" s="127"/>
      <c r="F236" s="127"/>
      <c r="G236" s="123" t="str">
        <f aca="false">IF(F236="","",ROUNDUP(F236*10%,0))</f>
        <v/>
      </c>
      <c r="H236" s="124" t="str">
        <f aca="false">IF(D236="","",15%)</f>
        <v/>
      </c>
      <c r="I236" s="123" t="str">
        <f aca="false">IF(COUNTBLANK(E236:H236)&lt;1,ROUNDUP(SUM(F236:G236)*((100+H236*100)%),0),"")</f>
        <v/>
      </c>
      <c r="J236" s="129"/>
      <c r="K236" s="129"/>
    </row>
    <row r="237" customFormat="false" ht="12.75" hidden="false" customHeight="true" outlineLevel="0" collapsed="false">
      <c r="A237" s="121" t="str">
        <f aca="false">IF(B237="","",CONCATENATE(COUNTA(B$4:B237),"."))</f>
        <v/>
      </c>
      <c r="B237" s="126"/>
      <c r="C237" s="126"/>
      <c r="D237" s="126"/>
      <c r="E237" s="127"/>
      <c r="F237" s="127"/>
      <c r="G237" s="123" t="str">
        <f aca="false">IF(F237="","",ROUNDUP(F237*10%,0))</f>
        <v/>
      </c>
      <c r="H237" s="124" t="str">
        <f aca="false">IF(D237="","",15%)</f>
        <v/>
      </c>
      <c r="I237" s="123" t="str">
        <f aca="false">IF(COUNTBLANK(E237:H237)&lt;1,ROUNDUP(SUM(F237:G237)*((100+H237*100)%),0),"")</f>
        <v/>
      </c>
      <c r="J237" s="129"/>
      <c r="K237" s="129"/>
    </row>
    <row r="238" customFormat="false" ht="12.75" hidden="false" customHeight="true" outlineLevel="0" collapsed="false">
      <c r="A238" s="121" t="str">
        <f aca="false">IF(B238="","",CONCATENATE(COUNTA(B$4:B238),"."))</f>
        <v/>
      </c>
      <c r="B238" s="126"/>
      <c r="C238" s="126"/>
      <c r="D238" s="126"/>
      <c r="E238" s="127"/>
      <c r="F238" s="127"/>
      <c r="G238" s="123" t="str">
        <f aca="false">IF(F238="","",ROUNDUP(F238*10%,0))</f>
        <v/>
      </c>
      <c r="H238" s="124" t="str">
        <f aca="false">IF(D238="","",15%)</f>
        <v/>
      </c>
      <c r="I238" s="123" t="str">
        <f aca="false">IF(COUNTBLANK(E238:H238)&lt;1,ROUNDUP(SUM(F238:G238)*((100+H238*100)%),0),"")</f>
        <v/>
      </c>
      <c r="J238" s="129"/>
      <c r="K238" s="129"/>
    </row>
    <row r="239" customFormat="false" ht="12.75" hidden="false" customHeight="true" outlineLevel="0" collapsed="false">
      <c r="A239" s="121" t="str">
        <f aca="false">IF(B239="","",CONCATENATE(COUNTA(B$4:B239),"."))</f>
        <v/>
      </c>
      <c r="B239" s="126"/>
      <c r="C239" s="126"/>
      <c r="D239" s="126"/>
      <c r="E239" s="127"/>
      <c r="F239" s="127"/>
      <c r="G239" s="123" t="str">
        <f aca="false">IF(F239="","",ROUNDUP(F239*10%,0))</f>
        <v/>
      </c>
      <c r="H239" s="124" t="str">
        <f aca="false">IF(D239="","",15%)</f>
        <v/>
      </c>
      <c r="I239" s="123" t="str">
        <f aca="false">IF(COUNTBLANK(E239:H239)&lt;1,ROUNDUP(SUM(F239:G239)*((100+H239*100)%),0),"")</f>
        <v/>
      </c>
      <c r="J239" s="129"/>
      <c r="K239" s="129"/>
    </row>
    <row r="240" customFormat="false" ht="12.75" hidden="false" customHeight="true" outlineLevel="0" collapsed="false">
      <c r="A240" s="121" t="str">
        <f aca="false">IF(B240="","",CONCATENATE(COUNTA(B$4:B240),"."))</f>
        <v/>
      </c>
      <c r="B240" s="126"/>
      <c r="C240" s="126"/>
      <c r="D240" s="126"/>
      <c r="E240" s="127"/>
      <c r="F240" s="127"/>
      <c r="G240" s="123" t="str">
        <f aca="false">IF(F240="","",ROUNDUP(F240*10%,0))</f>
        <v/>
      </c>
      <c r="H240" s="124" t="str">
        <f aca="false">IF(D240="","",15%)</f>
        <v/>
      </c>
      <c r="I240" s="123" t="str">
        <f aca="false">IF(COUNTBLANK(E240:H240)&lt;1,ROUNDUP(SUM(F240:G240)*((100+H240*100)%),0),"")</f>
        <v/>
      </c>
      <c r="J240" s="129"/>
      <c r="K240" s="129"/>
    </row>
    <row r="241" customFormat="false" ht="12.75" hidden="false" customHeight="true" outlineLevel="0" collapsed="false">
      <c r="A241" s="121" t="str">
        <f aca="false">IF(B241="","",CONCATENATE(COUNTA(B$4:B241),"."))</f>
        <v/>
      </c>
      <c r="B241" s="126"/>
      <c r="C241" s="126"/>
      <c r="D241" s="126"/>
      <c r="E241" s="127"/>
      <c r="F241" s="127"/>
      <c r="G241" s="123" t="str">
        <f aca="false">IF(F241="","",ROUNDUP(F241*10%,0))</f>
        <v/>
      </c>
      <c r="H241" s="124" t="str">
        <f aca="false">IF(D241="","",15%)</f>
        <v/>
      </c>
      <c r="I241" s="123" t="str">
        <f aca="false">IF(COUNTBLANK(E241:H241)&lt;1,ROUNDUP(SUM(F241:G241)*((100+H241*100)%),0),"")</f>
        <v/>
      </c>
      <c r="J241" s="129"/>
      <c r="K241" s="129"/>
    </row>
    <row r="242" customFormat="false" ht="12.75" hidden="false" customHeight="true" outlineLevel="0" collapsed="false">
      <c r="A242" s="121" t="str">
        <f aca="false">IF(B242="","",CONCATENATE(COUNTA(B$4:B242),"."))</f>
        <v/>
      </c>
      <c r="B242" s="126"/>
      <c r="C242" s="126"/>
      <c r="D242" s="126"/>
      <c r="E242" s="127"/>
      <c r="F242" s="127"/>
      <c r="G242" s="123" t="str">
        <f aca="false">IF(F242="","",ROUNDUP(F242*10%,0))</f>
        <v/>
      </c>
      <c r="H242" s="124" t="str">
        <f aca="false">IF(D242="","",15%)</f>
        <v/>
      </c>
      <c r="I242" s="123" t="str">
        <f aca="false">IF(COUNTBLANK(E242:H242)&lt;1,ROUNDUP(SUM(F242:G242)*((100+H242*100)%),0),"")</f>
        <v/>
      </c>
      <c r="J242" s="129"/>
      <c r="K242" s="129"/>
    </row>
    <row r="243" customFormat="false" ht="12.75" hidden="false" customHeight="true" outlineLevel="0" collapsed="false">
      <c r="A243" s="121" t="str">
        <f aca="false">IF(B243="","",CONCATENATE(COUNTA(B$4:B243),"."))</f>
        <v/>
      </c>
      <c r="B243" s="126"/>
      <c r="C243" s="126"/>
      <c r="D243" s="126"/>
      <c r="E243" s="127"/>
      <c r="F243" s="127"/>
      <c r="G243" s="123" t="str">
        <f aca="false">IF(F243="","",ROUNDUP(F243*10%,0))</f>
        <v/>
      </c>
      <c r="H243" s="124" t="str">
        <f aca="false">IF(D243="","",15%)</f>
        <v/>
      </c>
      <c r="I243" s="123" t="str">
        <f aca="false">IF(COUNTBLANK(E243:H243)&lt;1,ROUNDUP(SUM(F243:G243)*((100+H243*100)%),0),"")</f>
        <v/>
      </c>
      <c r="J243" s="129"/>
      <c r="K243" s="129"/>
    </row>
    <row r="244" customFormat="false" ht="12.75" hidden="false" customHeight="true" outlineLevel="0" collapsed="false">
      <c r="A244" s="121" t="str">
        <f aca="false">IF(B244="","",CONCATENATE(COUNTA(B$4:B244),"."))</f>
        <v/>
      </c>
      <c r="B244" s="126"/>
      <c r="C244" s="126"/>
      <c r="D244" s="126"/>
      <c r="E244" s="127"/>
      <c r="F244" s="127"/>
      <c r="G244" s="123" t="str">
        <f aca="false">IF(F244="","",ROUNDUP(F244*10%,0))</f>
        <v/>
      </c>
      <c r="H244" s="124" t="str">
        <f aca="false">IF(D244="","",15%)</f>
        <v/>
      </c>
      <c r="I244" s="123" t="str">
        <f aca="false">IF(COUNTBLANK(E244:H244)&lt;1,ROUNDUP(SUM(F244:G244)*((100+H244*100)%),0),"")</f>
        <v/>
      </c>
      <c r="J244" s="129"/>
      <c r="K244" s="129"/>
    </row>
    <row r="245" customFormat="false" ht="12.75" hidden="false" customHeight="true" outlineLevel="0" collapsed="false">
      <c r="A245" s="121" t="str">
        <f aca="false">IF(B245="","",CONCATENATE(COUNTA(B$4:B245),"."))</f>
        <v/>
      </c>
      <c r="B245" s="126"/>
      <c r="C245" s="126"/>
      <c r="D245" s="126"/>
      <c r="E245" s="127"/>
      <c r="F245" s="127"/>
      <c r="G245" s="123" t="str">
        <f aca="false">IF(F245="","",ROUNDUP(F245*10%,0))</f>
        <v/>
      </c>
      <c r="H245" s="124" t="str">
        <f aca="false">IF(D245="","",15%)</f>
        <v/>
      </c>
      <c r="I245" s="123" t="str">
        <f aca="false">IF(COUNTBLANK(E245:H245)&lt;1,ROUNDUP(SUM(F245:G245)*((100+H245*100)%),0),"")</f>
        <v/>
      </c>
      <c r="J245" s="129"/>
      <c r="K245" s="129"/>
    </row>
    <row r="246" customFormat="false" ht="12.75" hidden="false" customHeight="true" outlineLevel="0" collapsed="false">
      <c r="A246" s="121" t="str">
        <f aca="false">IF(B246="","",CONCATENATE(COUNTA(B$4:B246),"."))</f>
        <v/>
      </c>
      <c r="B246" s="126"/>
      <c r="C246" s="126"/>
      <c r="D246" s="126"/>
      <c r="E246" s="127"/>
      <c r="F246" s="127"/>
      <c r="G246" s="123" t="str">
        <f aca="false">IF(F246="","",ROUNDUP(F246*10%,0))</f>
        <v/>
      </c>
      <c r="H246" s="124" t="str">
        <f aca="false">IF(D246="","",15%)</f>
        <v/>
      </c>
      <c r="I246" s="123" t="str">
        <f aca="false">IF(COUNTBLANK(E246:H246)&lt;1,ROUNDUP(SUM(F246:G246)*((100+H246*100)%),0),"")</f>
        <v/>
      </c>
      <c r="J246" s="129"/>
      <c r="K246" s="129"/>
    </row>
    <row r="247" customFormat="false" ht="12.75" hidden="false" customHeight="true" outlineLevel="0" collapsed="false">
      <c r="A247" s="121" t="str">
        <f aca="false">IF(B247="","",CONCATENATE(COUNTA(B$4:B247),"."))</f>
        <v/>
      </c>
      <c r="B247" s="126"/>
      <c r="C247" s="126"/>
      <c r="D247" s="126"/>
      <c r="E247" s="127"/>
      <c r="F247" s="127"/>
      <c r="G247" s="123" t="str">
        <f aca="false">IF(F247="","",ROUNDUP(F247*10%,0))</f>
        <v/>
      </c>
      <c r="H247" s="124" t="str">
        <f aca="false">IF(D247="","",15%)</f>
        <v/>
      </c>
      <c r="I247" s="123" t="str">
        <f aca="false">IF(COUNTBLANK(E247:H247)&lt;1,ROUNDUP(SUM(F247:G247)*((100+H247*100)%),0),"")</f>
        <v/>
      </c>
      <c r="J247" s="129"/>
      <c r="K247" s="129"/>
    </row>
    <row r="248" customFormat="false" ht="12.75" hidden="false" customHeight="true" outlineLevel="0" collapsed="false">
      <c r="A248" s="121" t="str">
        <f aca="false">IF(B248="","",CONCATENATE(COUNTA(B$4:B248),"."))</f>
        <v/>
      </c>
      <c r="B248" s="126"/>
      <c r="C248" s="126"/>
      <c r="D248" s="126"/>
      <c r="E248" s="127"/>
      <c r="F248" s="127"/>
      <c r="G248" s="123" t="str">
        <f aca="false">IF(F248="","",ROUNDUP(F248*10%,0))</f>
        <v/>
      </c>
      <c r="H248" s="124" t="str">
        <f aca="false">IF(D248="","",15%)</f>
        <v/>
      </c>
      <c r="I248" s="123" t="str">
        <f aca="false">IF(COUNTBLANK(E248:H248)&lt;1,ROUNDUP(SUM(F248:G248)*((100+H248*100)%),0),"")</f>
        <v/>
      </c>
      <c r="J248" s="129"/>
      <c r="K248" s="129"/>
    </row>
    <row r="249" customFormat="false" ht="12.75" hidden="false" customHeight="true" outlineLevel="0" collapsed="false">
      <c r="A249" s="121" t="str">
        <f aca="false">IF(B249="","",CONCATENATE(COUNTA(B$4:B249),"."))</f>
        <v/>
      </c>
      <c r="B249" s="126"/>
      <c r="C249" s="126"/>
      <c r="D249" s="126"/>
      <c r="E249" s="127"/>
      <c r="F249" s="127"/>
      <c r="G249" s="123" t="str">
        <f aca="false">IF(F249="","",ROUNDUP(F249*10%,0))</f>
        <v/>
      </c>
      <c r="H249" s="124" t="str">
        <f aca="false">IF(D249="","",15%)</f>
        <v/>
      </c>
      <c r="I249" s="123" t="str">
        <f aca="false">IF(COUNTBLANK(E249:H249)&lt;1,ROUNDUP(SUM(F249:G249)*((100+H249*100)%),0),"")</f>
        <v/>
      </c>
      <c r="J249" s="129"/>
      <c r="K249" s="129"/>
    </row>
    <row r="250" customFormat="false" ht="12.75" hidden="false" customHeight="true" outlineLevel="0" collapsed="false">
      <c r="A250" s="121" t="str">
        <f aca="false">IF(B250="","",CONCATENATE(COUNTA(B$4:B250),"."))</f>
        <v/>
      </c>
      <c r="B250" s="126"/>
      <c r="C250" s="126"/>
      <c r="D250" s="126"/>
      <c r="E250" s="127"/>
      <c r="F250" s="127"/>
      <c r="G250" s="123" t="str">
        <f aca="false">IF(F250="","",ROUNDUP(F250*10%,0))</f>
        <v/>
      </c>
      <c r="H250" s="124" t="str">
        <f aca="false">IF(D250="","",15%)</f>
        <v/>
      </c>
      <c r="I250" s="123" t="str">
        <f aca="false">IF(COUNTBLANK(E250:H250)&lt;1,ROUNDUP(SUM(F250:G250)*((100+H250*100)%),0),"")</f>
        <v/>
      </c>
      <c r="J250" s="129"/>
      <c r="K250" s="129"/>
    </row>
    <row r="251" customFormat="false" ht="12.75" hidden="false" customHeight="true" outlineLevel="0" collapsed="false">
      <c r="A251" s="121" t="str">
        <f aca="false">IF(B251="","",CONCATENATE(COUNTA(B$4:B251),"."))</f>
        <v/>
      </c>
      <c r="B251" s="126"/>
      <c r="C251" s="126"/>
      <c r="D251" s="126"/>
      <c r="E251" s="127"/>
      <c r="F251" s="127"/>
      <c r="G251" s="123" t="str">
        <f aca="false">IF(F251="","",ROUNDUP(F251*10%,0))</f>
        <v/>
      </c>
      <c r="H251" s="124" t="str">
        <f aca="false">IF(D251="","",15%)</f>
        <v/>
      </c>
      <c r="I251" s="123" t="str">
        <f aca="false">IF(COUNTBLANK(E251:H251)&lt;1,ROUNDUP(SUM(F251:G251)*((100+H251*100)%),0),"")</f>
        <v/>
      </c>
      <c r="J251" s="129"/>
      <c r="K251" s="129"/>
    </row>
    <row r="252" customFormat="false" ht="12.75" hidden="false" customHeight="true" outlineLevel="0" collapsed="false">
      <c r="A252" s="121" t="str">
        <f aca="false">IF(B252="","",CONCATENATE(COUNTA(B$4:B252),"."))</f>
        <v/>
      </c>
      <c r="B252" s="126"/>
      <c r="C252" s="126"/>
      <c r="D252" s="126"/>
      <c r="E252" s="127"/>
      <c r="F252" s="127"/>
      <c r="G252" s="123" t="str">
        <f aca="false">IF(F252="","",ROUNDUP(F252*10%,0))</f>
        <v/>
      </c>
      <c r="H252" s="124" t="str">
        <f aca="false">IF(D252="","",15%)</f>
        <v/>
      </c>
      <c r="I252" s="123" t="str">
        <f aca="false">IF(COUNTBLANK(E252:H252)&lt;1,ROUNDUP(SUM(F252:G252)*((100+H252*100)%),0),"")</f>
        <v/>
      </c>
      <c r="J252" s="129"/>
      <c r="K252" s="129"/>
    </row>
    <row r="253" customFormat="false" ht="12.75" hidden="false" customHeight="true" outlineLevel="0" collapsed="false">
      <c r="A253" s="121" t="str">
        <f aca="false">IF(B253="","",CONCATENATE(COUNTA(B$4:B253),"."))</f>
        <v/>
      </c>
      <c r="B253" s="126"/>
      <c r="C253" s="126"/>
      <c r="D253" s="126"/>
      <c r="E253" s="127"/>
      <c r="F253" s="127"/>
      <c r="G253" s="123" t="str">
        <f aca="false">IF(F253="","",ROUNDUP(F253*10%,0))</f>
        <v/>
      </c>
      <c r="H253" s="124" t="str">
        <f aca="false">IF(D253="","",15%)</f>
        <v/>
      </c>
      <c r="I253" s="123" t="str">
        <f aca="false">IF(COUNTBLANK(E253:H253)&lt;1,ROUNDUP(SUM(F253:G253)*((100+H253*100)%),0),"")</f>
        <v/>
      </c>
      <c r="J253" s="129"/>
      <c r="K253" s="129"/>
    </row>
    <row r="254" customFormat="false" ht="12.75" hidden="false" customHeight="true" outlineLevel="0" collapsed="false">
      <c r="A254" s="121" t="str">
        <f aca="false">IF(B254="","",CONCATENATE(COUNTA(B$4:B254),"."))</f>
        <v/>
      </c>
      <c r="B254" s="126"/>
      <c r="C254" s="126"/>
      <c r="D254" s="126"/>
      <c r="E254" s="127"/>
      <c r="F254" s="127"/>
      <c r="G254" s="123" t="str">
        <f aca="false">IF(F254="","",ROUNDUP(F254*10%,0))</f>
        <v/>
      </c>
      <c r="H254" s="124" t="str">
        <f aca="false">IF(D254="","",15%)</f>
        <v/>
      </c>
      <c r="I254" s="123" t="str">
        <f aca="false">IF(COUNTBLANK(E254:H254)&lt;1,ROUNDUP(SUM(F254:G254)*((100+H254*100)%),0),"")</f>
        <v/>
      </c>
      <c r="J254" s="129"/>
      <c r="K254" s="129"/>
    </row>
    <row r="255" customFormat="false" ht="12.75" hidden="false" customHeight="true" outlineLevel="0" collapsed="false">
      <c r="A255" s="121" t="str">
        <f aca="false">IF(B255="","",CONCATENATE(COUNTA(B$4:B255),"."))</f>
        <v/>
      </c>
      <c r="B255" s="126"/>
      <c r="C255" s="126"/>
      <c r="D255" s="126"/>
      <c r="E255" s="127"/>
      <c r="F255" s="127"/>
      <c r="G255" s="123" t="str">
        <f aca="false">IF(F255="","",ROUNDUP(F255*10%,0))</f>
        <v/>
      </c>
      <c r="H255" s="124" t="str">
        <f aca="false">IF(D255="","",15%)</f>
        <v/>
      </c>
      <c r="I255" s="123" t="str">
        <f aca="false">IF(COUNTBLANK(E255:H255)&lt;1,ROUNDUP(SUM(F255:G255)*((100+H255*100)%),0),"")</f>
        <v/>
      </c>
      <c r="J255" s="129"/>
      <c r="K255" s="129"/>
    </row>
    <row r="256" customFormat="false" ht="12.75" hidden="false" customHeight="true" outlineLevel="0" collapsed="false">
      <c r="A256" s="121" t="str">
        <f aca="false">IF(B256="","",CONCATENATE(COUNTA(B$4:B256),"."))</f>
        <v/>
      </c>
      <c r="B256" s="126"/>
      <c r="C256" s="126"/>
      <c r="D256" s="126"/>
      <c r="E256" s="127"/>
      <c r="F256" s="127"/>
      <c r="G256" s="123" t="str">
        <f aca="false">IF(F256="","",ROUNDUP(F256*10%,0))</f>
        <v/>
      </c>
      <c r="H256" s="124" t="str">
        <f aca="false">IF(D256="","",15%)</f>
        <v/>
      </c>
      <c r="I256" s="123" t="str">
        <f aca="false">IF(COUNTBLANK(E256:H256)&lt;1,ROUNDUP(SUM(F256:G256)*((100+H256*100)%),0),"")</f>
        <v/>
      </c>
      <c r="J256" s="129"/>
      <c r="K256" s="129"/>
    </row>
    <row r="257" customFormat="false" ht="12.75" hidden="false" customHeight="true" outlineLevel="0" collapsed="false">
      <c r="A257" s="121" t="str">
        <f aca="false">IF(B257="","",CONCATENATE(COUNTA(B$4:B257),"."))</f>
        <v/>
      </c>
      <c r="B257" s="126"/>
      <c r="C257" s="126"/>
      <c r="D257" s="126"/>
      <c r="E257" s="127"/>
      <c r="F257" s="127"/>
      <c r="G257" s="123" t="str">
        <f aca="false">IF(F257="","",ROUNDUP(F257*10%,0))</f>
        <v/>
      </c>
      <c r="H257" s="124" t="str">
        <f aca="false">IF(D257="","",15%)</f>
        <v/>
      </c>
      <c r="I257" s="123" t="str">
        <f aca="false">IF(COUNTBLANK(E257:H257)&lt;1,ROUNDUP(SUM(F257:G257)*((100+H257*100)%),0),"")</f>
        <v/>
      </c>
      <c r="J257" s="129"/>
      <c r="K257" s="129"/>
    </row>
    <row r="258" customFormat="false" ht="12.75" hidden="false" customHeight="true" outlineLevel="0" collapsed="false">
      <c r="A258" s="121" t="str">
        <f aca="false">IF(B258="","",CONCATENATE(COUNTA(B$4:B258),"."))</f>
        <v/>
      </c>
      <c r="B258" s="126"/>
      <c r="C258" s="126"/>
      <c r="D258" s="126"/>
      <c r="E258" s="127"/>
      <c r="F258" s="127"/>
      <c r="G258" s="123" t="str">
        <f aca="false">IF(F258="","",ROUNDUP(F258*10%,0))</f>
        <v/>
      </c>
      <c r="H258" s="124" t="str">
        <f aca="false">IF(D258="","",15%)</f>
        <v/>
      </c>
      <c r="I258" s="123" t="str">
        <f aca="false">IF(COUNTBLANK(E258:H258)&lt;1,ROUNDUP(SUM(F258:G258)*((100+H258*100)%),0),"")</f>
        <v/>
      </c>
      <c r="J258" s="129"/>
      <c r="K258" s="129"/>
    </row>
    <row r="259" customFormat="false" ht="12.75" hidden="false" customHeight="true" outlineLevel="0" collapsed="false">
      <c r="A259" s="121" t="str">
        <f aca="false">IF(B259="","",CONCATENATE(COUNTA(B$4:B259),"."))</f>
        <v/>
      </c>
      <c r="B259" s="126"/>
      <c r="C259" s="126"/>
      <c r="D259" s="126"/>
      <c r="E259" s="127"/>
      <c r="F259" s="127"/>
      <c r="G259" s="123" t="str">
        <f aca="false">IF(F259="","",ROUNDUP(F259*10%,0))</f>
        <v/>
      </c>
      <c r="H259" s="124" t="str">
        <f aca="false">IF(D259="","",15%)</f>
        <v/>
      </c>
      <c r="I259" s="123" t="str">
        <f aca="false">IF(COUNTBLANK(E259:H259)&lt;1,ROUNDUP(SUM(F259:G259)*((100+H259*100)%),0),"")</f>
        <v/>
      </c>
      <c r="J259" s="129"/>
      <c r="K259" s="129"/>
    </row>
    <row r="260" customFormat="false" ht="12.75" hidden="false" customHeight="true" outlineLevel="0" collapsed="false">
      <c r="A260" s="121" t="str">
        <f aca="false">IF(B260="","",CONCATENATE(COUNTA(B$4:B260),"."))</f>
        <v/>
      </c>
      <c r="B260" s="126"/>
      <c r="C260" s="126"/>
      <c r="D260" s="126"/>
      <c r="E260" s="127"/>
      <c r="F260" s="127"/>
      <c r="G260" s="123" t="str">
        <f aca="false">IF(F260="","",ROUNDUP(F260*10%,0))</f>
        <v/>
      </c>
      <c r="H260" s="124" t="str">
        <f aca="false">IF(D260="","",15%)</f>
        <v/>
      </c>
      <c r="I260" s="123" t="str">
        <f aca="false">IF(COUNTBLANK(E260:H260)&lt;1,ROUNDUP(SUM(F260:G260)*((100+H260*100)%),0),"")</f>
        <v/>
      </c>
      <c r="J260" s="129"/>
      <c r="K260" s="129"/>
    </row>
    <row r="261" customFormat="false" ht="12.75" hidden="false" customHeight="true" outlineLevel="0" collapsed="false">
      <c r="A261" s="121" t="str">
        <f aca="false">IF(B261="","",CONCATENATE(COUNTA(B$4:B261),"."))</f>
        <v/>
      </c>
      <c r="B261" s="126"/>
      <c r="C261" s="126"/>
      <c r="D261" s="126"/>
      <c r="E261" s="127"/>
      <c r="F261" s="127"/>
      <c r="G261" s="123" t="str">
        <f aca="false">IF(F261="","",ROUNDUP(F261*10%,0))</f>
        <v/>
      </c>
      <c r="H261" s="124" t="str">
        <f aca="false">IF(D261="","",15%)</f>
        <v/>
      </c>
      <c r="I261" s="123" t="str">
        <f aca="false">IF(COUNTBLANK(E261:H261)&lt;1,ROUNDUP(SUM(F261:G261)*((100+H261*100)%),0),"")</f>
        <v/>
      </c>
      <c r="J261" s="129"/>
      <c r="K261" s="129"/>
    </row>
    <row r="262" customFormat="false" ht="12.75" hidden="false" customHeight="true" outlineLevel="0" collapsed="false">
      <c r="A262" s="121" t="str">
        <f aca="false">IF(B262="","",CONCATENATE(COUNTA(B$4:B262),"."))</f>
        <v/>
      </c>
      <c r="B262" s="126"/>
      <c r="C262" s="126"/>
      <c r="D262" s="126"/>
      <c r="E262" s="127"/>
      <c r="F262" s="127"/>
      <c r="G262" s="123" t="str">
        <f aca="false">IF(F262="","",ROUNDUP(F262*10%,0))</f>
        <v/>
      </c>
      <c r="H262" s="124" t="str">
        <f aca="false">IF(D262="","",15%)</f>
        <v/>
      </c>
      <c r="I262" s="123" t="str">
        <f aca="false">IF(COUNTBLANK(E262:H262)&lt;1,ROUNDUP(SUM(F262:G262)*((100+H262*100)%),0),"")</f>
        <v/>
      </c>
      <c r="J262" s="129"/>
      <c r="K262" s="129"/>
    </row>
    <row r="263" customFormat="false" ht="12.75" hidden="false" customHeight="true" outlineLevel="0" collapsed="false">
      <c r="A263" s="121" t="str">
        <f aca="false">IF(B263="","",CONCATENATE(COUNTA(B$4:B263),"."))</f>
        <v/>
      </c>
      <c r="B263" s="126"/>
      <c r="C263" s="126"/>
      <c r="D263" s="126"/>
      <c r="E263" s="127"/>
      <c r="F263" s="127"/>
      <c r="G263" s="123" t="str">
        <f aca="false">IF(F263="","",ROUNDUP(F263*10%,0))</f>
        <v/>
      </c>
      <c r="H263" s="124" t="str">
        <f aca="false">IF(D263="","",15%)</f>
        <v/>
      </c>
      <c r="I263" s="123" t="str">
        <f aca="false">IF(COUNTBLANK(E263:H263)&lt;1,ROUNDUP(SUM(F263:G263)*((100+H263*100)%),0),"")</f>
        <v/>
      </c>
      <c r="J263" s="129"/>
      <c r="K263" s="129"/>
    </row>
    <row r="264" customFormat="false" ht="12.75" hidden="false" customHeight="true" outlineLevel="0" collapsed="false">
      <c r="A264" s="121" t="str">
        <f aca="false">IF(B264="","",CONCATENATE(COUNTA(B$4:B264),"."))</f>
        <v/>
      </c>
      <c r="B264" s="126"/>
      <c r="C264" s="126"/>
      <c r="D264" s="126"/>
      <c r="E264" s="127"/>
      <c r="F264" s="127"/>
      <c r="G264" s="123" t="str">
        <f aca="false">IF(F264="","",ROUNDUP(F264*10%,0))</f>
        <v/>
      </c>
      <c r="H264" s="124" t="str">
        <f aca="false">IF(D264="","",15%)</f>
        <v/>
      </c>
      <c r="I264" s="123" t="str">
        <f aca="false">IF(COUNTBLANK(E264:H264)&lt;1,ROUNDUP(SUM(F264:G264)*((100+H264*100)%),0),"")</f>
        <v/>
      </c>
      <c r="J264" s="129"/>
      <c r="K264" s="129"/>
    </row>
    <row r="265" customFormat="false" ht="12.75" hidden="false" customHeight="true" outlineLevel="0" collapsed="false">
      <c r="A265" s="121" t="str">
        <f aca="false">IF(B265="","",CONCATENATE(COUNTA(B$4:B265),"."))</f>
        <v/>
      </c>
      <c r="B265" s="126"/>
      <c r="C265" s="126"/>
      <c r="D265" s="126"/>
      <c r="E265" s="127"/>
      <c r="F265" s="127"/>
      <c r="G265" s="123" t="str">
        <f aca="false">IF(F265="","",ROUNDUP(F265*10%,0))</f>
        <v/>
      </c>
      <c r="H265" s="124" t="str">
        <f aca="false">IF(D265="","",15%)</f>
        <v/>
      </c>
      <c r="I265" s="123" t="str">
        <f aca="false">IF(COUNTBLANK(E265:H265)&lt;1,ROUNDUP(SUM(F265:G265)*((100+H265*100)%),0),"")</f>
        <v/>
      </c>
      <c r="J265" s="129"/>
      <c r="K265" s="129"/>
    </row>
    <row r="266" customFormat="false" ht="12.75" hidden="false" customHeight="true" outlineLevel="0" collapsed="false">
      <c r="A266" s="121" t="str">
        <f aca="false">IF(B266="","",CONCATENATE(COUNTA(B$4:B266),"."))</f>
        <v/>
      </c>
      <c r="B266" s="126"/>
      <c r="C266" s="126"/>
      <c r="D266" s="126"/>
      <c r="E266" s="127"/>
      <c r="F266" s="127"/>
      <c r="G266" s="123" t="str">
        <f aca="false">IF(F266="","",ROUNDUP(F266*10%,0))</f>
        <v/>
      </c>
      <c r="H266" s="124" t="str">
        <f aca="false">IF(D266="","",15%)</f>
        <v/>
      </c>
      <c r="I266" s="123" t="str">
        <f aca="false">IF(COUNTBLANK(E266:H266)&lt;1,ROUNDUP(SUM(F266:G266)*((100+H266*100)%),0),"")</f>
        <v/>
      </c>
      <c r="J266" s="129"/>
      <c r="K266" s="129"/>
    </row>
    <row r="267" customFormat="false" ht="12.75" hidden="false" customHeight="true" outlineLevel="0" collapsed="false">
      <c r="A267" s="121" t="str">
        <f aca="false">IF(B267="","",CONCATENATE(COUNTA(B$4:B267),"."))</f>
        <v/>
      </c>
      <c r="B267" s="126"/>
      <c r="C267" s="126"/>
      <c r="D267" s="126"/>
      <c r="E267" s="127"/>
      <c r="F267" s="127"/>
      <c r="G267" s="123" t="str">
        <f aca="false">IF(F267="","",ROUNDUP(F267*10%,0))</f>
        <v/>
      </c>
      <c r="H267" s="124" t="str">
        <f aca="false">IF(D267="","",15%)</f>
        <v/>
      </c>
      <c r="I267" s="123" t="str">
        <f aca="false">IF(COUNTBLANK(E267:H267)&lt;1,ROUNDUP(SUM(F267:G267)*((100+H267*100)%),0),"")</f>
        <v/>
      </c>
      <c r="J267" s="129"/>
      <c r="K267" s="129"/>
    </row>
    <row r="268" customFormat="false" ht="12.75" hidden="false" customHeight="true" outlineLevel="0" collapsed="false">
      <c r="A268" s="121" t="str">
        <f aca="false">IF(B268="","",CONCATENATE(COUNTA(B$4:B268),"."))</f>
        <v/>
      </c>
      <c r="B268" s="126"/>
      <c r="C268" s="126"/>
      <c r="D268" s="126"/>
      <c r="E268" s="127"/>
      <c r="F268" s="127"/>
      <c r="G268" s="127"/>
      <c r="H268" s="124" t="str">
        <f aca="false">IF(D268="","",15%)</f>
        <v/>
      </c>
      <c r="I268" s="123" t="str">
        <f aca="false">IF(COUNTBLANK(E268:H268)&lt;1,ROUNDUP(SUM(F268:G268)*((100+H268*100)%),0),"")</f>
        <v/>
      </c>
      <c r="J268" s="129"/>
      <c r="K268" s="129"/>
    </row>
    <row r="269" customFormat="false" ht="12.75" hidden="false" customHeight="true" outlineLevel="0" collapsed="false">
      <c r="A269" s="121" t="str">
        <f aca="false">IF(B269="","",CONCATENATE(COUNTA(B$4:B269),"."))</f>
        <v/>
      </c>
      <c r="B269" s="126"/>
      <c r="C269" s="126"/>
      <c r="D269" s="126"/>
      <c r="E269" s="127"/>
      <c r="F269" s="127"/>
      <c r="G269" s="127"/>
      <c r="H269" s="124" t="str">
        <f aca="false">IF(D269="","",15%)</f>
        <v/>
      </c>
      <c r="I269" s="123" t="str">
        <f aca="false">IF(COUNTBLANK(E269:H269)&lt;1,ROUNDUP(SUM(F269:G269)*((100+H269*100)%),0),"")</f>
        <v/>
      </c>
      <c r="J269" s="129"/>
      <c r="K269" s="129"/>
    </row>
    <row r="270" customFormat="false" ht="12.75" hidden="false" customHeight="true" outlineLevel="0" collapsed="false">
      <c r="A270" s="121" t="str">
        <f aca="false">IF(B270="","",CONCATENATE(COUNTA(B$4:B270),"."))</f>
        <v/>
      </c>
      <c r="B270" s="126"/>
      <c r="C270" s="126"/>
      <c r="D270" s="126"/>
      <c r="E270" s="127"/>
      <c r="F270" s="127"/>
      <c r="G270" s="127"/>
      <c r="H270" s="124" t="str">
        <f aca="false">IF(D270="","",15%)</f>
        <v/>
      </c>
      <c r="I270" s="123" t="str">
        <f aca="false">IF(COUNTBLANK(E270:H270)&lt;1,ROUNDUP(SUM(F270:G270)*((100+H270*100)%),0),"")</f>
        <v/>
      </c>
      <c r="J270" s="129"/>
      <c r="K270" s="129"/>
    </row>
    <row r="271" customFormat="false" ht="12.75" hidden="false" customHeight="true" outlineLevel="0" collapsed="false">
      <c r="A271" s="121" t="str">
        <f aca="false">IF(B271="","",CONCATENATE(COUNTA(B$4:B271),"."))</f>
        <v/>
      </c>
      <c r="B271" s="126"/>
      <c r="C271" s="126"/>
      <c r="D271" s="126"/>
      <c r="E271" s="127"/>
      <c r="F271" s="127"/>
      <c r="G271" s="127"/>
      <c r="H271" s="124" t="str">
        <f aca="false">IF(D271="","",15%)</f>
        <v/>
      </c>
      <c r="I271" s="123" t="str">
        <f aca="false">IF(COUNTBLANK(E271:H271)&lt;1,ROUNDUP(SUM(F271:G271)*((100+H271*100)%),0),"")</f>
        <v/>
      </c>
      <c r="J271" s="129"/>
      <c r="K271" s="129"/>
    </row>
    <row r="272" customFormat="false" ht="12.75" hidden="false" customHeight="true" outlineLevel="0" collapsed="false">
      <c r="A272" s="121" t="str">
        <f aca="false">IF(B272="","",CONCATENATE(COUNTA(B$4:B272),"."))</f>
        <v/>
      </c>
      <c r="B272" s="126"/>
      <c r="C272" s="126"/>
      <c r="D272" s="126"/>
      <c r="E272" s="127"/>
      <c r="F272" s="127"/>
      <c r="G272" s="127"/>
      <c r="H272" s="124" t="str">
        <f aca="false">IF(D272="","",15%)</f>
        <v/>
      </c>
      <c r="I272" s="123" t="str">
        <f aca="false">IF(COUNTBLANK(E272:H272)&lt;1,ROUNDUP(SUM(F272:G272)*((100+H272*100)%),0),"")</f>
        <v/>
      </c>
      <c r="J272" s="129"/>
      <c r="K272" s="129"/>
    </row>
    <row r="273" customFormat="false" ht="12.75" hidden="false" customHeight="true" outlineLevel="0" collapsed="false">
      <c r="A273" s="121" t="str">
        <f aca="false">IF(B273="","",CONCATENATE(COUNTA(B$4:B273),"."))</f>
        <v/>
      </c>
      <c r="B273" s="126"/>
      <c r="C273" s="126"/>
      <c r="D273" s="126"/>
      <c r="E273" s="127"/>
      <c r="F273" s="127"/>
      <c r="G273" s="127"/>
      <c r="H273" s="124" t="str">
        <f aca="false">IF(D273="","",15%)</f>
        <v/>
      </c>
      <c r="I273" s="123" t="str">
        <f aca="false">IF(COUNTBLANK(E273:H273)&lt;1,ROUNDUP(SUM(F273:G273)*((100+H273*100)%),0),"")</f>
        <v/>
      </c>
      <c r="J273" s="129"/>
      <c r="K273" s="129"/>
    </row>
    <row r="274" customFormat="false" ht="12.75" hidden="false" customHeight="true" outlineLevel="0" collapsed="false">
      <c r="A274" s="121" t="str">
        <f aca="false">IF(B274="","",CONCATENATE(COUNTA(B$4:B274),"."))</f>
        <v/>
      </c>
      <c r="B274" s="126"/>
      <c r="C274" s="126"/>
      <c r="D274" s="126"/>
      <c r="E274" s="127"/>
      <c r="F274" s="127"/>
      <c r="G274" s="127"/>
      <c r="H274" s="124" t="str">
        <f aca="false">IF(D274="","",15%)</f>
        <v/>
      </c>
      <c r="I274" s="123" t="str">
        <f aca="false">IF(COUNTBLANK(E274:H274)&lt;1,ROUNDUP(SUM(F274:G274)*((100+H274*100)%),0),"")</f>
        <v/>
      </c>
      <c r="J274" s="129"/>
      <c r="K274" s="129"/>
    </row>
    <row r="275" customFormat="false" ht="12.75" hidden="false" customHeight="true" outlineLevel="0" collapsed="false">
      <c r="A275" s="121" t="str">
        <f aca="false">IF(B275="","",CONCATENATE(COUNTA(B$4:B275),"."))</f>
        <v/>
      </c>
      <c r="B275" s="126"/>
      <c r="C275" s="126"/>
      <c r="D275" s="126"/>
      <c r="E275" s="127"/>
      <c r="F275" s="127"/>
      <c r="G275" s="127"/>
      <c r="H275" s="124" t="str">
        <f aca="false">IF(D275="","",15%)</f>
        <v/>
      </c>
      <c r="I275" s="123" t="str">
        <f aca="false">IF(COUNTBLANK(E275:H275)&lt;1,ROUNDUP(SUM(F275:G275)*((100+H275*100)%),0),"")</f>
        <v/>
      </c>
      <c r="J275" s="129"/>
      <c r="K275" s="129"/>
    </row>
    <row r="276" customFormat="false" ht="12.75" hidden="false" customHeight="true" outlineLevel="0" collapsed="false">
      <c r="A276" s="121" t="str">
        <f aca="false">IF(B276="","",CONCATENATE(COUNTA(B$4:B276),"."))</f>
        <v/>
      </c>
      <c r="B276" s="126"/>
      <c r="C276" s="126"/>
      <c r="D276" s="126"/>
      <c r="E276" s="127"/>
      <c r="F276" s="127"/>
      <c r="G276" s="127"/>
      <c r="H276" s="124" t="str">
        <f aca="false">IF(D276="","",15%)</f>
        <v/>
      </c>
      <c r="I276" s="123" t="str">
        <f aca="false">IF(COUNTBLANK(E276:H276)&lt;1,ROUNDUP(SUM(F276:G276)*((100+H276*100)%),0),"")</f>
        <v/>
      </c>
      <c r="J276" s="129"/>
      <c r="K276" s="129"/>
    </row>
    <row r="277" customFormat="false" ht="12.75" hidden="false" customHeight="true" outlineLevel="0" collapsed="false">
      <c r="A277" s="121" t="str">
        <f aca="false">IF(B277="","",CONCATENATE(COUNTA(B$4:B277),"."))</f>
        <v/>
      </c>
      <c r="B277" s="126"/>
      <c r="C277" s="126"/>
      <c r="D277" s="126"/>
      <c r="E277" s="127"/>
      <c r="F277" s="127"/>
      <c r="G277" s="127"/>
      <c r="H277" s="124" t="str">
        <f aca="false">IF(D277="","",15%)</f>
        <v/>
      </c>
      <c r="I277" s="123" t="str">
        <f aca="false">IF(COUNTBLANK(E277:H277)&lt;1,ROUNDUP(SUM(F277:G277)*((100+H277*100)%),0),"")</f>
        <v/>
      </c>
      <c r="J277" s="129"/>
      <c r="K277" s="129"/>
    </row>
    <row r="278" customFormat="false" ht="12.75" hidden="false" customHeight="true" outlineLevel="0" collapsed="false">
      <c r="A278" s="121" t="str">
        <f aca="false">IF(B278="","",CONCATENATE(COUNTA(B$4:B278),"."))</f>
        <v/>
      </c>
      <c r="B278" s="126"/>
      <c r="C278" s="126"/>
      <c r="D278" s="126"/>
      <c r="E278" s="127"/>
      <c r="F278" s="127"/>
      <c r="G278" s="127"/>
      <c r="H278" s="124" t="str">
        <f aca="false">IF(D278="","",15%)</f>
        <v/>
      </c>
      <c r="I278" s="123" t="str">
        <f aca="false">IF(COUNTBLANK(E278:H278)&lt;1,ROUNDUP(SUM(F278:G278)*((100+H278*100)%),0),"")</f>
        <v/>
      </c>
      <c r="J278" s="129"/>
      <c r="K278" s="129"/>
    </row>
    <row r="279" customFormat="false" ht="12.75" hidden="false" customHeight="true" outlineLevel="0" collapsed="false">
      <c r="A279" s="121" t="str">
        <f aca="false">IF(B279="","",CONCATENATE(COUNTA(B$4:B279),"."))</f>
        <v/>
      </c>
      <c r="B279" s="126"/>
      <c r="C279" s="126"/>
      <c r="D279" s="126"/>
      <c r="E279" s="127"/>
      <c r="F279" s="127"/>
      <c r="G279" s="127"/>
      <c r="H279" s="124" t="str">
        <f aca="false">IF(D279="","",15%)</f>
        <v/>
      </c>
      <c r="I279" s="123" t="str">
        <f aca="false">IF(COUNTBLANK(E279:H279)&lt;1,ROUNDUP(SUM(F279:G279)*((100+H279*100)%),0),"")</f>
        <v/>
      </c>
      <c r="J279" s="129"/>
      <c r="K279" s="129"/>
    </row>
    <row r="280" customFormat="false" ht="12.75" hidden="false" customHeight="true" outlineLevel="0" collapsed="false">
      <c r="A280" s="121" t="str">
        <f aca="false">IF(B280="","",CONCATENATE(COUNTA(B$4:B280),"."))</f>
        <v/>
      </c>
      <c r="B280" s="126"/>
      <c r="C280" s="126"/>
      <c r="D280" s="126"/>
      <c r="E280" s="127"/>
      <c r="F280" s="127"/>
      <c r="G280" s="127"/>
      <c r="H280" s="124" t="str">
        <f aca="false">IF(D280="","",15%)</f>
        <v/>
      </c>
      <c r="I280" s="123" t="str">
        <f aca="false">IF(COUNTBLANK(E280:H280)&lt;1,ROUNDUP(SUM(F280:G280)*((100+H280*100)%),0),"")</f>
        <v/>
      </c>
      <c r="J280" s="129"/>
      <c r="K280" s="129"/>
    </row>
    <row r="281" customFormat="false" ht="12.75" hidden="false" customHeight="true" outlineLevel="0" collapsed="false">
      <c r="A281" s="121" t="str">
        <f aca="false">IF(B281="","",CONCATENATE(COUNTA(B$4:B281),"."))</f>
        <v/>
      </c>
      <c r="B281" s="126"/>
      <c r="C281" s="126"/>
      <c r="D281" s="126"/>
      <c r="E281" s="127"/>
      <c r="F281" s="127"/>
      <c r="G281" s="127"/>
      <c r="H281" s="124" t="str">
        <f aca="false">IF(D281="","",15%)</f>
        <v/>
      </c>
      <c r="I281" s="123" t="str">
        <f aca="false">IF(COUNTBLANK(E281:H281)&lt;1,ROUNDUP(SUM(F281:G281)*((100+H281*100)%),0),"")</f>
        <v/>
      </c>
      <c r="J281" s="129"/>
      <c r="K281" s="129"/>
    </row>
    <row r="282" customFormat="false" ht="12.75" hidden="false" customHeight="true" outlineLevel="0" collapsed="false">
      <c r="A282" s="121" t="str">
        <f aca="false">IF(B282="","",CONCATENATE(COUNTA(B$4:B282),"."))</f>
        <v/>
      </c>
      <c r="B282" s="126"/>
      <c r="C282" s="126"/>
      <c r="D282" s="126"/>
      <c r="E282" s="127"/>
      <c r="F282" s="127"/>
      <c r="G282" s="127"/>
      <c r="H282" s="124" t="str">
        <f aca="false">IF(D282="","",15%)</f>
        <v/>
      </c>
      <c r="I282" s="123" t="str">
        <f aca="false">IF(COUNTBLANK(E282:H282)&lt;1,ROUNDUP(SUM(F282:G282)*((100+H282*100)%),0),"")</f>
        <v/>
      </c>
      <c r="J282" s="129"/>
      <c r="K282" s="129"/>
    </row>
    <row r="283" customFormat="false" ht="12.75" hidden="false" customHeight="true" outlineLevel="0" collapsed="false">
      <c r="A283" s="121" t="str">
        <f aca="false">IF(B283="","",CONCATENATE(COUNTA(B$4:B283),"."))</f>
        <v/>
      </c>
      <c r="B283" s="126"/>
      <c r="C283" s="126"/>
      <c r="D283" s="126"/>
      <c r="E283" s="127"/>
      <c r="F283" s="127"/>
      <c r="G283" s="127"/>
      <c r="H283" s="124" t="str">
        <f aca="false">IF(D283="","",15%)</f>
        <v/>
      </c>
      <c r="I283" s="123" t="str">
        <f aca="false">IF(COUNTBLANK(E283:H283)&lt;1,ROUNDUP(SUM(F283:G283)*((100+H283*100)%),0),"")</f>
        <v/>
      </c>
      <c r="J283" s="129"/>
      <c r="K283" s="129"/>
    </row>
    <row r="284" customFormat="false" ht="12.75" hidden="false" customHeight="true" outlineLevel="0" collapsed="false">
      <c r="A284" s="121" t="str">
        <f aca="false">IF(B284="","",CONCATENATE(COUNTA(B$4:B284),"."))</f>
        <v/>
      </c>
      <c r="B284" s="126"/>
      <c r="C284" s="126"/>
      <c r="D284" s="126"/>
      <c r="E284" s="127"/>
      <c r="F284" s="127"/>
      <c r="G284" s="127"/>
      <c r="H284" s="124" t="str">
        <f aca="false">IF(D284="","",15%)</f>
        <v/>
      </c>
      <c r="I284" s="123" t="str">
        <f aca="false">IF(COUNTBLANK(E284:H284)&lt;1,ROUNDUP(SUM(F284:G284)*((100+H284*100)%),0),"")</f>
        <v/>
      </c>
      <c r="J284" s="129"/>
      <c r="K284" s="129"/>
    </row>
    <row r="285" customFormat="false" ht="12.75" hidden="false" customHeight="true" outlineLevel="0" collapsed="false">
      <c r="A285" s="121" t="str">
        <f aca="false">IF(B285="","",CONCATENATE(COUNTA(B$4:B285),"."))</f>
        <v/>
      </c>
      <c r="B285" s="126"/>
      <c r="C285" s="126"/>
      <c r="D285" s="126"/>
      <c r="E285" s="127"/>
      <c r="F285" s="127"/>
      <c r="G285" s="127"/>
      <c r="H285" s="124" t="str">
        <f aca="false">IF(D285="","",15%)</f>
        <v/>
      </c>
      <c r="I285" s="123" t="str">
        <f aca="false">IF(COUNTBLANK(E285:H285)&lt;1,ROUNDUP(SUM(F285:G285)*((100+H285*100)%),0),"")</f>
        <v/>
      </c>
      <c r="J285" s="129"/>
      <c r="K285" s="129"/>
    </row>
    <row r="286" customFormat="false" ht="12.75" hidden="false" customHeight="true" outlineLevel="0" collapsed="false">
      <c r="A286" s="121" t="str">
        <f aca="false">IF(B286="","",CONCATENATE(COUNTA(B$4:B286),"."))</f>
        <v/>
      </c>
      <c r="B286" s="126"/>
      <c r="C286" s="126"/>
      <c r="D286" s="126"/>
      <c r="E286" s="127"/>
      <c r="F286" s="127"/>
      <c r="G286" s="127"/>
      <c r="H286" s="124" t="str">
        <f aca="false">IF(D286="","",15%)</f>
        <v/>
      </c>
      <c r="I286" s="123" t="str">
        <f aca="false">IF(COUNTBLANK(E286:H286)&lt;1,ROUNDUP(SUM(F286:G286)*((100+H286*100)%),0),"")</f>
        <v/>
      </c>
      <c r="J286" s="129"/>
      <c r="K286" s="129"/>
    </row>
    <row r="287" customFormat="false" ht="12.75" hidden="false" customHeight="true" outlineLevel="0" collapsed="false">
      <c r="A287" s="121" t="str">
        <f aca="false">IF(B287="","",CONCATENATE(COUNTA(B$4:B287),"."))</f>
        <v/>
      </c>
      <c r="B287" s="126"/>
      <c r="C287" s="126"/>
      <c r="D287" s="126"/>
      <c r="E287" s="127"/>
      <c r="F287" s="127"/>
      <c r="G287" s="127"/>
      <c r="H287" s="124" t="str">
        <f aca="false">IF(D287="","",15%)</f>
        <v/>
      </c>
      <c r="I287" s="123" t="str">
        <f aca="false">IF(COUNTBLANK(E287:H287)&lt;1,ROUNDUP(SUM(F287:G287)*((100+H287*100)%),0),"")</f>
        <v/>
      </c>
      <c r="J287" s="129"/>
      <c r="K287" s="129"/>
    </row>
    <row r="288" customFormat="false" ht="12.75" hidden="false" customHeight="true" outlineLevel="0" collapsed="false">
      <c r="A288" s="121" t="str">
        <f aca="false">IF(B288="","",CONCATENATE(COUNTA(B$4:B288),"."))</f>
        <v/>
      </c>
      <c r="B288" s="126"/>
      <c r="C288" s="126"/>
      <c r="D288" s="126"/>
      <c r="E288" s="127"/>
      <c r="F288" s="127"/>
      <c r="G288" s="127"/>
      <c r="H288" s="124" t="str">
        <f aca="false">IF(D288="","",15%)</f>
        <v/>
      </c>
      <c r="I288" s="123" t="str">
        <f aca="false">IF(COUNTBLANK(E288:H288)&lt;1,ROUNDUP(SUM(F288:G288)*((100+H288*100)%),0),"")</f>
        <v/>
      </c>
      <c r="J288" s="129"/>
      <c r="K288" s="129"/>
    </row>
    <row r="289" customFormat="false" ht="12.75" hidden="false" customHeight="true" outlineLevel="0" collapsed="false">
      <c r="A289" s="121" t="str">
        <f aca="false">IF(B289="","",CONCATENATE(COUNTA(B$4:B289),"."))</f>
        <v/>
      </c>
      <c r="B289" s="126"/>
      <c r="C289" s="126"/>
      <c r="D289" s="126"/>
      <c r="E289" s="127"/>
      <c r="F289" s="127"/>
      <c r="G289" s="127"/>
      <c r="H289" s="124" t="str">
        <f aca="false">IF(D289="","",15%)</f>
        <v/>
      </c>
      <c r="I289" s="123" t="str">
        <f aca="false">IF(COUNTBLANK(E289:H289)&lt;1,ROUNDUP(SUM(F289:G289)*((100+H289*100)%),0),"")</f>
        <v/>
      </c>
      <c r="J289" s="129"/>
      <c r="K289" s="129"/>
    </row>
    <row r="290" customFormat="false" ht="12.75" hidden="false" customHeight="true" outlineLevel="0" collapsed="false">
      <c r="A290" s="121" t="str">
        <f aca="false">IF(B290="","",CONCATENATE(COUNTA(B$4:B290),"."))</f>
        <v/>
      </c>
      <c r="B290" s="126"/>
      <c r="C290" s="126"/>
      <c r="D290" s="126"/>
      <c r="E290" s="127"/>
      <c r="F290" s="127"/>
      <c r="G290" s="127"/>
      <c r="H290" s="124" t="str">
        <f aca="false">IF(D290="","",15%)</f>
        <v/>
      </c>
      <c r="I290" s="123" t="str">
        <f aca="false">IF(COUNTBLANK(E290:H290)&lt;1,ROUNDUP(SUM(F290:G290)*((100+H290*100)%),0),"")</f>
        <v/>
      </c>
      <c r="J290" s="129"/>
      <c r="K290" s="129"/>
    </row>
    <row r="291" customFormat="false" ht="12.75" hidden="false" customHeight="true" outlineLevel="0" collapsed="false">
      <c r="A291" s="121" t="str">
        <f aca="false">IF(B291="","",CONCATENATE(COUNTA(B$4:B291),"."))</f>
        <v/>
      </c>
      <c r="B291" s="126"/>
      <c r="C291" s="126"/>
      <c r="D291" s="126"/>
      <c r="E291" s="127"/>
      <c r="F291" s="127"/>
      <c r="G291" s="127"/>
      <c r="H291" s="124" t="str">
        <f aca="false">IF(D291="","",15%)</f>
        <v/>
      </c>
      <c r="I291" s="123" t="str">
        <f aca="false">IF(COUNTBLANK(E291:H291)&lt;1,ROUNDUP(SUM(F291:G291)*((100+H291*100)%),0),"")</f>
        <v/>
      </c>
      <c r="J291" s="129"/>
      <c r="K291" s="129"/>
    </row>
    <row r="292" customFormat="false" ht="12.75" hidden="false" customHeight="true" outlineLevel="0" collapsed="false">
      <c r="A292" s="121" t="str">
        <f aca="false">IF(B292="","",CONCATENATE(COUNTA(B$4:B292),"."))</f>
        <v/>
      </c>
      <c r="B292" s="126"/>
      <c r="C292" s="126"/>
      <c r="D292" s="126"/>
      <c r="E292" s="127"/>
      <c r="F292" s="127"/>
      <c r="G292" s="127"/>
      <c r="H292" s="124" t="str">
        <f aca="false">IF(D292="","",15%)</f>
        <v/>
      </c>
      <c r="I292" s="123" t="str">
        <f aca="false">IF(COUNTBLANK(E292:H292)&lt;1,ROUNDUP(SUM(F292:G292)*((100+H292*100)%),0),"")</f>
        <v/>
      </c>
      <c r="J292" s="129"/>
      <c r="K292" s="129"/>
    </row>
    <row r="293" customFormat="false" ht="12.75" hidden="false" customHeight="true" outlineLevel="0" collapsed="false">
      <c r="A293" s="121" t="str">
        <f aca="false">IF(B293="","",CONCATENATE(COUNTA(B$4:B293),"."))</f>
        <v/>
      </c>
      <c r="B293" s="126"/>
      <c r="C293" s="126"/>
      <c r="D293" s="126"/>
      <c r="E293" s="127"/>
      <c r="F293" s="127"/>
      <c r="G293" s="127"/>
      <c r="H293" s="124" t="str">
        <f aca="false">IF(D293="","",15%)</f>
        <v/>
      </c>
      <c r="I293" s="123" t="str">
        <f aca="false">IF(COUNTBLANK(E293:H293)&lt;1,ROUNDUP(SUM(F293:G293)*((100+H293*100)%),0),"")</f>
        <v/>
      </c>
      <c r="J293" s="129"/>
      <c r="K293" s="129"/>
    </row>
    <row r="294" customFormat="false" ht="12.75" hidden="false" customHeight="true" outlineLevel="0" collapsed="false">
      <c r="A294" s="121" t="str">
        <f aca="false">IF(B294="","",CONCATENATE(COUNTA(B$4:B294),"."))</f>
        <v/>
      </c>
      <c r="B294" s="126"/>
      <c r="C294" s="126"/>
      <c r="D294" s="126"/>
      <c r="E294" s="127"/>
      <c r="F294" s="127"/>
      <c r="G294" s="127"/>
      <c r="H294" s="124" t="str">
        <f aca="false">IF(D294="","",15%)</f>
        <v/>
      </c>
      <c r="I294" s="123" t="str">
        <f aca="false">IF(COUNTBLANK(E294:H294)&lt;1,ROUNDUP(SUM(F294:G294)*((100+H294*100)%),0),"")</f>
        <v/>
      </c>
      <c r="J294" s="129"/>
      <c r="K294" s="129"/>
    </row>
    <row r="295" customFormat="false" ht="12.75" hidden="false" customHeight="true" outlineLevel="0" collapsed="false">
      <c r="A295" s="121" t="str">
        <f aca="false">IF(B295="","",CONCATENATE(COUNTA(B$4:B295),"."))</f>
        <v/>
      </c>
      <c r="B295" s="126"/>
      <c r="C295" s="126"/>
      <c r="D295" s="126"/>
      <c r="E295" s="127"/>
      <c r="F295" s="127"/>
      <c r="G295" s="127"/>
      <c r="H295" s="124" t="str">
        <f aca="false">IF(D295="","",15%)</f>
        <v/>
      </c>
      <c r="I295" s="123" t="str">
        <f aca="false">IF(COUNTBLANK(E295:H295)&lt;1,ROUNDUP(SUM(F295:G295)*((100+H295*100)%),0),"")</f>
        <v/>
      </c>
      <c r="J295" s="129"/>
      <c r="K295" s="129"/>
    </row>
    <row r="296" customFormat="false" ht="12.75" hidden="false" customHeight="true" outlineLevel="0" collapsed="false">
      <c r="A296" s="121" t="str">
        <f aca="false">IF(B296="","",CONCATENATE(COUNTA(B$4:B296),"."))</f>
        <v/>
      </c>
      <c r="B296" s="126"/>
      <c r="C296" s="126"/>
      <c r="D296" s="126"/>
      <c r="E296" s="127"/>
      <c r="F296" s="127"/>
      <c r="G296" s="127"/>
      <c r="H296" s="124" t="str">
        <f aca="false">IF(D296="","",15%)</f>
        <v/>
      </c>
      <c r="I296" s="123" t="str">
        <f aca="false">IF(COUNTBLANK(E296:H296)&lt;1,ROUNDUP(SUM(F296:G296)*((100+H296*100)%),0),"")</f>
        <v/>
      </c>
      <c r="J296" s="129"/>
      <c r="K296" s="129"/>
    </row>
    <row r="297" customFormat="false" ht="12.75" hidden="false" customHeight="true" outlineLevel="0" collapsed="false">
      <c r="A297" s="121" t="str">
        <f aca="false">IF(B297="","",CONCATENATE(COUNTA(B$4:B297),"."))</f>
        <v/>
      </c>
      <c r="B297" s="126"/>
      <c r="C297" s="126"/>
      <c r="D297" s="126"/>
      <c r="E297" s="127"/>
      <c r="F297" s="127"/>
      <c r="G297" s="127"/>
      <c r="H297" s="124" t="str">
        <f aca="false">IF(D297="","",15%)</f>
        <v/>
      </c>
      <c r="I297" s="123" t="str">
        <f aca="false">IF(COUNTBLANK(E297:H297)&lt;1,ROUNDUP(SUM(F297:G297)*((100+H297*100)%),0),"")</f>
        <v/>
      </c>
      <c r="J297" s="129"/>
      <c r="K297" s="129"/>
    </row>
    <row r="298" customFormat="false" ht="12.75" hidden="false" customHeight="true" outlineLevel="0" collapsed="false">
      <c r="A298" s="121" t="str">
        <f aca="false">IF(B298="","",CONCATENATE(COUNTA(B$4:B298),"."))</f>
        <v/>
      </c>
      <c r="B298" s="126"/>
      <c r="C298" s="126"/>
      <c r="D298" s="126"/>
      <c r="E298" s="127"/>
      <c r="F298" s="127"/>
      <c r="G298" s="127"/>
      <c r="H298" s="124" t="str">
        <f aca="false">IF(D298="","",15%)</f>
        <v/>
      </c>
      <c r="I298" s="123" t="str">
        <f aca="false">IF(COUNTBLANK(E298:H298)&lt;1,ROUNDUP(SUM(F298:G298)*((100+H298*100)%),0),"")</f>
        <v/>
      </c>
      <c r="J298" s="129"/>
      <c r="K298" s="129"/>
    </row>
    <row r="299" customFormat="false" ht="12.75" hidden="false" customHeight="true" outlineLevel="0" collapsed="false">
      <c r="A299" s="121" t="str">
        <f aca="false">IF(B299="","",CONCATENATE(COUNTA(B$4:B299),"."))</f>
        <v/>
      </c>
      <c r="B299" s="126"/>
      <c r="C299" s="126"/>
      <c r="D299" s="126"/>
      <c r="E299" s="127"/>
      <c r="F299" s="127"/>
      <c r="G299" s="127"/>
      <c r="H299" s="124" t="str">
        <f aca="false">IF(D299="","",15%)</f>
        <v/>
      </c>
      <c r="I299" s="123" t="str">
        <f aca="false">IF(COUNTBLANK(E299:H299)&lt;1,ROUNDUP(SUM(F299:G299)*((100+H299*100)%),0),"")</f>
        <v/>
      </c>
      <c r="J299" s="129"/>
      <c r="K299" s="129"/>
    </row>
    <row r="300" customFormat="false" ht="12.75" hidden="false" customHeight="true" outlineLevel="0" collapsed="false">
      <c r="A300" s="121" t="str">
        <f aca="false">IF(B300="","",CONCATENATE(COUNTA(B$4:B300),"."))</f>
        <v/>
      </c>
      <c r="B300" s="126"/>
      <c r="C300" s="126"/>
      <c r="D300" s="126"/>
      <c r="E300" s="127"/>
      <c r="F300" s="127"/>
      <c r="G300" s="127"/>
      <c r="H300" s="124" t="str">
        <f aca="false">IF(D300="","",15%)</f>
        <v/>
      </c>
      <c r="I300" s="123" t="str">
        <f aca="false">IF(COUNTBLANK(E300:H300)&lt;1,ROUNDUP(SUM(F300:G300)*((100+H300*100)%),0),"")</f>
        <v/>
      </c>
      <c r="J300" s="129"/>
      <c r="K300" s="129"/>
    </row>
    <row r="301" customFormat="false" ht="12.75" hidden="false" customHeight="true" outlineLevel="0" collapsed="false">
      <c r="A301" s="121" t="str">
        <f aca="false">IF(B301="","",CONCATENATE(COUNTA(B$4:B301),"."))</f>
        <v/>
      </c>
      <c r="B301" s="126"/>
      <c r="C301" s="126"/>
      <c r="D301" s="126"/>
      <c r="E301" s="127"/>
      <c r="F301" s="127"/>
      <c r="G301" s="127"/>
      <c r="H301" s="124" t="str">
        <f aca="false">IF(D301="","",15%)</f>
        <v/>
      </c>
      <c r="I301" s="123" t="str">
        <f aca="false">IF(COUNTBLANK(E301:H301)&lt;1,ROUNDUP(SUM(F301:G301)*((100+H301*100)%),0),"")</f>
        <v/>
      </c>
      <c r="J301" s="129"/>
      <c r="K301" s="129"/>
    </row>
    <row r="302" customFormat="false" ht="12.75" hidden="false" customHeight="true" outlineLevel="0" collapsed="false">
      <c r="A302" s="121" t="str">
        <f aca="false">IF(B302="","",CONCATENATE(COUNTA(B$4:B302),"."))</f>
        <v/>
      </c>
      <c r="B302" s="126"/>
      <c r="C302" s="126"/>
      <c r="D302" s="126"/>
      <c r="E302" s="127"/>
      <c r="F302" s="127"/>
      <c r="G302" s="127"/>
      <c r="H302" s="124" t="str">
        <f aca="false">IF(D302="","",15%)</f>
        <v/>
      </c>
      <c r="I302" s="123" t="str">
        <f aca="false">IF(COUNTBLANK(E302:H302)&lt;1,ROUNDUP(SUM(F302:G302)*((100+H302*100)%),0),"")</f>
        <v/>
      </c>
      <c r="J302" s="129"/>
      <c r="K302" s="129"/>
    </row>
    <row r="303" customFormat="false" ht="12.75" hidden="false" customHeight="true" outlineLevel="0" collapsed="false">
      <c r="A303" s="121" t="str">
        <f aca="false">IF(B303="","",CONCATENATE(COUNTA(B$4:B303),"."))</f>
        <v/>
      </c>
      <c r="B303" s="126"/>
      <c r="C303" s="126"/>
      <c r="D303" s="126"/>
      <c r="E303" s="127"/>
      <c r="F303" s="127"/>
      <c r="G303" s="127"/>
      <c r="H303" s="124" t="str">
        <f aca="false">IF(D303="","",15%)</f>
        <v/>
      </c>
      <c r="I303" s="123" t="str">
        <f aca="false">IF(COUNTBLANK(E303:H303)&lt;1,ROUNDUP(SUM(F303:G303)*((100+H303*100)%),0),"")</f>
        <v/>
      </c>
      <c r="J303" s="129"/>
      <c r="K303" s="129"/>
    </row>
    <row r="304" customFormat="false" ht="12.75" hidden="false" customHeight="true" outlineLevel="0" collapsed="false">
      <c r="A304" s="121" t="str">
        <f aca="false">IF(B304="","",CONCATENATE(COUNTA(B$4:B304),"."))</f>
        <v/>
      </c>
      <c r="B304" s="126"/>
      <c r="C304" s="126"/>
      <c r="D304" s="126"/>
      <c r="E304" s="127"/>
      <c r="F304" s="127"/>
      <c r="G304" s="127"/>
      <c r="H304" s="124" t="str">
        <f aca="false">IF(D304="","",15%)</f>
        <v/>
      </c>
      <c r="I304" s="123" t="str">
        <f aca="false">IF(COUNTBLANK(E304:H304)&lt;1,ROUNDUP(SUM(F304:G304)*((100+H304*100)%),0),"")</f>
        <v/>
      </c>
      <c r="J304" s="129"/>
      <c r="K304" s="129"/>
    </row>
    <row r="305" customFormat="false" ht="12.75" hidden="false" customHeight="true" outlineLevel="0" collapsed="false">
      <c r="A305" s="121" t="str">
        <f aca="false">IF(B305="","",CONCATENATE(COUNTA(B$4:B305),"."))</f>
        <v/>
      </c>
      <c r="B305" s="126"/>
      <c r="C305" s="126"/>
      <c r="D305" s="126"/>
      <c r="E305" s="127"/>
      <c r="F305" s="127"/>
      <c r="G305" s="127"/>
      <c r="H305" s="124" t="str">
        <f aca="false">IF(D305="","",15%)</f>
        <v/>
      </c>
      <c r="I305" s="123" t="str">
        <f aca="false">IF(COUNTBLANK(E305:H305)&lt;1,ROUNDUP(SUM(F305:G305)*((100+H305*100)%),0),"")</f>
        <v/>
      </c>
      <c r="J305" s="129"/>
      <c r="K305" s="129"/>
    </row>
    <row r="306" customFormat="false" ht="12.75" hidden="false" customHeight="true" outlineLevel="0" collapsed="false">
      <c r="A306" s="121" t="str">
        <f aca="false">IF(B306="","",CONCATENATE(COUNTA(B$4:B306),"."))</f>
        <v/>
      </c>
      <c r="B306" s="126"/>
      <c r="C306" s="126"/>
      <c r="D306" s="126"/>
      <c r="E306" s="127"/>
      <c r="F306" s="127"/>
      <c r="G306" s="127"/>
      <c r="H306" s="124" t="str">
        <f aca="false">IF(D306="","",15%)</f>
        <v/>
      </c>
      <c r="I306" s="123" t="str">
        <f aca="false">IF(COUNTBLANK(E306:H306)&lt;1,ROUNDUP(SUM(F306:G306)*((100+H306*100)%),0),"")</f>
        <v/>
      </c>
      <c r="J306" s="129"/>
      <c r="K306" s="129"/>
    </row>
    <row r="307" customFormat="false" ht="12.75" hidden="false" customHeight="true" outlineLevel="0" collapsed="false">
      <c r="A307" s="121" t="str">
        <f aca="false">IF(B307="","",CONCATENATE(COUNTA(B$4:B307),"."))</f>
        <v/>
      </c>
      <c r="B307" s="126"/>
      <c r="C307" s="126"/>
      <c r="D307" s="126"/>
      <c r="E307" s="127"/>
      <c r="F307" s="127"/>
      <c r="G307" s="127"/>
      <c r="H307" s="124" t="str">
        <f aca="false">IF(D307="","",15%)</f>
        <v/>
      </c>
      <c r="I307" s="123" t="str">
        <f aca="false">IF(COUNTBLANK(E307:H307)&lt;1,ROUNDUP(SUM(F307:G307)*((100+H307*100)%),0),"")</f>
        <v/>
      </c>
      <c r="J307" s="129"/>
      <c r="K307" s="129"/>
    </row>
    <row r="308" customFormat="false" ht="12.75" hidden="false" customHeight="true" outlineLevel="0" collapsed="false">
      <c r="A308" s="121" t="str">
        <f aca="false">IF(B308="","",CONCATENATE(COUNTA(B$4:B308),"."))</f>
        <v/>
      </c>
      <c r="B308" s="126"/>
      <c r="C308" s="126"/>
      <c r="D308" s="126"/>
      <c r="E308" s="127"/>
      <c r="F308" s="127"/>
      <c r="G308" s="127"/>
      <c r="H308" s="124" t="str">
        <f aca="false">IF(D308="","",15%)</f>
        <v/>
      </c>
      <c r="I308" s="123" t="str">
        <f aca="false">IF(COUNTBLANK(E308:H308)&lt;1,ROUNDUP(SUM(F308:G308)*((100+H308*100)%),0),"")</f>
        <v/>
      </c>
      <c r="J308" s="129"/>
      <c r="K308" s="129"/>
    </row>
    <row r="309" customFormat="false" ht="12.75" hidden="false" customHeight="true" outlineLevel="0" collapsed="false">
      <c r="A309" s="121" t="str">
        <f aca="false">IF(B309="","",CONCATENATE(COUNTA(B$4:B309),"."))</f>
        <v/>
      </c>
      <c r="B309" s="126"/>
      <c r="C309" s="126"/>
      <c r="D309" s="126"/>
      <c r="E309" s="127"/>
      <c r="F309" s="127"/>
      <c r="G309" s="127"/>
      <c r="H309" s="124" t="str">
        <f aca="false">IF(D309="","",15%)</f>
        <v/>
      </c>
      <c r="I309" s="123" t="str">
        <f aca="false">IF(COUNTBLANK(E309:H309)&lt;1,ROUNDUP(SUM(F309:G309)*((100+H309*100)%),0),"")</f>
        <v/>
      </c>
      <c r="J309" s="129"/>
      <c r="K309" s="129"/>
    </row>
    <row r="310" customFormat="false" ht="12.75" hidden="false" customHeight="true" outlineLevel="0" collapsed="false">
      <c r="A310" s="121" t="str">
        <f aca="false">IF(B310="","",CONCATENATE(COUNTA(B$4:B310),"."))</f>
        <v/>
      </c>
      <c r="B310" s="126"/>
      <c r="C310" s="126"/>
      <c r="D310" s="126"/>
      <c r="E310" s="127"/>
      <c r="F310" s="127"/>
      <c r="G310" s="127"/>
      <c r="H310" s="124" t="str">
        <f aca="false">IF(D310="","",15%)</f>
        <v/>
      </c>
      <c r="I310" s="123" t="str">
        <f aca="false">IF(COUNTBLANK(E310:H310)&lt;1,ROUNDUP(SUM(F310:G310)*((100+H310*100)%),0),"")</f>
        <v/>
      </c>
      <c r="J310" s="129"/>
      <c r="K310" s="129"/>
    </row>
    <row r="311" customFormat="false" ht="12.75" hidden="false" customHeight="true" outlineLevel="0" collapsed="false">
      <c r="A311" s="121" t="str">
        <f aca="false">IF(B311="","",CONCATENATE(COUNTA(B$4:B311),"."))</f>
        <v/>
      </c>
      <c r="B311" s="126"/>
      <c r="C311" s="126"/>
      <c r="D311" s="126"/>
      <c r="E311" s="127"/>
      <c r="F311" s="127"/>
      <c r="G311" s="127"/>
      <c r="H311" s="124" t="str">
        <f aca="false">IF(D311="","",15%)</f>
        <v/>
      </c>
      <c r="I311" s="123" t="str">
        <f aca="false">IF(COUNTBLANK(E311:H311)&lt;1,ROUNDUP(SUM(F311:G311)*((100+H311*100)%),0),"")</f>
        <v/>
      </c>
      <c r="J311" s="129"/>
      <c r="K311" s="129"/>
    </row>
    <row r="312" customFormat="false" ht="12.75" hidden="false" customHeight="true" outlineLevel="0" collapsed="false">
      <c r="A312" s="121" t="str">
        <f aca="false">IF(B312="","",CONCATENATE(COUNTA(B$4:B312),"."))</f>
        <v/>
      </c>
      <c r="B312" s="126"/>
      <c r="C312" s="126"/>
      <c r="D312" s="126"/>
      <c r="E312" s="127"/>
      <c r="F312" s="127"/>
      <c r="G312" s="127"/>
      <c r="H312" s="124" t="str">
        <f aca="false">IF(D312="","",15%)</f>
        <v/>
      </c>
      <c r="I312" s="123" t="str">
        <f aca="false">IF(COUNTBLANK(E312:H312)&lt;1,ROUNDUP(SUM(F312:G312)*((100+H312*100)%),0),"")</f>
        <v/>
      </c>
      <c r="J312" s="129"/>
      <c r="K312" s="129"/>
    </row>
    <row r="313" customFormat="false" ht="12.75" hidden="false" customHeight="true" outlineLevel="0" collapsed="false">
      <c r="A313" s="121" t="str">
        <f aca="false">IF(B313="","",CONCATENATE(COUNTA(B$4:B313),"."))</f>
        <v/>
      </c>
      <c r="B313" s="126"/>
      <c r="C313" s="126"/>
      <c r="D313" s="126"/>
      <c r="E313" s="127"/>
      <c r="F313" s="127"/>
      <c r="G313" s="127"/>
      <c r="H313" s="124" t="str">
        <f aca="false">IF(D313="","",15%)</f>
        <v/>
      </c>
      <c r="I313" s="123" t="str">
        <f aca="false">IF(COUNTBLANK(E313:H313)&lt;1,ROUNDUP(SUM(F313:G313)*((100+H313*100)%),0),"")</f>
        <v/>
      </c>
      <c r="J313" s="129"/>
      <c r="K313" s="129"/>
    </row>
    <row r="314" customFormat="false" ht="12.75" hidden="false" customHeight="true" outlineLevel="0" collapsed="false">
      <c r="A314" s="121" t="str">
        <f aca="false">IF(B314="","",CONCATENATE(COUNTA(B$4:B314),"."))</f>
        <v/>
      </c>
      <c r="B314" s="126"/>
      <c r="C314" s="126"/>
      <c r="D314" s="126"/>
      <c r="E314" s="127"/>
      <c r="F314" s="127"/>
      <c r="G314" s="127"/>
      <c r="H314" s="124" t="str">
        <f aca="false">IF(D314="","",15%)</f>
        <v/>
      </c>
      <c r="I314" s="123" t="str">
        <f aca="false">IF(COUNTBLANK(E314:H314)&lt;1,ROUNDUP(SUM(F314:G314)*((100+H314*100)%),0),"")</f>
        <v/>
      </c>
      <c r="J314" s="129"/>
      <c r="K314" s="129"/>
    </row>
    <row r="315" customFormat="false" ht="12.75" hidden="false" customHeight="true" outlineLevel="0" collapsed="false">
      <c r="A315" s="121" t="str">
        <f aca="false">IF(B315="","",CONCATENATE(COUNTA(B$4:B315),"."))</f>
        <v/>
      </c>
      <c r="B315" s="126"/>
      <c r="C315" s="126"/>
      <c r="D315" s="126"/>
      <c r="E315" s="127"/>
      <c r="F315" s="127"/>
      <c r="G315" s="127"/>
      <c r="H315" s="124" t="str">
        <f aca="false">IF(D315="","",15%)</f>
        <v/>
      </c>
      <c r="I315" s="123" t="str">
        <f aca="false">IF(COUNTBLANK(E315:H315)&lt;1,ROUNDUP(SUM(F315:G315)*((100+H315*100)%),0),"")</f>
        <v/>
      </c>
      <c r="J315" s="129"/>
      <c r="K315" s="129"/>
    </row>
    <row r="316" customFormat="false" ht="12.75" hidden="false" customHeight="true" outlineLevel="0" collapsed="false">
      <c r="A316" s="121" t="str">
        <f aca="false">IF(B316="","",CONCATENATE(COUNTA(B$4:B316),"."))</f>
        <v/>
      </c>
      <c r="B316" s="126"/>
      <c r="C316" s="126"/>
      <c r="D316" s="126"/>
      <c r="E316" s="127"/>
      <c r="F316" s="127"/>
      <c r="G316" s="127"/>
      <c r="H316" s="124" t="str">
        <f aca="false">IF(D316="","",15%)</f>
        <v/>
      </c>
      <c r="I316" s="123" t="str">
        <f aca="false">IF(COUNTBLANK(E316:H316)&lt;1,ROUNDUP(SUM(F316:G316)*((100+H316*100)%),0),"")</f>
        <v/>
      </c>
      <c r="J316" s="129"/>
      <c r="K316" s="129"/>
    </row>
    <row r="317" customFormat="false" ht="12.75" hidden="false" customHeight="true" outlineLevel="0" collapsed="false">
      <c r="A317" s="121" t="str">
        <f aca="false">IF(B317="","",CONCATENATE(COUNTA(B$4:B317),"."))</f>
        <v/>
      </c>
      <c r="B317" s="126"/>
      <c r="C317" s="126"/>
      <c r="D317" s="126"/>
      <c r="E317" s="127"/>
      <c r="F317" s="127"/>
      <c r="G317" s="127"/>
      <c r="H317" s="124" t="str">
        <f aca="false">IF(D317="","",15%)</f>
        <v/>
      </c>
      <c r="I317" s="123" t="str">
        <f aca="false">IF(COUNTBLANK(E317:H317)&lt;1,ROUNDUP(SUM(F317:G317)*((100+H317*100)%),0),"")</f>
        <v/>
      </c>
      <c r="J317" s="129"/>
      <c r="K317" s="129"/>
    </row>
    <row r="318" customFormat="false" ht="12.75" hidden="false" customHeight="true" outlineLevel="0" collapsed="false">
      <c r="A318" s="121" t="str">
        <f aca="false">IF(B318="","",CONCATENATE(COUNTA(B$4:B318),"."))</f>
        <v/>
      </c>
      <c r="B318" s="126"/>
      <c r="C318" s="126"/>
      <c r="D318" s="126"/>
      <c r="E318" s="127"/>
      <c r="F318" s="127"/>
      <c r="G318" s="127"/>
      <c r="H318" s="124" t="str">
        <f aca="false">IF(D318="","",15%)</f>
        <v/>
      </c>
      <c r="I318" s="123" t="str">
        <f aca="false">IF(COUNTBLANK(E318:H318)&lt;1,ROUNDUP(SUM(F318:G318)*((100+H318*100)%),0),"")</f>
        <v/>
      </c>
      <c r="J318" s="129"/>
      <c r="K318" s="129"/>
    </row>
    <row r="319" customFormat="false" ht="12.75" hidden="false" customHeight="true" outlineLevel="0" collapsed="false">
      <c r="A319" s="121" t="str">
        <f aca="false">IF(B319="","",CONCATENATE(COUNTA(B$4:B319),"."))</f>
        <v/>
      </c>
      <c r="B319" s="126"/>
      <c r="C319" s="126"/>
      <c r="D319" s="126"/>
      <c r="E319" s="127"/>
      <c r="F319" s="127"/>
      <c r="G319" s="127"/>
      <c r="H319" s="124" t="str">
        <f aca="false">IF(D319="","",15%)</f>
        <v/>
      </c>
      <c r="I319" s="123" t="str">
        <f aca="false">IF(COUNTBLANK(E319:H319)&lt;1,ROUNDUP(SUM(F319:G319)*((100+H319*100)%),0),"")</f>
        <v/>
      </c>
      <c r="J319" s="129"/>
      <c r="K319" s="129"/>
    </row>
    <row r="320" customFormat="false" ht="12.75" hidden="false" customHeight="true" outlineLevel="0" collapsed="false">
      <c r="A320" s="121" t="str">
        <f aca="false">IF(B320="","",CONCATENATE(COUNTA(B$4:B320),"."))</f>
        <v/>
      </c>
      <c r="B320" s="126"/>
      <c r="C320" s="126"/>
      <c r="D320" s="126"/>
      <c r="E320" s="127"/>
      <c r="F320" s="127"/>
      <c r="G320" s="127"/>
      <c r="H320" s="124" t="str">
        <f aca="false">IF(D320="","",15%)</f>
        <v/>
      </c>
      <c r="I320" s="123" t="str">
        <f aca="false">IF(COUNTBLANK(E320:H320)&lt;1,ROUNDUP(SUM(F320:G320)*((100+H320*100)%),0),"")</f>
        <v/>
      </c>
      <c r="J320" s="129"/>
      <c r="K320" s="129"/>
    </row>
    <row r="321" customFormat="false" ht="12.75" hidden="false" customHeight="true" outlineLevel="0" collapsed="false">
      <c r="A321" s="121" t="str">
        <f aca="false">IF(B321="","",CONCATENATE(COUNTA(B$4:B321),"."))</f>
        <v/>
      </c>
      <c r="B321" s="126"/>
      <c r="C321" s="126"/>
      <c r="D321" s="126"/>
      <c r="E321" s="127"/>
      <c r="F321" s="127"/>
      <c r="G321" s="127"/>
      <c r="H321" s="124" t="str">
        <f aca="false">IF(D321="","",15%)</f>
        <v/>
      </c>
      <c r="I321" s="123" t="str">
        <f aca="false">IF(COUNTBLANK(E321:H321)&lt;1,ROUNDUP(SUM(F321:G321)*((100+H321*100)%),0),"")</f>
        <v/>
      </c>
      <c r="J321" s="129"/>
      <c r="K321" s="129"/>
    </row>
    <row r="322" customFormat="false" ht="12.75" hidden="false" customHeight="true" outlineLevel="0" collapsed="false">
      <c r="A322" s="121" t="str">
        <f aca="false">IF(B322="","",CONCATENATE(COUNTA(B$4:B322),"."))</f>
        <v/>
      </c>
      <c r="B322" s="126"/>
      <c r="C322" s="126"/>
      <c r="D322" s="126"/>
      <c r="E322" s="127"/>
      <c r="F322" s="127"/>
      <c r="G322" s="127"/>
      <c r="H322" s="124" t="str">
        <f aca="false">IF(D322="","",15%)</f>
        <v/>
      </c>
      <c r="I322" s="123" t="str">
        <f aca="false">IF(COUNTBLANK(E322:H322)&lt;1,ROUNDUP(SUM(F322:G322)*((100+H322*100)%),0),"")</f>
        <v/>
      </c>
      <c r="J322" s="129"/>
      <c r="K322" s="129"/>
    </row>
    <row r="323" customFormat="false" ht="12.75" hidden="false" customHeight="true" outlineLevel="0" collapsed="false">
      <c r="A323" s="121" t="str">
        <f aca="false">IF(B323="","",CONCATENATE(COUNTA(B$4:B323),"."))</f>
        <v/>
      </c>
      <c r="B323" s="126"/>
      <c r="C323" s="126"/>
      <c r="D323" s="126"/>
      <c r="E323" s="127"/>
      <c r="F323" s="127"/>
      <c r="G323" s="127"/>
      <c r="H323" s="124" t="str">
        <f aca="false">IF(D323="","",15%)</f>
        <v/>
      </c>
      <c r="I323" s="123" t="str">
        <f aca="false">IF(COUNTBLANK(E323:H323)&lt;1,ROUNDUP(SUM(F323:G323)*((100+H323*100)%),0),"")</f>
        <v/>
      </c>
      <c r="J323" s="129"/>
      <c r="K323" s="129"/>
    </row>
    <row r="324" customFormat="false" ht="12.75" hidden="false" customHeight="true" outlineLevel="0" collapsed="false">
      <c r="A324" s="121" t="str">
        <f aca="false">IF(B324="","",CONCATENATE(COUNTA(B$4:B324),"."))</f>
        <v/>
      </c>
      <c r="B324" s="126"/>
      <c r="C324" s="126"/>
      <c r="D324" s="126"/>
      <c r="E324" s="127"/>
      <c r="F324" s="127"/>
      <c r="G324" s="127"/>
      <c r="H324" s="124" t="str">
        <f aca="false">IF(D324="","",15%)</f>
        <v/>
      </c>
      <c r="I324" s="123" t="str">
        <f aca="false">IF(COUNTBLANK(E324:H324)&lt;1,ROUNDUP(SUM(F324:G324)*((100+H324*100)%),0),"")</f>
        <v/>
      </c>
      <c r="J324" s="129"/>
      <c r="K324" s="129"/>
    </row>
    <row r="325" customFormat="false" ht="12.75" hidden="false" customHeight="true" outlineLevel="0" collapsed="false">
      <c r="A325" s="121" t="str">
        <f aca="false">IF(B325="","",CONCATENATE(COUNTA(B$4:B325),"."))</f>
        <v/>
      </c>
      <c r="B325" s="126"/>
      <c r="C325" s="126"/>
      <c r="D325" s="126"/>
      <c r="E325" s="127"/>
      <c r="F325" s="127"/>
      <c r="G325" s="127"/>
      <c r="H325" s="124" t="str">
        <f aca="false">IF(D325="","",15%)</f>
        <v/>
      </c>
      <c r="I325" s="123" t="str">
        <f aca="false">IF(COUNTBLANK(E325:H325)&lt;1,ROUNDUP(SUM(F325:G325)*((100+H325*100)%),0),"")</f>
        <v/>
      </c>
      <c r="J325" s="129"/>
      <c r="K325" s="129"/>
    </row>
    <row r="326" customFormat="false" ht="12.75" hidden="false" customHeight="true" outlineLevel="0" collapsed="false">
      <c r="A326" s="121" t="str">
        <f aca="false">IF(B326="","",CONCATENATE(COUNTA(B$4:B326),"."))</f>
        <v/>
      </c>
      <c r="B326" s="126"/>
      <c r="C326" s="126"/>
      <c r="D326" s="126"/>
      <c r="E326" s="127"/>
      <c r="F326" s="127"/>
      <c r="G326" s="127"/>
      <c r="H326" s="124" t="str">
        <f aca="false">IF(D326="","",15%)</f>
        <v/>
      </c>
      <c r="I326" s="123" t="str">
        <f aca="false">IF(COUNTBLANK(E326:H326)&lt;1,ROUNDUP(SUM(F326:G326)*((100+H326*100)%),0),"")</f>
        <v/>
      </c>
      <c r="J326" s="129"/>
      <c r="K326" s="129"/>
    </row>
    <row r="327" customFormat="false" ht="12.75" hidden="false" customHeight="true" outlineLevel="0" collapsed="false">
      <c r="A327" s="121" t="str">
        <f aca="false">IF(B327="","",CONCATENATE(COUNTA(B$4:B327),"."))</f>
        <v/>
      </c>
      <c r="B327" s="126"/>
      <c r="C327" s="126"/>
      <c r="D327" s="126"/>
      <c r="E327" s="127"/>
      <c r="F327" s="127"/>
      <c r="G327" s="127"/>
      <c r="H327" s="124" t="str">
        <f aca="false">IF(D327="","",15%)</f>
        <v/>
      </c>
      <c r="I327" s="123" t="str">
        <f aca="false">IF(COUNTBLANK(E327:H327)&lt;1,ROUNDUP(SUM(F327:G327)*((100+H327*100)%),0),"")</f>
        <v/>
      </c>
      <c r="J327" s="129"/>
      <c r="K327" s="129"/>
    </row>
    <row r="328" customFormat="false" ht="12.75" hidden="false" customHeight="true" outlineLevel="0" collapsed="false">
      <c r="A328" s="121" t="str">
        <f aca="false">IF(B328="","",CONCATENATE(COUNTA(B$4:B328),"."))</f>
        <v/>
      </c>
      <c r="B328" s="126"/>
      <c r="C328" s="126"/>
      <c r="D328" s="126"/>
      <c r="E328" s="127"/>
      <c r="F328" s="127"/>
      <c r="G328" s="127"/>
      <c r="H328" s="124" t="str">
        <f aca="false">IF(D328="","",15%)</f>
        <v/>
      </c>
      <c r="I328" s="123" t="str">
        <f aca="false">IF(COUNTBLANK(E328:H328)&lt;1,ROUNDUP(SUM(F328:G328)*((100+H328*100)%),0),"")</f>
        <v/>
      </c>
      <c r="J328" s="129"/>
      <c r="K328" s="129"/>
    </row>
    <row r="329" customFormat="false" ht="12.75" hidden="false" customHeight="true" outlineLevel="0" collapsed="false">
      <c r="A329" s="121" t="str">
        <f aca="false">IF(B329="","",CONCATENATE(COUNTA(B$4:B329),"."))</f>
        <v/>
      </c>
      <c r="B329" s="126"/>
      <c r="C329" s="126"/>
      <c r="D329" s="126"/>
      <c r="E329" s="127"/>
      <c r="F329" s="127"/>
      <c r="G329" s="127"/>
      <c r="H329" s="124" t="str">
        <f aca="false">IF(D329="","",15%)</f>
        <v/>
      </c>
      <c r="I329" s="123" t="str">
        <f aca="false">IF(COUNTBLANK(E329:H329)&lt;1,ROUNDUP(SUM(F329:G329)*((100+H329*100)%),0),"")</f>
        <v/>
      </c>
      <c r="J329" s="129"/>
      <c r="K329" s="129"/>
    </row>
    <row r="330" customFormat="false" ht="12.75" hidden="false" customHeight="true" outlineLevel="0" collapsed="false">
      <c r="A330" s="121" t="str">
        <f aca="false">IF(B330="","",CONCATENATE(COUNTA(B$4:B330),"."))</f>
        <v/>
      </c>
      <c r="B330" s="126"/>
      <c r="C330" s="126"/>
      <c r="D330" s="126"/>
      <c r="E330" s="127"/>
      <c r="F330" s="127"/>
      <c r="G330" s="127"/>
      <c r="H330" s="124" t="str">
        <f aca="false">IF(D330="","",15%)</f>
        <v/>
      </c>
      <c r="I330" s="123" t="str">
        <f aca="false">IF(COUNTBLANK(E330:H330)&lt;1,ROUNDUP(SUM(F330:G330)*((100+H330*100)%),0),"")</f>
        <v/>
      </c>
      <c r="J330" s="129"/>
      <c r="K330" s="129"/>
    </row>
    <row r="331" customFormat="false" ht="12.75" hidden="false" customHeight="true" outlineLevel="0" collapsed="false">
      <c r="A331" s="121" t="str">
        <f aca="false">IF(B331="","",CONCATENATE(COUNTA(B$4:B331),"."))</f>
        <v/>
      </c>
      <c r="B331" s="126"/>
      <c r="C331" s="126"/>
      <c r="D331" s="126"/>
      <c r="E331" s="127"/>
      <c r="F331" s="127"/>
      <c r="G331" s="127"/>
      <c r="H331" s="124" t="str">
        <f aca="false">IF(D331="","",15%)</f>
        <v/>
      </c>
      <c r="I331" s="123" t="str">
        <f aca="false">IF(COUNTBLANK(E331:H331)&lt;1,ROUNDUP(SUM(F331:G331)*((100+H331*100)%),0),"")</f>
        <v/>
      </c>
      <c r="J331" s="129"/>
      <c r="K331" s="129"/>
    </row>
    <row r="332" customFormat="false" ht="12.75" hidden="false" customHeight="true" outlineLevel="0" collapsed="false">
      <c r="A332" s="121" t="str">
        <f aca="false">IF(B332="","",CONCATENATE(COUNTA(B$4:B332),"."))</f>
        <v/>
      </c>
      <c r="B332" s="126"/>
      <c r="C332" s="126"/>
      <c r="D332" s="126"/>
      <c r="E332" s="127"/>
      <c r="F332" s="127"/>
      <c r="G332" s="127"/>
      <c r="H332" s="124" t="str">
        <f aca="false">IF(D332="","",15%)</f>
        <v/>
      </c>
      <c r="I332" s="123" t="str">
        <f aca="false">IF(COUNTBLANK(E332:H332)&lt;1,ROUNDUP(SUM(F332:G332)*((100+H332*100)%),0),"")</f>
        <v/>
      </c>
      <c r="J332" s="129"/>
      <c r="K332" s="129"/>
    </row>
    <row r="333" customFormat="false" ht="12.75" hidden="false" customHeight="true" outlineLevel="0" collapsed="false">
      <c r="A333" s="121" t="str">
        <f aca="false">IF(B333="","",CONCATENATE(COUNTA(B$4:B333),"."))</f>
        <v/>
      </c>
      <c r="B333" s="126"/>
      <c r="C333" s="126"/>
      <c r="D333" s="126"/>
      <c r="E333" s="127"/>
      <c r="F333" s="127"/>
      <c r="G333" s="127"/>
      <c r="H333" s="124" t="str">
        <f aca="false">IF(D333="","",15%)</f>
        <v/>
      </c>
      <c r="I333" s="123" t="str">
        <f aca="false">IF(COUNTBLANK(E333:H333)&lt;1,ROUNDUP(SUM(F333:G333)*((100+H333*100)%),0),"")</f>
        <v/>
      </c>
      <c r="J333" s="129"/>
      <c r="K333" s="129"/>
    </row>
    <row r="334" customFormat="false" ht="12.75" hidden="false" customHeight="true" outlineLevel="0" collapsed="false">
      <c r="A334" s="121" t="str">
        <f aca="false">IF(B334="","",CONCATENATE(COUNTA(B$4:B334),"."))</f>
        <v/>
      </c>
      <c r="B334" s="126"/>
      <c r="C334" s="126"/>
      <c r="D334" s="126"/>
      <c r="E334" s="127"/>
      <c r="F334" s="127"/>
      <c r="G334" s="127"/>
      <c r="H334" s="124" t="str">
        <f aca="false">IF(D334="","",15%)</f>
        <v/>
      </c>
      <c r="I334" s="123" t="str">
        <f aca="false">IF(COUNTBLANK(E334:H334)&lt;1,ROUNDUP(SUM(F334:G334)*((100+H334*100)%),0),"")</f>
        <v/>
      </c>
      <c r="J334" s="129"/>
      <c r="K334" s="129"/>
    </row>
    <row r="335" customFormat="false" ht="12.75" hidden="false" customHeight="true" outlineLevel="0" collapsed="false">
      <c r="A335" s="121" t="str">
        <f aca="false">IF(B335="","",CONCATENATE(COUNTA(B$4:B335),"."))</f>
        <v/>
      </c>
      <c r="B335" s="126"/>
      <c r="C335" s="126"/>
      <c r="D335" s="126"/>
      <c r="E335" s="127"/>
      <c r="F335" s="127"/>
      <c r="G335" s="127"/>
      <c r="H335" s="124" t="str">
        <f aca="false">IF(D335="","",15%)</f>
        <v/>
      </c>
      <c r="I335" s="123" t="str">
        <f aca="false">IF(COUNTBLANK(E335:H335)&lt;1,ROUNDUP(SUM(F335:G335)*((100+H335*100)%),0),"")</f>
        <v/>
      </c>
      <c r="J335" s="129"/>
      <c r="K335" s="129"/>
    </row>
    <row r="336" customFormat="false" ht="12.75" hidden="false" customHeight="true" outlineLevel="0" collapsed="false">
      <c r="A336" s="121" t="str">
        <f aca="false">IF(B336="","",CONCATENATE(COUNTA(B$4:B336),"."))</f>
        <v/>
      </c>
      <c r="B336" s="126"/>
      <c r="C336" s="126"/>
      <c r="D336" s="126"/>
      <c r="E336" s="127"/>
      <c r="F336" s="127"/>
      <c r="G336" s="127"/>
      <c r="H336" s="124" t="str">
        <f aca="false">IF(D336="","",15%)</f>
        <v/>
      </c>
      <c r="I336" s="123" t="str">
        <f aca="false">IF(COUNTBLANK(E336:H336)&lt;1,ROUNDUP(SUM(F336:G336)*((100+H336*100)%),0),"")</f>
        <v/>
      </c>
      <c r="J336" s="129"/>
      <c r="K336" s="129"/>
    </row>
    <row r="337" customFormat="false" ht="12.75" hidden="false" customHeight="true" outlineLevel="0" collapsed="false">
      <c r="A337" s="121" t="str">
        <f aca="false">IF(B337="","",CONCATENATE(COUNTA(B$4:B337),"."))</f>
        <v/>
      </c>
      <c r="B337" s="126"/>
      <c r="C337" s="126"/>
      <c r="D337" s="126"/>
      <c r="E337" s="127"/>
      <c r="F337" s="127"/>
      <c r="G337" s="127"/>
      <c r="H337" s="124" t="str">
        <f aca="false">IF(D337="","",15%)</f>
        <v/>
      </c>
      <c r="I337" s="123" t="str">
        <f aca="false">IF(COUNTBLANK(E337:H337)&lt;1,ROUNDUP(SUM(F337:G337)*((100+H337*100)%),0),"")</f>
        <v/>
      </c>
      <c r="J337" s="129"/>
      <c r="K337" s="129"/>
    </row>
    <row r="338" customFormat="false" ht="12.75" hidden="false" customHeight="true" outlineLevel="0" collapsed="false">
      <c r="A338" s="121" t="str">
        <f aca="false">IF(B338="","",CONCATENATE(COUNTA(B$4:B338),"."))</f>
        <v/>
      </c>
      <c r="B338" s="126"/>
      <c r="C338" s="126"/>
      <c r="D338" s="126"/>
      <c r="E338" s="127"/>
      <c r="F338" s="127"/>
      <c r="G338" s="127"/>
      <c r="H338" s="124" t="str">
        <f aca="false">IF(D338="","",15%)</f>
        <v/>
      </c>
      <c r="I338" s="123" t="str">
        <f aca="false">IF(COUNTBLANK(E338:H338)&lt;1,ROUNDUP(SUM(F338:G338)*((100+H338*100)%),0),"")</f>
        <v/>
      </c>
      <c r="J338" s="129"/>
      <c r="K338" s="129"/>
    </row>
    <row r="339" customFormat="false" ht="12.75" hidden="false" customHeight="true" outlineLevel="0" collapsed="false">
      <c r="A339" s="121" t="str">
        <f aca="false">IF(B339="","",CONCATENATE(COUNTA(B$4:B339),"."))</f>
        <v/>
      </c>
      <c r="B339" s="126"/>
      <c r="C339" s="126"/>
      <c r="D339" s="126"/>
      <c r="E339" s="127"/>
      <c r="F339" s="127"/>
      <c r="G339" s="127"/>
      <c r="H339" s="124" t="str">
        <f aca="false">IF(D339="","",15%)</f>
        <v/>
      </c>
      <c r="I339" s="123" t="str">
        <f aca="false">IF(COUNTBLANK(E339:H339)&lt;1,ROUNDUP(SUM(F339:G339)*((100+H339*100)%),0),"")</f>
        <v/>
      </c>
      <c r="J339" s="129"/>
      <c r="K339" s="129"/>
    </row>
    <row r="340" customFormat="false" ht="12.75" hidden="false" customHeight="true" outlineLevel="0" collapsed="false">
      <c r="A340" s="121" t="str">
        <f aca="false">IF(B340="","",CONCATENATE(COUNTA(B$4:B340),"."))</f>
        <v/>
      </c>
      <c r="B340" s="126"/>
      <c r="C340" s="126"/>
      <c r="D340" s="126"/>
      <c r="E340" s="127"/>
      <c r="F340" s="127"/>
      <c r="G340" s="127"/>
      <c r="H340" s="124" t="str">
        <f aca="false">IF(D340="","",15%)</f>
        <v/>
      </c>
      <c r="I340" s="123" t="str">
        <f aca="false">IF(COUNTBLANK(E340:H340)&lt;1,ROUNDUP(SUM(F340:G340)*((100+H340*100)%),0),"")</f>
        <v/>
      </c>
      <c r="J340" s="129"/>
      <c r="K340" s="129"/>
    </row>
    <row r="341" customFormat="false" ht="12.75" hidden="false" customHeight="true" outlineLevel="0" collapsed="false">
      <c r="A341" s="121" t="str">
        <f aca="false">IF(B341="","",CONCATENATE(COUNTA(B$4:B341),"."))</f>
        <v/>
      </c>
      <c r="B341" s="126"/>
      <c r="C341" s="126"/>
      <c r="D341" s="126"/>
      <c r="E341" s="127"/>
      <c r="F341" s="127"/>
      <c r="G341" s="127"/>
      <c r="H341" s="124" t="str">
        <f aca="false">IF(D341="","",15%)</f>
        <v/>
      </c>
      <c r="I341" s="123" t="str">
        <f aca="false">IF(COUNTBLANK(E341:H341)&lt;1,ROUNDUP(SUM(F341:G341)*((100+H341*100)%),0),"")</f>
        <v/>
      </c>
      <c r="J341" s="129"/>
      <c r="K341" s="129"/>
    </row>
    <row r="342" customFormat="false" ht="12.75" hidden="false" customHeight="true" outlineLevel="0" collapsed="false">
      <c r="A342" s="121" t="str">
        <f aca="false">IF(B342="","",CONCATENATE(COUNTA(B$4:B342),"."))</f>
        <v/>
      </c>
      <c r="B342" s="126"/>
      <c r="C342" s="126"/>
      <c r="D342" s="126"/>
      <c r="E342" s="127"/>
      <c r="F342" s="127"/>
      <c r="G342" s="127"/>
      <c r="H342" s="124" t="str">
        <f aca="false">IF(D342="","",15%)</f>
        <v/>
      </c>
      <c r="I342" s="123" t="str">
        <f aca="false">IF(COUNTBLANK(E342:H342)&lt;1,ROUNDUP(SUM(F342:G342)*((100+H342*100)%),0),"")</f>
        <v/>
      </c>
      <c r="J342" s="129"/>
      <c r="K342" s="129"/>
    </row>
    <row r="343" customFormat="false" ht="12.75" hidden="false" customHeight="true" outlineLevel="0" collapsed="false">
      <c r="A343" s="121" t="str">
        <f aca="false">IF(B343="","",CONCATENATE(COUNTA(B$4:B343),"."))</f>
        <v/>
      </c>
      <c r="B343" s="126"/>
      <c r="C343" s="126"/>
      <c r="D343" s="126"/>
      <c r="E343" s="127"/>
      <c r="F343" s="127"/>
      <c r="G343" s="127"/>
      <c r="H343" s="124" t="str">
        <f aca="false">IF(D343="","",15%)</f>
        <v/>
      </c>
      <c r="I343" s="123" t="str">
        <f aca="false">IF(COUNTBLANK(E343:H343)&lt;1,ROUNDUP(SUM(F343:G343)*((100+H343*100)%),0),"")</f>
        <v/>
      </c>
      <c r="J343" s="129"/>
      <c r="K343" s="129"/>
    </row>
    <row r="344" customFormat="false" ht="12.75" hidden="false" customHeight="true" outlineLevel="0" collapsed="false">
      <c r="A344" s="121" t="str">
        <f aca="false">IF(B344="","",CONCATENATE(COUNTA(B$4:B344),"."))</f>
        <v/>
      </c>
      <c r="B344" s="126"/>
      <c r="C344" s="126"/>
      <c r="D344" s="126"/>
      <c r="E344" s="127"/>
      <c r="F344" s="127"/>
      <c r="G344" s="127"/>
      <c r="H344" s="124" t="str">
        <f aca="false">IF(D344="","",15%)</f>
        <v/>
      </c>
      <c r="I344" s="123" t="str">
        <f aca="false">IF(COUNTBLANK(E344:H344)&lt;1,ROUNDUP(SUM(F344:G344)*((100+H344*100)%),0),"")</f>
        <v/>
      </c>
      <c r="J344" s="129"/>
      <c r="K344" s="129"/>
    </row>
    <row r="345" customFormat="false" ht="12.75" hidden="false" customHeight="true" outlineLevel="0" collapsed="false">
      <c r="A345" s="121" t="str">
        <f aca="false">IF(B345="","",CONCATENATE(COUNTA(B$4:B345),"."))</f>
        <v/>
      </c>
      <c r="B345" s="126"/>
      <c r="C345" s="126"/>
      <c r="D345" s="126"/>
      <c r="E345" s="127"/>
      <c r="F345" s="127"/>
      <c r="G345" s="127"/>
      <c r="H345" s="124" t="str">
        <f aca="false">IF(D345="","",15%)</f>
        <v/>
      </c>
      <c r="I345" s="123" t="str">
        <f aca="false">IF(COUNTBLANK(E345:H345)&lt;1,ROUNDUP(SUM(F345:G345)*((100+H345*100)%),0),"")</f>
        <v/>
      </c>
      <c r="J345" s="129"/>
      <c r="K345" s="129"/>
    </row>
    <row r="346" customFormat="false" ht="12.75" hidden="false" customHeight="true" outlineLevel="0" collapsed="false">
      <c r="A346" s="121" t="str">
        <f aca="false">IF(B346="","",CONCATENATE(COUNTA(B$4:B346),"."))</f>
        <v/>
      </c>
      <c r="B346" s="126"/>
      <c r="C346" s="126"/>
      <c r="D346" s="126"/>
      <c r="E346" s="127"/>
      <c r="F346" s="127"/>
      <c r="G346" s="127"/>
      <c r="H346" s="124" t="str">
        <f aca="false">IF(D346="","",15%)</f>
        <v/>
      </c>
      <c r="I346" s="123" t="str">
        <f aca="false">IF(COUNTBLANK(E346:H346)&lt;1,ROUNDUP(SUM(F346:G346)*((100+H346*100)%),0),"")</f>
        <v/>
      </c>
      <c r="J346" s="129"/>
      <c r="K346" s="129"/>
    </row>
    <row r="347" customFormat="false" ht="12.75" hidden="false" customHeight="true" outlineLevel="0" collapsed="false">
      <c r="A347" s="121" t="str">
        <f aca="false">IF(B347="","",CONCATENATE(COUNTA(B$4:B347),"."))</f>
        <v/>
      </c>
      <c r="B347" s="126"/>
      <c r="C347" s="126"/>
      <c r="D347" s="126"/>
      <c r="E347" s="127"/>
      <c r="F347" s="127"/>
      <c r="G347" s="127"/>
      <c r="H347" s="124" t="str">
        <f aca="false">IF(D347="","",15%)</f>
        <v/>
      </c>
      <c r="I347" s="123" t="str">
        <f aca="false">IF(COUNTBLANK(E347:H347)&lt;1,ROUNDUP(SUM(F347:G347)*((100+H347*100)%),0),"")</f>
        <v/>
      </c>
      <c r="J347" s="129"/>
      <c r="K347" s="129"/>
    </row>
    <row r="348" customFormat="false" ht="12.75" hidden="false" customHeight="true" outlineLevel="0" collapsed="false">
      <c r="A348" s="121" t="str">
        <f aca="false">IF(B348="","",CONCATENATE(COUNTA(B$4:B348),"."))</f>
        <v/>
      </c>
      <c r="B348" s="126"/>
      <c r="C348" s="126"/>
      <c r="D348" s="126"/>
      <c r="E348" s="127"/>
      <c r="F348" s="127"/>
      <c r="G348" s="127"/>
      <c r="H348" s="124" t="str">
        <f aca="false">IF(D348="","",15%)</f>
        <v/>
      </c>
      <c r="I348" s="123" t="str">
        <f aca="false">IF(COUNTBLANK(E348:H348)&lt;1,ROUNDUP(SUM(F348:G348)*((100+H348*100)%),0),"")</f>
        <v/>
      </c>
      <c r="J348" s="129"/>
      <c r="K348" s="129"/>
    </row>
    <row r="349" customFormat="false" ht="12.75" hidden="false" customHeight="true" outlineLevel="0" collapsed="false">
      <c r="A349" s="121" t="str">
        <f aca="false">IF(B349="","",CONCATENATE(COUNTA(B$4:B349),"."))</f>
        <v/>
      </c>
      <c r="B349" s="126"/>
      <c r="C349" s="126"/>
      <c r="D349" s="126"/>
      <c r="E349" s="127"/>
      <c r="F349" s="127"/>
      <c r="G349" s="127"/>
      <c r="H349" s="124" t="str">
        <f aca="false">IF(D349="","",15%)</f>
        <v/>
      </c>
      <c r="I349" s="123" t="str">
        <f aca="false">IF(COUNTBLANK(E349:H349)&lt;1,ROUNDUP(SUM(F349:G349)*((100+H349*100)%),0),"")</f>
        <v/>
      </c>
      <c r="J349" s="129"/>
      <c r="K349" s="129"/>
    </row>
    <row r="350" customFormat="false" ht="12.75" hidden="false" customHeight="true" outlineLevel="0" collapsed="false">
      <c r="A350" s="121" t="str">
        <f aca="false">IF(B350="","",CONCATENATE(COUNTA(B$4:B350),"."))</f>
        <v/>
      </c>
      <c r="B350" s="126"/>
      <c r="C350" s="126"/>
      <c r="D350" s="126"/>
      <c r="E350" s="127"/>
      <c r="F350" s="127"/>
      <c r="G350" s="127"/>
      <c r="H350" s="124" t="str">
        <f aca="false">IF(D350="","",15%)</f>
        <v/>
      </c>
      <c r="I350" s="123" t="str">
        <f aca="false">IF(COUNTBLANK(E350:H350)&lt;1,ROUNDUP(SUM(F350:G350)*((100+H350*100)%),0),"")</f>
        <v/>
      </c>
      <c r="J350" s="129"/>
      <c r="K350" s="129"/>
    </row>
    <row r="351" customFormat="false" ht="12.75" hidden="false" customHeight="true" outlineLevel="0" collapsed="false">
      <c r="A351" s="121" t="str">
        <f aca="false">IF(B351="","",CONCATENATE(COUNTA(B$4:B351),"."))</f>
        <v/>
      </c>
      <c r="B351" s="126"/>
      <c r="C351" s="126"/>
      <c r="D351" s="126"/>
      <c r="E351" s="127"/>
      <c r="F351" s="127"/>
      <c r="G351" s="127"/>
      <c r="H351" s="124" t="str">
        <f aca="false">IF(D351="","",15%)</f>
        <v/>
      </c>
      <c r="I351" s="123" t="str">
        <f aca="false">IF(COUNTBLANK(E351:H351)&lt;1,ROUNDUP(SUM(F351:G351)*((100+H351*100)%),0),"")</f>
        <v/>
      </c>
      <c r="J351" s="129"/>
      <c r="K351" s="129"/>
    </row>
    <row r="352" customFormat="false" ht="12.75" hidden="false" customHeight="true" outlineLevel="0" collapsed="false">
      <c r="A352" s="121" t="str">
        <f aca="false">IF(B352="","",CONCATENATE(COUNTA(B$4:B352),"."))</f>
        <v/>
      </c>
      <c r="B352" s="126"/>
      <c r="C352" s="126"/>
      <c r="D352" s="126"/>
      <c r="E352" s="127"/>
      <c r="F352" s="127"/>
      <c r="G352" s="127"/>
      <c r="H352" s="124" t="str">
        <f aca="false">IF(D352="","",15%)</f>
        <v/>
      </c>
      <c r="I352" s="123" t="str">
        <f aca="false">IF(COUNTBLANK(E352:H352)&lt;1,ROUNDUP(SUM(F352:G352)*((100+H352*100)%),0),"")</f>
        <v/>
      </c>
      <c r="J352" s="129"/>
      <c r="K352" s="129"/>
    </row>
    <row r="353" customFormat="false" ht="12.75" hidden="false" customHeight="true" outlineLevel="0" collapsed="false">
      <c r="A353" s="121" t="str">
        <f aca="false">IF(B353="","",CONCATENATE(COUNTA(B$4:B353),"."))</f>
        <v/>
      </c>
      <c r="B353" s="126"/>
      <c r="C353" s="126"/>
      <c r="D353" s="126"/>
      <c r="E353" s="127"/>
      <c r="F353" s="127"/>
      <c r="G353" s="127"/>
      <c r="H353" s="124" t="str">
        <f aca="false">IF(D353="","",15%)</f>
        <v/>
      </c>
      <c r="I353" s="123" t="str">
        <f aca="false">IF(COUNTBLANK(E353:H353)&lt;1,ROUNDUP(SUM(F353:G353)*((100+H353*100)%),0),"")</f>
        <v/>
      </c>
      <c r="J353" s="129"/>
      <c r="K353" s="129"/>
    </row>
    <row r="354" customFormat="false" ht="12.75" hidden="false" customHeight="true" outlineLevel="0" collapsed="false">
      <c r="A354" s="121" t="str">
        <f aca="false">IF(B354="","",CONCATENATE(COUNTA(B$4:B354),"."))</f>
        <v/>
      </c>
      <c r="B354" s="126"/>
      <c r="C354" s="126"/>
      <c r="D354" s="126"/>
      <c r="E354" s="127"/>
      <c r="F354" s="127"/>
      <c r="G354" s="127"/>
      <c r="H354" s="124" t="str">
        <f aca="false">IF(D354="","",15%)</f>
        <v/>
      </c>
      <c r="I354" s="123" t="str">
        <f aca="false">IF(COUNTBLANK(E354:H354)&lt;1,ROUNDUP(SUM(F354:G354)*((100+H354*100)%),0),"")</f>
        <v/>
      </c>
      <c r="J354" s="129"/>
      <c r="K354" s="129"/>
    </row>
    <row r="355" customFormat="false" ht="12.75" hidden="false" customHeight="true" outlineLevel="0" collapsed="false">
      <c r="A355" s="121" t="str">
        <f aca="false">IF(B355="","",CONCATENATE(COUNTA(B$4:B355),"."))</f>
        <v/>
      </c>
      <c r="B355" s="126"/>
      <c r="C355" s="126"/>
      <c r="D355" s="126"/>
      <c r="E355" s="127"/>
      <c r="F355" s="127"/>
      <c r="G355" s="127"/>
      <c r="H355" s="124" t="str">
        <f aca="false">IF(D355="","",15%)</f>
        <v/>
      </c>
      <c r="I355" s="123" t="str">
        <f aca="false">IF(COUNTBLANK(E355:H355)&lt;1,ROUNDUP(SUM(F355:G355)*((100+H355*100)%),0),"")</f>
        <v/>
      </c>
      <c r="J355" s="129"/>
      <c r="K355" s="129"/>
    </row>
    <row r="356" customFormat="false" ht="12.75" hidden="false" customHeight="true" outlineLevel="0" collapsed="false">
      <c r="A356" s="121" t="str">
        <f aca="false">IF(B356="","",CONCATENATE(COUNTA(B$4:B356),"."))</f>
        <v/>
      </c>
      <c r="B356" s="126"/>
      <c r="C356" s="126"/>
      <c r="D356" s="126"/>
      <c r="E356" s="127"/>
      <c r="F356" s="127"/>
      <c r="G356" s="127"/>
      <c r="H356" s="124" t="str">
        <f aca="false">IF(D356="","",15%)</f>
        <v/>
      </c>
      <c r="I356" s="123" t="str">
        <f aca="false">IF(COUNTBLANK(E356:H356)&lt;1,ROUNDUP(SUM(F356:G356)*((100+H356*100)%),0),"")</f>
        <v/>
      </c>
      <c r="J356" s="129"/>
      <c r="K356" s="129"/>
    </row>
    <row r="357" customFormat="false" ht="12.75" hidden="false" customHeight="true" outlineLevel="0" collapsed="false">
      <c r="A357" s="121" t="str">
        <f aca="false">IF(B357="","",CONCATENATE(COUNTA(B$4:B357),"."))</f>
        <v/>
      </c>
      <c r="B357" s="126"/>
      <c r="C357" s="126"/>
      <c r="D357" s="126"/>
      <c r="E357" s="127"/>
      <c r="F357" s="127"/>
      <c r="G357" s="127"/>
      <c r="H357" s="124" t="str">
        <f aca="false">IF(D357="","",15%)</f>
        <v/>
      </c>
      <c r="I357" s="123" t="str">
        <f aca="false">IF(COUNTBLANK(E357:H357)&lt;1,ROUNDUP(SUM(F357:G357)*((100+H357*100)%),0),"")</f>
        <v/>
      </c>
      <c r="J357" s="129"/>
      <c r="K357" s="129"/>
    </row>
    <row r="358" customFormat="false" ht="12.75" hidden="false" customHeight="true" outlineLevel="0" collapsed="false">
      <c r="A358" s="121" t="str">
        <f aca="false">IF(B358="","",CONCATENATE(COUNTA(B$4:B358),"."))</f>
        <v/>
      </c>
      <c r="B358" s="126"/>
      <c r="C358" s="126"/>
      <c r="D358" s="126"/>
      <c r="E358" s="127"/>
      <c r="F358" s="127"/>
      <c r="G358" s="127"/>
      <c r="H358" s="124" t="str">
        <f aca="false">IF(D358="","",15%)</f>
        <v/>
      </c>
      <c r="I358" s="123" t="str">
        <f aca="false">IF(COUNTBLANK(E358:H358)&lt;1,ROUNDUP(SUM(F358:G358)*((100+H358*100)%),0),"")</f>
        <v/>
      </c>
      <c r="J358" s="129"/>
      <c r="K358" s="129"/>
    </row>
    <row r="359" customFormat="false" ht="12.75" hidden="false" customHeight="true" outlineLevel="0" collapsed="false">
      <c r="A359" s="121" t="str">
        <f aca="false">IF(B359="","",CONCATENATE(COUNTA(B$4:B359),"."))</f>
        <v/>
      </c>
      <c r="B359" s="126"/>
      <c r="C359" s="126"/>
      <c r="D359" s="126"/>
      <c r="E359" s="127"/>
      <c r="F359" s="127"/>
      <c r="G359" s="127"/>
      <c r="H359" s="124" t="str">
        <f aca="false">IF(D359="","",15%)</f>
        <v/>
      </c>
      <c r="I359" s="123" t="str">
        <f aca="false">IF(COUNTBLANK(E359:H359)&lt;1,ROUNDUP(SUM(F359:G359)*((100+H359*100)%),0),"")</f>
        <v/>
      </c>
      <c r="J359" s="129"/>
      <c r="K359" s="129"/>
    </row>
    <row r="360" customFormat="false" ht="12.75" hidden="false" customHeight="true" outlineLevel="0" collapsed="false">
      <c r="A360" s="121" t="str">
        <f aca="false">IF(B360="","",CONCATENATE(COUNTA(B$4:B360),"."))</f>
        <v/>
      </c>
      <c r="B360" s="126"/>
      <c r="C360" s="126"/>
      <c r="D360" s="126"/>
      <c r="E360" s="127"/>
      <c r="F360" s="127"/>
      <c r="G360" s="127"/>
      <c r="H360" s="124" t="str">
        <f aca="false">IF(D360="","",15%)</f>
        <v/>
      </c>
      <c r="I360" s="123" t="str">
        <f aca="false">IF(COUNTBLANK(E360:H360)&lt;1,ROUNDUP(SUM(F360:G360)*((100+H360*100)%),0),"")</f>
        <v/>
      </c>
      <c r="J360" s="129"/>
      <c r="K360" s="129"/>
    </row>
    <row r="361" customFormat="false" ht="12.75" hidden="false" customHeight="true" outlineLevel="0" collapsed="false">
      <c r="A361" s="121" t="str">
        <f aca="false">IF(B361="","",CONCATENATE(COUNTA(B$4:B361),"."))</f>
        <v/>
      </c>
      <c r="B361" s="126"/>
      <c r="C361" s="126"/>
      <c r="D361" s="126"/>
      <c r="E361" s="127"/>
      <c r="F361" s="127"/>
      <c r="G361" s="127"/>
      <c r="H361" s="124" t="str">
        <f aca="false">IF(D361="","",15%)</f>
        <v/>
      </c>
      <c r="I361" s="123" t="str">
        <f aca="false">IF(COUNTBLANK(E361:H361)&lt;1,ROUNDUP(SUM(F361:G361)*((100+H361*100)%),0),"")</f>
        <v/>
      </c>
      <c r="J361" s="129"/>
      <c r="K361" s="129"/>
    </row>
    <row r="362" customFormat="false" ht="12.75" hidden="false" customHeight="true" outlineLevel="0" collapsed="false">
      <c r="A362" s="121" t="str">
        <f aca="false">IF(B362="","",CONCATENATE(COUNTA(B$4:B362),"."))</f>
        <v/>
      </c>
      <c r="B362" s="126"/>
      <c r="C362" s="126"/>
      <c r="D362" s="126"/>
      <c r="E362" s="127"/>
      <c r="F362" s="127"/>
      <c r="G362" s="127"/>
      <c r="H362" s="124" t="str">
        <f aca="false">IF(D362="","",15%)</f>
        <v/>
      </c>
      <c r="I362" s="123" t="str">
        <f aca="false">IF(COUNTBLANK(E362:H362)&lt;1,ROUNDUP(SUM(F362:G362)*((100+H362*100)%),0),"")</f>
        <v/>
      </c>
      <c r="J362" s="129"/>
      <c r="K362" s="129"/>
    </row>
    <row r="363" customFormat="false" ht="12.75" hidden="false" customHeight="true" outlineLevel="0" collapsed="false">
      <c r="A363" s="121" t="str">
        <f aca="false">IF(B363="","",CONCATENATE(COUNTA(B$4:B363),"."))</f>
        <v/>
      </c>
      <c r="B363" s="126"/>
      <c r="C363" s="126"/>
      <c r="D363" s="126"/>
      <c r="E363" s="127"/>
      <c r="F363" s="127"/>
      <c r="G363" s="127"/>
      <c r="H363" s="124" t="str">
        <f aca="false">IF(D363="","",15%)</f>
        <v/>
      </c>
      <c r="I363" s="123" t="str">
        <f aca="false">IF(COUNTBLANK(E363:H363)&lt;1,ROUNDUP(SUM(F363:G363)*((100+H363*100)%),0),"")</f>
        <v/>
      </c>
      <c r="J363" s="129"/>
      <c r="K363" s="129"/>
    </row>
    <row r="364" customFormat="false" ht="12.75" hidden="false" customHeight="true" outlineLevel="0" collapsed="false">
      <c r="A364" s="121" t="str">
        <f aca="false">IF(B364="","",CONCATENATE(COUNTA(B$4:B364),"."))</f>
        <v/>
      </c>
      <c r="B364" s="126"/>
      <c r="C364" s="126"/>
      <c r="D364" s="126"/>
      <c r="E364" s="127"/>
      <c r="F364" s="127"/>
      <c r="G364" s="127"/>
      <c r="H364" s="124" t="str">
        <f aca="false">IF(D364="","",15%)</f>
        <v/>
      </c>
      <c r="I364" s="123" t="str">
        <f aca="false">IF(COUNTBLANK(E364:H364)&lt;1,ROUNDUP(SUM(F364:G364)*((100+H364*100)%),0),"")</f>
        <v/>
      </c>
      <c r="J364" s="129"/>
      <c r="K364" s="129"/>
    </row>
    <row r="365" customFormat="false" ht="12.75" hidden="false" customHeight="true" outlineLevel="0" collapsed="false">
      <c r="A365" s="121" t="str">
        <f aca="false">IF(B365="","",CONCATENATE(COUNTA(B$4:B365),"."))</f>
        <v/>
      </c>
      <c r="B365" s="126"/>
      <c r="C365" s="126"/>
      <c r="D365" s="126"/>
      <c r="E365" s="127"/>
      <c r="F365" s="127"/>
      <c r="G365" s="127"/>
      <c r="H365" s="124" t="str">
        <f aca="false">IF(D365="","",15%)</f>
        <v/>
      </c>
      <c r="I365" s="123" t="str">
        <f aca="false">IF(COUNTBLANK(E365:H365)&lt;1,ROUNDUP(SUM(F365:G365)*((100+H365*100)%),0),"")</f>
        <v/>
      </c>
      <c r="J365" s="129"/>
      <c r="K365" s="129"/>
    </row>
    <row r="366" customFormat="false" ht="12.75" hidden="false" customHeight="true" outlineLevel="0" collapsed="false">
      <c r="A366" s="121" t="str">
        <f aca="false">IF(B366="","",CONCATENATE(COUNTA(B$4:B366),"."))</f>
        <v/>
      </c>
      <c r="B366" s="126"/>
      <c r="C366" s="126"/>
      <c r="D366" s="126"/>
      <c r="E366" s="127"/>
      <c r="F366" s="127"/>
      <c r="G366" s="127"/>
      <c r="H366" s="124" t="str">
        <f aca="false">IF(D366="","",15%)</f>
        <v/>
      </c>
      <c r="I366" s="123" t="str">
        <f aca="false">IF(COUNTBLANK(E366:H366)&lt;1,ROUNDUP(SUM(F366:G366)*((100+H366*100)%),0),"")</f>
        <v/>
      </c>
      <c r="J366" s="129"/>
      <c r="K366" s="129"/>
    </row>
    <row r="367" customFormat="false" ht="12.75" hidden="false" customHeight="true" outlineLevel="0" collapsed="false">
      <c r="A367" s="121" t="str">
        <f aca="false">IF(B367="","",CONCATENATE(COUNTA(B$4:B367),"."))</f>
        <v/>
      </c>
      <c r="B367" s="126"/>
      <c r="C367" s="126"/>
      <c r="D367" s="126"/>
      <c r="E367" s="127"/>
      <c r="F367" s="127"/>
      <c r="G367" s="127"/>
      <c r="H367" s="124" t="str">
        <f aca="false">IF(D367="","",15%)</f>
        <v/>
      </c>
      <c r="I367" s="123" t="str">
        <f aca="false">IF(COUNTBLANK(E367:H367)&lt;1,ROUNDUP(SUM(F367:G367)*((100+H367*100)%),0),"")</f>
        <v/>
      </c>
      <c r="J367" s="129"/>
      <c r="K367" s="129"/>
    </row>
    <row r="368" customFormat="false" ht="12.75" hidden="false" customHeight="true" outlineLevel="0" collapsed="false">
      <c r="A368" s="121" t="str">
        <f aca="false">IF(B368="","",CONCATENATE(COUNTA(B$4:B368),"."))</f>
        <v/>
      </c>
      <c r="B368" s="126"/>
      <c r="C368" s="126"/>
      <c r="D368" s="126"/>
      <c r="E368" s="127"/>
      <c r="F368" s="127"/>
      <c r="G368" s="127"/>
      <c r="H368" s="124" t="str">
        <f aca="false">IF(D368="","",15%)</f>
        <v/>
      </c>
      <c r="I368" s="123" t="str">
        <f aca="false">IF(COUNTBLANK(E368:H368)&lt;1,ROUNDUP(SUM(F368:G368)*((100+H368*100)%),0),"")</f>
        <v/>
      </c>
      <c r="J368" s="129"/>
      <c r="K368" s="129"/>
    </row>
    <row r="369" customFormat="false" ht="12.75" hidden="false" customHeight="true" outlineLevel="0" collapsed="false">
      <c r="A369" s="121" t="str">
        <f aca="false">IF(B369="","",CONCATENATE(COUNTA(B$4:B369),"."))</f>
        <v/>
      </c>
      <c r="B369" s="126"/>
      <c r="C369" s="126"/>
      <c r="D369" s="126"/>
      <c r="E369" s="127"/>
      <c r="F369" s="127"/>
      <c r="G369" s="127"/>
      <c r="H369" s="124" t="str">
        <f aca="false">IF(D369="","",15%)</f>
        <v/>
      </c>
      <c r="I369" s="123" t="str">
        <f aca="false">IF(COUNTBLANK(E369:H369)&lt;1,ROUNDUP(SUM(F369:G369)*((100+H369*100)%),0),"")</f>
        <v/>
      </c>
      <c r="J369" s="129"/>
      <c r="K369" s="129"/>
    </row>
    <row r="370" customFormat="false" ht="12.75" hidden="false" customHeight="true" outlineLevel="0" collapsed="false">
      <c r="A370" s="121" t="str">
        <f aca="false">IF(B370="","",CONCATENATE(COUNTA(B$4:B370),"."))</f>
        <v/>
      </c>
      <c r="B370" s="126"/>
      <c r="C370" s="126"/>
      <c r="D370" s="126"/>
      <c r="E370" s="127"/>
      <c r="F370" s="127"/>
      <c r="G370" s="127"/>
      <c r="H370" s="124" t="str">
        <f aca="false">IF(D370="","",15%)</f>
        <v/>
      </c>
      <c r="I370" s="123" t="str">
        <f aca="false">IF(COUNTBLANK(E370:H370)&lt;1,ROUNDUP(SUM(F370:G370)*((100+H370*100)%),0),"")</f>
        <v/>
      </c>
      <c r="J370" s="129"/>
      <c r="K370" s="129"/>
    </row>
    <row r="371" customFormat="false" ht="12.75" hidden="false" customHeight="true" outlineLevel="0" collapsed="false">
      <c r="A371" s="121" t="str">
        <f aca="false">IF(B371="","",CONCATENATE(COUNTA(B$4:B371),"."))</f>
        <v/>
      </c>
      <c r="B371" s="126"/>
      <c r="C371" s="126"/>
      <c r="D371" s="126"/>
      <c r="E371" s="127"/>
      <c r="F371" s="127"/>
      <c r="G371" s="127"/>
      <c r="H371" s="124" t="str">
        <f aca="false">IF(D371="","",15%)</f>
        <v/>
      </c>
      <c r="I371" s="123" t="str">
        <f aca="false">IF(COUNTBLANK(E371:H371)&lt;1,ROUNDUP(SUM(F371:G371)*((100+H371*100)%),0),"")</f>
        <v/>
      </c>
      <c r="J371" s="129"/>
      <c r="K371" s="129"/>
    </row>
    <row r="372" customFormat="false" ht="12.75" hidden="false" customHeight="true" outlineLevel="0" collapsed="false">
      <c r="A372" s="121" t="str">
        <f aca="false">IF(B372="","",CONCATENATE(COUNTA(B$4:B372),"."))</f>
        <v/>
      </c>
      <c r="B372" s="126"/>
      <c r="C372" s="126"/>
      <c r="D372" s="126"/>
      <c r="E372" s="127"/>
      <c r="F372" s="127"/>
      <c r="G372" s="127"/>
      <c r="H372" s="124" t="str">
        <f aca="false">IF(D372="","",15%)</f>
        <v/>
      </c>
      <c r="I372" s="123" t="str">
        <f aca="false">IF(COUNTBLANK(E372:H372)&lt;1,ROUNDUP(SUM(F372:G372)*((100+H372*100)%),0),"")</f>
        <v/>
      </c>
      <c r="J372" s="129"/>
      <c r="K372" s="129"/>
    </row>
    <row r="373" customFormat="false" ht="12.75" hidden="false" customHeight="true" outlineLevel="0" collapsed="false">
      <c r="A373" s="121" t="str">
        <f aca="false">IF(B373="","",CONCATENATE(COUNTA(B$4:B373),"."))</f>
        <v/>
      </c>
      <c r="B373" s="126"/>
      <c r="C373" s="126"/>
      <c r="D373" s="126"/>
      <c r="E373" s="127"/>
      <c r="F373" s="127"/>
      <c r="G373" s="127"/>
      <c r="H373" s="124" t="str">
        <f aca="false">IF(D373="","",15%)</f>
        <v/>
      </c>
      <c r="I373" s="123" t="str">
        <f aca="false">IF(COUNTBLANK(E373:H373)&lt;1,ROUNDUP(SUM(F373:G373)*((100+H373*100)%),0),"")</f>
        <v/>
      </c>
      <c r="J373" s="129"/>
      <c r="K373" s="129"/>
    </row>
    <row r="374" customFormat="false" ht="12.75" hidden="false" customHeight="true" outlineLevel="0" collapsed="false">
      <c r="A374" s="121" t="str">
        <f aca="false">IF(B374="","",CONCATENATE(COUNTA(B$4:B374),"."))</f>
        <v/>
      </c>
      <c r="B374" s="126"/>
      <c r="C374" s="126"/>
      <c r="D374" s="126"/>
      <c r="E374" s="127"/>
      <c r="F374" s="127"/>
      <c r="G374" s="127"/>
      <c r="H374" s="124" t="str">
        <f aca="false">IF(D374="","",15%)</f>
        <v/>
      </c>
      <c r="I374" s="123" t="str">
        <f aca="false">IF(COUNTBLANK(E374:H374)&lt;1,ROUNDUP(SUM(F374:G374)*((100+H374*100)%),0),"")</f>
        <v/>
      </c>
      <c r="J374" s="129"/>
      <c r="K374" s="129"/>
    </row>
    <row r="375" customFormat="false" ht="12.75" hidden="false" customHeight="true" outlineLevel="0" collapsed="false">
      <c r="A375" s="121" t="str">
        <f aca="false">IF(B375="","",CONCATENATE(COUNTA(B$4:B375),"."))</f>
        <v/>
      </c>
      <c r="B375" s="126"/>
      <c r="C375" s="126"/>
      <c r="D375" s="126"/>
      <c r="E375" s="127"/>
      <c r="F375" s="127"/>
      <c r="G375" s="127"/>
      <c r="H375" s="124" t="str">
        <f aca="false">IF(D375="","",15%)</f>
        <v/>
      </c>
      <c r="I375" s="123" t="str">
        <f aca="false">IF(COUNTBLANK(E375:H375)&lt;1,ROUNDUP(SUM(F375:G375)*((100+H375*100)%),0),"")</f>
        <v/>
      </c>
      <c r="J375" s="129"/>
      <c r="K375" s="129"/>
    </row>
    <row r="376" customFormat="false" ht="12.75" hidden="false" customHeight="true" outlineLevel="0" collapsed="false">
      <c r="A376" s="121" t="str">
        <f aca="false">IF(B376="","",CONCATENATE(COUNTA(B$4:B376),"."))</f>
        <v/>
      </c>
      <c r="B376" s="126"/>
      <c r="C376" s="126"/>
      <c r="D376" s="126"/>
      <c r="E376" s="127"/>
      <c r="F376" s="127"/>
      <c r="G376" s="127"/>
      <c r="H376" s="124" t="str">
        <f aca="false">IF(D376="","",15%)</f>
        <v/>
      </c>
      <c r="I376" s="123" t="str">
        <f aca="false">IF(COUNTBLANK(E376:H376)&lt;1,ROUNDUP(SUM(F376:G376)*((100+H376*100)%),0),"")</f>
        <v/>
      </c>
      <c r="J376" s="129"/>
      <c r="K376" s="129"/>
    </row>
    <row r="377" customFormat="false" ht="12.75" hidden="false" customHeight="true" outlineLevel="0" collapsed="false">
      <c r="A377" s="121" t="str">
        <f aca="false">IF(B377="","",CONCATENATE(COUNTA(B$4:B377),"."))</f>
        <v/>
      </c>
      <c r="B377" s="126"/>
      <c r="C377" s="126"/>
      <c r="D377" s="126"/>
      <c r="E377" s="127"/>
      <c r="F377" s="127"/>
      <c r="G377" s="127"/>
      <c r="H377" s="124" t="str">
        <f aca="false">IF(D377="","",15%)</f>
        <v/>
      </c>
      <c r="I377" s="123" t="str">
        <f aca="false">IF(COUNTBLANK(E377:H377)&lt;1,ROUNDUP(SUM(F377:G377)*((100+H377*100)%),0),"")</f>
        <v/>
      </c>
      <c r="J377" s="129"/>
      <c r="K377" s="129"/>
    </row>
    <row r="378" customFormat="false" ht="12.75" hidden="false" customHeight="true" outlineLevel="0" collapsed="false">
      <c r="A378" s="121" t="str">
        <f aca="false">IF(B378="","",CONCATENATE(COUNTA(B$4:B378),"."))</f>
        <v/>
      </c>
      <c r="B378" s="126"/>
      <c r="C378" s="126"/>
      <c r="D378" s="126"/>
      <c r="E378" s="127"/>
      <c r="F378" s="127"/>
      <c r="G378" s="127"/>
      <c r="H378" s="124" t="str">
        <f aca="false">IF(D378="","",15%)</f>
        <v/>
      </c>
      <c r="I378" s="123" t="str">
        <f aca="false">IF(COUNTBLANK(E378:H378)&lt;1,ROUNDUP(SUM(F378:G378)*((100+H378*100)%),0),"")</f>
        <v/>
      </c>
      <c r="J378" s="129"/>
      <c r="K378" s="129"/>
    </row>
    <row r="379" customFormat="false" ht="12.75" hidden="false" customHeight="true" outlineLevel="0" collapsed="false">
      <c r="A379" s="121" t="str">
        <f aca="false">IF(B379="","",CONCATENATE(COUNTA(B$4:B379),"."))</f>
        <v/>
      </c>
      <c r="B379" s="126"/>
      <c r="C379" s="126"/>
      <c r="D379" s="126"/>
      <c r="E379" s="127"/>
      <c r="F379" s="127"/>
      <c r="G379" s="127"/>
      <c r="H379" s="124" t="str">
        <f aca="false">IF(D379="","",15%)</f>
        <v/>
      </c>
      <c r="I379" s="123" t="str">
        <f aca="false">IF(COUNTBLANK(E379:H379)&lt;1,ROUNDUP(SUM(F379:G379)*((100+H379*100)%),0),"")</f>
        <v/>
      </c>
      <c r="J379" s="129"/>
      <c r="K379" s="129"/>
    </row>
    <row r="380" customFormat="false" ht="12.75" hidden="false" customHeight="true" outlineLevel="0" collapsed="false">
      <c r="A380" s="121" t="str">
        <f aca="false">IF(B380="","",CONCATENATE(COUNTA(B$4:B380),"."))</f>
        <v/>
      </c>
      <c r="B380" s="126"/>
      <c r="C380" s="126"/>
      <c r="D380" s="126"/>
      <c r="E380" s="127"/>
      <c r="F380" s="127"/>
      <c r="G380" s="127"/>
      <c r="H380" s="124" t="str">
        <f aca="false">IF(D380="","",15%)</f>
        <v/>
      </c>
      <c r="I380" s="123" t="str">
        <f aca="false">IF(COUNTBLANK(E380:H380)&lt;1,ROUNDUP(SUM(F380:G380)*((100+H380*100)%),0),"")</f>
        <v/>
      </c>
      <c r="J380" s="129"/>
      <c r="K380" s="129"/>
    </row>
    <row r="381" customFormat="false" ht="12.75" hidden="false" customHeight="true" outlineLevel="0" collapsed="false">
      <c r="A381" s="121" t="str">
        <f aca="false">IF(B381="","",CONCATENATE(COUNTA(B$4:B381),"."))</f>
        <v/>
      </c>
      <c r="B381" s="126"/>
      <c r="C381" s="126"/>
      <c r="D381" s="126"/>
      <c r="E381" s="127"/>
      <c r="F381" s="127"/>
      <c r="G381" s="127"/>
      <c r="H381" s="124" t="str">
        <f aca="false">IF(D381="","",15%)</f>
        <v/>
      </c>
      <c r="I381" s="123" t="str">
        <f aca="false">IF(COUNTBLANK(E381:H381)&lt;1,ROUNDUP(SUM(F381:G381)*((100+H381*100)%),0),"")</f>
        <v/>
      </c>
      <c r="J381" s="129"/>
      <c r="K381" s="129"/>
    </row>
    <row r="382" customFormat="false" ht="12.75" hidden="false" customHeight="true" outlineLevel="0" collapsed="false">
      <c r="A382" s="121" t="str">
        <f aca="false">IF(B382="","",CONCATENATE(COUNTA(B$4:B382),"."))</f>
        <v/>
      </c>
      <c r="B382" s="126"/>
      <c r="C382" s="126"/>
      <c r="D382" s="126"/>
      <c r="E382" s="127"/>
      <c r="F382" s="127"/>
      <c r="G382" s="127"/>
      <c r="H382" s="124" t="str">
        <f aca="false">IF(D382="","",15%)</f>
        <v/>
      </c>
      <c r="I382" s="123" t="str">
        <f aca="false">IF(COUNTBLANK(E382:H382)&lt;1,ROUNDUP(SUM(F382:G382)*((100+H382*100)%),0),"")</f>
        <v/>
      </c>
      <c r="J382" s="129"/>
      <c r="K382" s="129"/>
    </row>
    <row r="383" customFormat="false" ht="12.75" hidden="false" customHeight="true" outlineLevel="0" collapsed="false">
      <c r="A383" s="121" t="str">
        <f aca="false">IF(B383="","",CONCATENATE(COUNTA(B$4:B383),"."))</f>
        <v/>
      </c>
      <c r="B383" s="126"/>
      <c r="C383" s="126"/>
      <c r="D383" s="126"/>
      <c r="E383" s="127"/>
      <c r="F383" s="127"/>
      <c r="G383" s="127"/>
      <c r="H383" s="124" t="str">
        <f aca="false">IF(D383="","",15%)</f>
        <v/>
      </c>
      <c r="I383" s="123" t="str">
        <f aca="false">IF(COUNTBLANK(E383:H383)&lt;1,ROUNDUP(SUM(F383:G383)*((100+H383*100)%),0),"")</f>
        <v/>
      </c>
      <c r="J383" s="129"/>
      <c r="K383" s="129"/>
    </row>
    <row r="384" customFormat="false" ht="12.75" hidden="false" customHeight="true" outlineLevel="0" collapsed="false">
      <c r="A384" s="121" t="str">
        <f aca="false">IF(B384="","",CONCATENATE(COUNTA(B$4:B384),"."))</f>
        <v/>
      </c>
      <c r="B384" s="126"/>
      <c r="C384" s="126"/>
      <c r="D384" s="126"/>
      <c r="E384" s="127"/>
      <c r="F384" s="127"/>
      <c r="G384" s="127"/>
      <c r="H384" s="124" t="str">
        <f aca="false">IF(D384="","",15%)</f>
        <v/>
      </c>
      <c r="I384" s="123" t="str">
        <f aca="false">IF(COUNTBLANK(E384:H384)&lt;1,ROUNDUP(SUM(F384:G384)*((100+H384*100)%),0),"")</f>
        <v/>
      </c>
      <c r="J384" s="129"/>
      <c r="K384" s="129"/>
    </row>
    <row r="385" customFormat="false" ht="12.75" hidden="false" customHeight="true" outlineLevel="0" collapsed="false">
      <c r="A385" s="121" t="str">
        <f aca="false">IF(B385="","",CONCATENATE(COUNTA(B$4:B385),"."))</f>
        <v/>
      </c>
      <c r="B385" s="126"/>
      <c r="C385" s="126"/>
      <c r="D385" s="126"/>
      <c r="E385" s="127"/>
      <c r="F385" s="127"/>
      <c r="G385" s="127"/>
      <c r="H385" s="124" t="str">
        <f aca="false">IF(D385="","",15%)</f>
        <v/>
      </c>
      <c r="I385" s="123" t="str">
        <f aca="false">IF(COUNTBLANK(E385:H385)&lt;1,ROUNDUP(SUM(F385:G385)*((100+H385*100)%),0),"")</f>
        <v/>
      </c>
      <c r="J385" s="129"/>
      <c r="K385" s="129"/>
    </row>
    <row r="386" customFormat="false" ht="12.75" hidden="false" customHeight="true" outlineLevel="0" collapsed="false">
      <c r="A386" s="121" t="str">
        <f aca="false">IF(B386="","",CONCATENATE(COUNTA(B$4:B386),"."))</f>
        <v/>
      </c>
      <c r="B386" s="126"/>
      <c r="C386" s="126"/>
      <c r="D386" s="126"/>
      <c r="E386" s="127"/>
      <c r="F386" s="127"/>
      <c r="G386" s="127"/>
      <c r="H386" s="124" t="str">
        <f aca="false">IF(D386="","",15%)</f>
        <v/>
      </c>
      <c r="I386" s="123" t="str">
        <f aca="false">IF(COUNTBLANK(E386:H386)&lt;1,ROUNDUP(SUM(F386:G386)*((100+H386*100)%),0),"")</f>
        <v/>
      </c>
      <c r="J386" s="129"/>
      <c r="K386" s="129"/>
    </row>
    <row r="387" customFormat="false" ht="12.75" hidden="false" customHeight="true" outlineLevel="0" collapsed="false">
      <c r="A387" s="121" t="str">
        <f aca="false">IF(B387="","",CONCATENATE(COUNTA(B$4:B387),"."))</f>
        <v/>
      </c>
      <c r="B387" s="126"/>
      <c r="C387" s="126"/>
      <c r="D387" s="126"/>
      <c r="E387" s="127"/>
      <c r="F387" s="127"/>
      <c r="G387" s="127"/>
      <c r="H387" s="124" t="str">
        <f aca="false">IF(D387="","",15%)</f>
        <v/>
      </c>
      <c r="I387" s="123" t="str">
        <f aca="false">IF(COUNTBLANK(E387:H387)&lt;1,ROUNDUP(SUM(F387:G387)*((100+H387*100)%),0),"")</f>
        <v/>
      </c>
      <c r="J387" s="129"/>
      <c r="K387" s="129"/>
    </row>
    <row r="388" customFormat="false" ht="12.75" hidden="false" customHeight="true" outlineLevel="0" collapsed="false">
      <c r="A388" s="121" t="str">
        <f aca="false">IF(B388="","",CONCATENATE(COUNTA(B$4:B388),"."))</f>
        <v/>
      </c>
      <c r="B388" s="126"/>
      <c r="C388" s="126"/>
      <c r="D388" s="126"/>
      <c r="E388" s="127"/>
      <c r="F388" s="127"/>
      <c r="G388" s="127"/>
      <c r="H388" s="124" t="str">
        <f aca="false">IF(D388="","",15%)</f>
        <v/>
      </c>
      <c r="I388" s="123" t="str">
        <f aca="false">IF(COUNTBLANK(E388:H388)&lt;1,ROUNDUP(SUM(F388:G388)*((100+H388*100)%),0),"")</f>
        <v/>
      </c>
      <c r="J388" s="129"/>
      <c r="K388" s="129"/>
    </row>
    <row r="389" customFormat="false" ht="12.75" hidden="false" customHeight="true" outlineLevel="0" collapsed="false">
      <c r="A389" s="121" t="str">
        <f aca="false">IF(B389="","",CONCATENATE(COUNTA(B$4:B389),"."))</f>
        <v/>
      </c>
      <c r="B389" s="126"/>
      <c r="C389" s="126"/>
      <c r="D389" s="126"/>
      <c r="E389" s="127"/>
      <c r="F389" s="127"/>
      <c r="G389" s="127"/>
      <c r="H389" s="124" t="str">
        <f aca="false">IF(D389="","",15%)</f>
        <v/>
      </c>
      <c r="I389" s="123" t="str">
        <f aca="false">IF(COUNTBLANK(E389:H389)&lt;1,ROUNDUP(SUM(F389:G389)*((100+H389*100)%),0),"")</f>
        <v/>
      </c>
      <c r="J389" s="129"/>
      <c r="K389" s="129"/>
    </row>
    <row r="390" customFormat="false" ht="12.75" hidden="false" customHeight="true" outlineLevel="0" collapsed="false">
      <c r="A390" s="121" t="str">
        <f aca="false">IF(B390="","",CONCATENATE(COUNTA(B$4:B390),"."))</f>
        <v/>
      </c>
      <c r="B390" s="126"/>
      <c r="C390" s="126"/>
      <c r="D390" s="126"/>
      <c r="E390" s="127"/>
      <c r="F390" s="127"/>
      <c r="G390" s="127"/>
      <c r="H390" s="124" t="str">
        <f aca="false">IF(D390="","",15%)</f>
        <v/>
      </c>
      <c r="I390" s="123" t="str">
        <f aca="false">IF(COUNTBLANK(E390:H390)&lt;1,ROUNDUP(SUM(F390:G390)*((100+H390*100)%),0),"")</f>
        <v/>
      </c>
      <c r="J390" s="129"/>
      <c r="K390" s="129"/>
    </row>
    <row r="391" customFormat="false" ht="12.75" hidden="false" customHeight="true" outlineLevel="0" collapsed="false">
      <c r="A391" s="121" t="str">
        <f aca="false">IF(B391="","",CONCATENATE(COUNTA(B$4:B391),"."))</f>
        <v/>
      </c>
      <c r="B391" s="126"/>
      <c r="C391" s="126"/>
      <c r="D391" s="126"/>
      <c r="E391" s="127"/>
      <c r="F391" s="127"/>
      <c r="G391" s="127"/>
      <c r="H391" s="124" t="str">
        <f aca="false">IF(D391="","",15%)</f>
        <v/>
      </c>
      <c r="I391" s="123" t="str">
        <f aca="false">IF(COUNTBLANK(E391:H391)&lt;1,ROUNDUP(SUM(F391:G391)*((100+H391*100)%),0),"")</f>
        <v/>
      </c>
      <c r="J391" s="129"/>
      <c r="K391" s="129"/>
    </row>
    <row r="392" customFormat="false" ht="12.75" hidden="false" customHeight="true" outlineLevel="0" collapsed="false">
      <c r="A392" s="121" t="str">
        <f aca="false">IF(B392="","",CONCATENATE(COUNTA(B$4:B392),"."))</f>
        <v/>
      </c>
      <c r="B392" s="126"/>
      <c r="C392" s="126"/>
      <c r="D392" s="126"/>
      <c r="E392" s="127"/>
      <c r="F392" s="127"/>
      <c r="G392" s="127"/>
      <c r="H392" s="124" t="str">
        <f aca="false">IF(D392="","",15%)</f>
        <v/>
      </c>
      <c r="I392" s="123" t="str">
        <f aca="false">IF(COUNTBLANK(E392:H392)&lt;1,ROUNDUP(SUM(F392:G392)*((100+H392*100)%),0),"")</f>
        <v/>
      </c>
      <c r="J392" s="129"/>
      <c r="K392" s="129"/>
    </row>
    <row r="393" customFormat="false" ht="12.75" hidden="false" customHeight="true" outlineLevel="0" collapsed="false">
      <c r="A393" s="121" t="str">
        <f aca="false">IF(B393="","",CONCATENATE(COUNTA(B$4:B393),"."))</f>
        <v/>
      </c>
      <c r="B393" s="126"/>
      <c r="C393" s="126"/>
      <c r="D393" s="126"/>
      <c r="E393" s="127"/>
      <c r="F393" s="127"/>
      <c r="G393" s="127"/>
      <c r="H393" s="124" t="str">
        <f aca="false">IF(D393="","",15%)</f>
        <v/>
      </c>
      <c r="I393" s="123" t="str">
        <f aca="false">IF(COUNTBLANK(E393:H393)&lt;1,ROUNDUP(SUM(F393:G393)*((100+H393*100)%),0),"")</f>
        <v/>
      </c>
      <c r="J393" s="129"/>
      <c r="K393" s="129"/>
    </row>
    <row r="394" customFormat="false" ht="12.75" hidden="false" customHeight="true" outlineLevel="0" collapsed="false">
      <c r="A394" s="121" t="str">
        <f aca="false">IF(B394="","",CONCATENATE(COUNTA(B$4:B394),"."))</f>
        <v/>
      </c>
      <c r="B394" s="126"/>
      <c r="C394" s="126"/>
      <c r="D394" s="126"/>
      <c r="E394" s="127"/>
      <c r="F394" s="127"/>
      <c r="G394" s="127"/>
      <c r="H394" s="124" t="str">
        <f aca="false">IF(D394="","",15%)</f>
        <v/>
      </c>
      <c r="I394" s="123" t="str">
        <f aca="false">IF(COUNTBLANK(E394:H394)&lt;1,ROUNDUP(SUM(F394:G394)*((100+H394*100)%),0),"")</f>
        <v/>
      </c>
      <c r="J394" s="129"/>
      <c r="K394" s="129"/>
    </row>
    <row r="395" customFormat="false" ht="12.75" hidden="false" customHeight="true" outlineLevel="0" collapsed="false">
      <c r="A395" s="121" t="str">
        <f aca="false">IF(B395="","",CONCATENATE(COUNTA(B$4:B395),"."))</f>
        <v/>
      </c>
      <c r="B395" s="126"/>
      <c r="C395" s="126"/>
      <c r="D395" s="126"/>
      <c r="E395" s="127"/>
      <c r="F395" s="127"/>
      <c r="G395" s="127"/>
      <c r="H395" s="124" t="str">
        <f aca="false">IF(D395="","",15%)</f>
        <v/>
      </c>
      <c r="I395" s="123" t="str">
        <f aca="false">IF(COUNTBLANK(E395:H395)&lt;1,ROUNDUP(SUM(F395:G395)*((100+H395*100)%),0),"")</f>
        <v/>
      </c>
      <c r="J395" s="129"/>
      <c r="K395" s="129"/>
    </row>
    <row r="396" customFormat="false" ht="12.75" hidden="false" customHeight="true" outlineLevel="0" collapsed="false">
      <c r="A396" s="121" t="str">
        <f aca="false">IF(B396="","",CONCATENATE(COUNTA(B$4:B396),"."))</f>
        <v/>
      </c>
      <c r="B396" s="126"/>
      <c r="C396" s="126"/>
      <c r="D396" s="126"/>
      <c r="E396" s="127"/>
      <c r="F396" s="127"/>
      <c r="G396" s="127"/>
      <c r="H396" s="124" t="str">
        <f aca="false">IF(D396="","",15%)</f>
        <v/>
      </c>
      <c r="I396" s="123" t="str">
        <f aca="false">IF(COUNTBLANK(E396:H396)&lt;1,ROUNDUP(SUM(F396:G396)*((100+H396*100)%),0),"")</f>
        <v/>
      </c>
      <c r="J396" s="129"/>
      <c r="K396" s="129"/>
    </row>
    <row r="397" customFormat="false" ht="12.75" hidden="false" customHeight="true" outlineLevel="0" collapsed="false">
      <c r="A397" s="121" t="str">
        <f aca="false">IF(B397="","",CONCATENATE(COUNTA(B$4:B397),"."))</f>
        <v/>
      </c>
      <c r="B397" s="126"/>
      <c r="C397" s="126"/>
      <c r="D397" s="126"/>
      <c r="E397" s="127"/>
      <c r="F397" s="127"/>
      <c r="G397" s="127"/>
      <c r="H397" s="124" t="str">
        <f aca="false">IF(D397="","",15%)</f>
        <v/>
      </c>
      <c r="I397" s="123" t="str">
        <f aca="false">IF(COUNTBLANK(E397:H397)&lt;1,ROUNDUP(SUM(F397:G397)*((100+H397*100)%),0),"")</f>
        <v/>
      </c>
      <c r="J397" s="129"/>
      <c r="K397" s="129"/>
    </row>
    <row r="398" customFormat="false" ht="12.75" hidden="false" customHeight="true" outlineLevel="0" collapsed="false">
      <c r="A398" s="121" t="str">
        <f aca="false">IF(B398="","",CONCATENATE(COUNTA(B$4:B398),"."))</f>
        <v/>
      </c>
      <c r="B398" s="126"/>
      <c r="C398" s="126"/>
      <c r="D398" s="126"/>
      <c r="E398" s="127"/>
      <c r="F398" s="127"/>
      <c r="G398" s="127"/>
      <c r="H398" s="124" t="str">
        <f aca="false">IF(D398="","",15%)</f>
        <v/>
      </c>
      <c r="I398" s="123" t="str">
        <f aca="false">IF(COUNTBLANK(E398:H398)&lt;1,ROUNDUP(SUM(F398:G398)*((100+H398*100)%),0),"")</f>
        <v/>
      </c>
      <c r="J398" s="129"/>
      <c r="K398" s="129"/>
    </row>
    <row r="399" customFormat="false" ht="12.75" hidden="false" customHeight="true" outlineLevel="0" collapsed="false">
      <c r="A399" s="121" t="str">
        <f aca="false">IF(B399="","",CONCATENATE(COUNTA(B$4:B399),"."))</f>
        <v/>
      </c>
      <c r="B399" s="126"/>
      <c r="C399" s="126"/>
      <c r="D399" s="126"/>
      <c r="E399" s="127"/>
      <c r="F399" s="127"/>
      <c r="G399" s="127"/>
      <c r="H399" s="124" t="str">
        <f aca="false">IF(D399="","",15%)</f>
        <v/>
      </c>
      <c r="I399" s="123" t="str">
        <f aca="false">IF(COUNTBLANK(E399:H399)&lt;1,ROUNDUP(SUM(F399:G399)*((100+H399*100)%),0),"")</f>
        <v/>
      </c>
      <c r="J399" s="129"/>
      <c r="K399" s="129"/>
    </row>
    <row r="400" customFormat="false" ht="12.75" hidden="false" customHeight="true" outlineLevel="0" collapsed="false">
      <c r="A400" s="121" t="str">
        <f aca="false">IF(B400="","",CONCATENATE(COUNTA(B$4:B400),"."))</f>
        <v/>
      </c>
      <c r="B400" s="126"/>
      <c r="C400" s="126"/>
      <c r="D400" s="126"/>
      <c r="E400" s="127"/>
      <c r="F400" s="127"/>
      <c r="G400" s="127"/>
      <c r="H400" s="124" t="str">
        <f aca="false">IF(D400="","",15%)</f>
        <v/>
      </c>
      <c r="I400" s="123" t="str">
        <f aca="false">IF(COUNTBLANK(E400:H400)&lt;1,ROUNDUP(SUM(F400:G400)*((100+H400*100)%),0),"")</f>
        <v/>
      </c>
      <c r="J400" s="129"/>
      <c r="K400" s="129"/>
    </row>
    <row r="401" customFormat="false" ht="12.75" hidden="false" customHeight="true" outlineLevel="0" collapsed="false">
      <c r="A401" s="121" t="str">
        <f aca="false">IF(B401="","",CONCATENATE(COUNTA(B$4:B401),"."))</f>
        <v/>
      </c>
      <c r="B401" s="126"/>
      <c r="C401" s="126"/>
      <c r="D401" s="126"/>
      <c r="E401" s="127"/>
      <c r="F401" s="127"/>
      <c r="G401" s="127"/>
      <c r="H401" s="124" t="str">
        <f aca="false">IF(D401="","",15%)</f>
        <v/>
      </c>
      <c r="I401" s="123" t="str">
        <f aca="false">IF(COUNTBLANK(E401:H401)&lt;1,ROUNDUP(SUM(F401:G401)*((100+H401*100)%),0),"")</f>
        <v/>
      </c>
      <c r="J401" s="129"/>
      <c r="K401" s="129"/>
    </row>
    <row r="402" customFormat="false" ht="12.75" hidden="false" customHeight="true" outlineLevel="0" collapsed="false">
      <c r="A402" s="121" t="str">
        <f aca="false">IF(B402="","",CONCATENATE(COUNTA(B$4:B402),"."))</f>
        <v/>
      </c>
      <c r="B402" s="126"/>
      <c r="C402" s="126"/>
      <c r="D402" s="126"/>
      <c r="E402" s="127"/>
      <c r="F402" s="127"/>
      <c r="G402" s="127"/>
      <c r="H402" s="124" t="str">
        <f aca="false">IF(D402="","",15%)</f>
        <v/>
      </c>
      <c r="I402" s="123" t="str">
        <f aca="false">IF(COUNTBLANK(E402:H402)&lt;1,ROUNDUP(SUM(F402:G402)*((100+H402*100)%),0),"")</f>
        <v/>
      </c>
      <c r="J402" s="129"/>
      <c r="K402" s="129"/>
    </row>
    <row r="403" customFormat="false" ht="12.75" hidden="false" customHeight="true" outlineLevel="0" collapsed="false">
      <c r="A403" s="121" t="str">
        <f aca="false">IF(B403="","",CONCATENATE(COUNTA(B$4:B403),"."))</f>
        <v/>
      </c>
      <c r="B403" s="126"/>
      <c r="C403" s="126"/>
      <c r="D403" s="126"/>
      <c r="E403" s="127"/>
      <c r="F403" s="127"/>
      <c r="G403" s="127"/>
      <c r="H403" s="124" t="str">
        <f aca="false">IF(D403="","",15%)</f>
        <v/>
      </c>
      <c r="I403" s="123" t="str">
        <f aca="false">IF(COUNTBLANK(E403:H403)&lt;1,ROUNDUP(SUM(F403:G403)*((100+H403*100)%),0),"")</f>
        <v/>
      </c>
      <c r="J403" s="129"/>
      <c r="K403" s="129"/>
    </row>
    <row r="404" customFormat="false" ht="12.75" hidden="false" customHeight="true" outlineLevel="0" collapsed="false">
      <c r="A404" s="121" t="str">
        <f aca="false">IF(B404="","",CONCATENATE(COUNTA(B$4:B404),"."))</f>
        <v/>
      </c>
      <c r="B404" s="126"/>
      <c r="C404" s="126"/>
      <c r="D404" s="126"/>
      <c r="E404" s="127"/>
      <c r="F404" s="127"/>
      <c r="G404" s="127"/>
      <c r="H404" s="124" t="str">
        <f aca="false">IF(D404="","",15%)</f>
        <v/>
      </c>
      <c r="I404" s="123" t="str">
        <f aca="false">IF(COUNTBLANK(E404:H404)&lt;1,ROUNDUP(SUM(F404:G404)*((100+H404*100)%),0),"")</f>
        <v/>
      </c>
      <c r="J404" s="129"/>
      <c r="K404" s="129"/>
    </row>
    <row r="405" customFormat="false" ht="12.75" hidden="false" customHeight="true" outlineLevel="0" collapsed="false">
      <c r="A405" s="121" t="str">
        <f aca="false">IF(B405="","",CONCATENATE(COUNTA(B$4:B405),"."))</f>
        <v/>
      </c>
      <c r="B405" s="126"/>
      <c r="C405" s="126"/>
      <c r="D405" s="126"/>
      <c r="E405" s="127"/>
      <c r="F405" s="127"/>
      <c r="G405" s="127"/>
      <c r="H405" s="124" t="str">
        <f aca="false">IF(D405="","",15%)</f>
        <v/>
      </c>
      <c r="I405" s="123" t="str">
        <f aca="false">IF(COUNTBLANK(E405:H405)&lt;1,ROUNDUP(SUM(F405:G405)*((100+H405*100)%),0),"")</f>
        <v/>
      </c>
      <c r="J405" s="129"/>
      <c r="K405" s="129"/>
    </row>
    <row r="406" customFormat="false" ht="12.75" hidden="false" customHeight="true" outlineLevel="0" collapsed="false">
      <c r="A406" s="121" t="str">
        <f aca="false">IF(B406="","",CONCATENATE(COUNTA(B$4:B406),"."))</f>
        <v/>
      </c>
      <c r="B406" s="126"/>
      <c r="C406" s="126"/>
      <c r="D406" s="126"/>
      <c r="E406" s="127"/>
      <c r="F406" s="127"/>
      <c r="G406" s="127"/>
      <c r="H406" s="124" t="str">
        <f aca="false">IF(D406="","",15%)</f>
        <v/>
      </c>
      <c r="I406" s="123" t="str">
        <f aca="false">IF(COUNTBLANK(E406:H406)&lt;1,ROUNDUP(SUM(F406:G406)*((100+H406*100)%),0),"")</f>
        <v/>
      </c>
      <c r="J406" s="129"/>
      <c r="K406" s="129"/>
    </row>
    <row r="407" customFormat="false" ht="12.75" hidden="false" customHeight="true" outlineLevel="0" collapsed="false">
      <c r="A407" s="121" t="str">
        <f aca="false">IF(B407="","",CONCATENATE(COUNTA(B$4:B407),"."))</f>
        <v/>
      </c>
      <c r="B407" s="126"/>
      <c r="C407" s="126"/>
      <c r="D407" s="126"/>
      <c r="E407" s="127"/>
      <c r="F407" s="127"/>
      <c r="G407" s="127"/>
      <c r="H407" s="124" t="str">
        <f aca="false">IF(D407="","",15%)</f>
        <v/>
      </c>
      <c r="I407" s="123" t="str">
        <f aca="false">IF(COUNTBLANK(E407:H407)&lt;1,ROUNDUP(SUM(F407:G407)*((100+H407*100)%),0),"")</f>
        <v/>
      </c>
      <c r="J407" s="129"/>
      <c r="K407" s="129"/>
    </row>
    <row r="408" customFormat="false" ht="12.75" hidden="false" customHeight="true" outlineLevel="0" collapsed="false">
      <c r="A408" s="121" t="str">
        <f aca="false">IF(B408="","",CONCATENATE(COUNTA(B$4:B408),"."))</f>
        <v/>
      </c>
      <c r="B408" s="126"/>
      <c r="C408" s="126"/>
      <c r="D408" s="126"/>
      <c r="E408" s="127"/>
      <c r="F408" s="127"/>
      <c r="G408" s="127"/>
      <c r="H408" s="124" t="str">
        <f aca="false">IF(D408="","",15%)</f>
        <v/>
      </c>
      <c r="I408" s="123" t="str">
        <f aca="false">IF(COUNTBLANK(E408:H408)&lt;1,ROUNDUP(SUM(F408:G408)*((100+H408*100)%),0),"")</f>
        <v/>
      </c>
      <c r="J408" s="129"/>
      <c r="K408" s="129"/>
    </row>
    <row r="409" customFormat="false" ht="12.75" hidden="false" customHeight="true" outlineLevel="0" collapsed="false">
      <c r="A409" s="121" t="str">
        <f aca="false">IF(B409="","",CONCATENATE(COUNTA(B$4:B409),"."))</f>
        <v/>
      </c>
      <c r="B409" s="126"/>
      <c r="C409" s="126"/>
      <c r="D409" s="126"/>
      <c r="E409" s="127"/>
      <c r="F409" s="127"/>
      <c r="G409" s="127"/>
      <c r="H409" s="124" t="str">
        <f aca="false">IF(D409="","",15%)</f>
        <v/>
      </c>
      <c r="I409" s="123" t="str">
        <f aca="false">IF(COUNTBLANK(E409:H409)&lt;1,ROUNDUP(SUM(F409:G409)*((100+H409*100)%),0),"")</f>
        <v/>
      </c>
      <c r="J409" s="129"/>
      <c r="K409" s="129"/>
    </row>
    <row r="410" customFormat="false" ht="12.75" hidden="false" customHeight="true" outlineLevel="0" collapsed="false">
      <c r="A410" s="121" t="str">
        <f aca="false">IF(B410="","",CONCATENATE(COUNTA(B$4:B410),"."))</f>
        <v/>
      </c>
      <c r="B410" s="126"/>
      <c r="C410" s="126"/>
      <c r="D410" s="126"/>
      <c r="E410" s="127"/>
      <c r="F410" s="127"/>
      <c r="G410" s="127"/>
      <c r="H410" s="124" t="str">
        <f aca="false">IF(D410="","",15%)</f>
        <v/>
      </c>
      <c r="I410" s="123" t="str">
        <f aca="false">IF(COUNTBLANK(E410:H410)&lt;1,ROUNDUP(SUM(F410:G410)*((100+H410*100)%),0),"")</f>
        <v/>
      </c>
      <c r="J410" s="129"/>
      <c r="K410" s="129"/>
    </row>
    <row r="411" customFormat="false" ht="12.75" hidden="false" customHeight="true" outlineLevel="0" collapsed="false">
      <c r="A411" s="121" t="str">
        <f aca="false">IF(B411="","",CONCATENATE(COUNTA(B$4:B411),"."))</f>
        <v/>
      </c>
      <c r="B411" s="126"/>
      <c r="C411" s="126"/>
      <c r="D411" s="126"/>
      <c r="E411" s="127"/>
      <c r="F411" s="127"/>
      <c r="G411" s="127"/>
      <c r="H411" s="124" t="str">
        <f aca="false">IF(D411="","",15%)</f>
        <v/>
      </c>
      <c r="I411" s="123" t="str">
        <f aca="false">IF(COUNTBLANK(E411:H411)&lt;1,ROUNDUP(SUM(F411:G411)*((100+H411*100)%),0),"")</f>
        <v/>
      </c>
      <c r="J411" s="129"/>
      <c r="K411" s="129"/>
    </row>
    <row r="412" customFormat="false" ht="12.75" hidden="false" customHeight="true" outlineLevel="0" collapsed="false">
      <c r="A412" s="121" t="str">
        <f aca="false">IF(B412="","",CONCATENATE(COUNTA(B$4:B412),"."))</f>
        <v/>
      </c>
      <c r="B412" s="126"/>
      <c r="C412" s="126"/>
      <c r="D412" s="126"/>
      <c r="E412" s="127"/>
      <c r="F412" s="127"/>
      <c r="G412" s="127"/>
      <c r="H412" s="124" t="str">
        <f aca="false">IF(D412="","",15%)</f>
        <v/>
      </c>
      <c r="I412" s="123" t="str">
        <f aca="false">IF(COUNTBLANK(E412:H412)&lt;1,ROUNDUP(SUM(F412:G412)*((100+H412*100)%),0),"")</f>
        <v/>
      </c>
      <c r="J412" s="129"/>
      <c r="K412" s="129"/>
    </row>
    <row r="413" customFormat="false" ht="12.75" hidden="false" customHeight="true" outlineLevel="0" collapsed="false">
      <c r="A413" s="121" t="str">
        <f aca="false">IF(B413="","",CONCATENATE(COUNTA(B$4:B413),"."))</f>
        <v/>
      </c>
      <c r="B413" s="126"/>
      <c r="C413" s="126"/>
      <c r="D413" s="126"/>
      <c r="E413" s="127"/>
      <c r="F413" s="127"/>
      <c r="G413" s="127"/>
      <c r="H413" s="124" t="str">
        <f aca="false">IF(D413="","",15%)</f>
        <v/>
      </c>
      <c r="I413" s="123" t="str">
        <f aca="false">IF(COUNTBLANK(E413:H413)&lt;1,ROUNDUP(SUM(F413:G413)*((100+H413*100)%),0),"")</f>
        <v/>
      </c>
      <c r="J413" s="129"/>
      <c r="K413" s="129"/>
    </row>
    <row r="414" customFormat="false" ht="12.75" hidden="false" customHeight="true" outlineLevel="0" collapsed="false">
      <c r="A414" s="121" t="str">
        <f aca="false">IF(B414="","",CONCATENATE(COUNTA(B$4:B414),"."))</f>
        <v/>
      </c>
      <c r="B414" s="126"/>
      <c r="C414" s="126"/>
      <c r="D414" s="126"/>
      <c r="E414" s="127"/>
      <c r="F414" s="127"/>
      <c r="G414" s="127"/>
      <c r="H414" s="124" t="str">
        <f aca="false">IF(D414="","",15%)</f>
        <v/>
      </c>
      <c r="I414" s="123" t="str">
        <f aca="false">IF(COUNTBLANK(E414:H414)&lt;1,ROUNDUP(SUM(F414:G414)*((100+H414*100)%),0),"")</f>
        <v/>
      </c>
      <c r="J414" s="129"/>
      <c r="K414" s="129"/>
    </row>
    <row r="415" customFormat="false" ht="12.75" hidden="false" customHeight="true" outlineLevel="0" collapsed="false">
      <c r="A415" s="121" t="str">
        <f aca="false">IF(B415="","",CONCATENATE(COUNTA(B$4:B415),"."))</f>
        <v/>
      </c>
      <c r="B415" s="126"/>
      <c r="C415" s="126"/>
      <c r="D415" s="126"/>
      <c r="E415" s="127"/>
      <c r="F415" s="127"/>
      <c r="G415" s="127"/>
      <c r="H415" s="124" t="str">
        <f aca="false">IF(D415="","",15%)</f>
        <v/>
      </c>
      <c r="I415" s="123" t="str">
        <f aca="false">IF(COUNTBLANK(E415:H415)&lt;1,ROUNDUP(SUM(F415:G415)*((100+H415*100)%),0),"")</f>
        <v/>
      </c>
      <c r="J415" s="129"/>
      <c r="K415" s="129"/>
    </row>
    <row r="416" customFormat="false" ht="12.75" hidden="false" customHeight="true" outlineLevel="0" collapsed="false">
      <c r="A416" s="121" t="str">
        <f aca="false">IF(B416="","",CONCATENATE(COUNTA(B$4:B416),"."))</f>
        <v/>
      </c>
      <c r="B416" s="126"/>
      <c r="C416" s="126"/>
      <c r="D416" s="126"/>
      <c r="E416" s="127"/>
      <c r="F416" s="127"/>
      <c r="G416" s="127"/>
      <c r="H416" s="124" t="str">
        <f aca="false">IF(D416="","",15%)</f>
        <v/>
      </c>
      <c r="I416" s="123" t="str">
        <f aca="false">IF(COUNTBLANK(E416:H416)&lt;1,ROUNDUP(SUM(F416:G416)*((100+H416*100)%),0),"")</f>
        <v/>
      </c>
      <c r="J416" s="129"/>
      <c r="K416" s="129"/>
    </row>
    <row r="417" customFormat="false" ht="12.75" hidden="false" customHeight="true" outlineLevel="0" collapsed="false">
      <c r="A417" s="121" t="str">
        <f aca="false">IF(B417="","",CONCATENATE(COUNTA(B$4:B417),"."))</f>
        <v/>
      </c>
      <c r="B417" s="126"/>
      <c r="C417" s="126"/>
      <c r="D417" s="126"/>
      <c r="E417" s="127"/>
      <c r="F417" s="127"/>
      <c r="G417" s="127"/>
      <c r="H417" s="124" t="str">
        <f aca="false">IF(D417="","",15%)</f>
        <v/>
      </c>
      <c r="I417" s="123" t="str">
        <f aca="false">IF(COUNTBLANK(E417:H417)&lt;1,ROUNDUP(SUM(F417:G417)*((100+H417*100)%),0),"")</f>
        <v/>
      </c>
      <c r="J417" s="129"/>
      <c r="K417" s="129"/>
    </row>
    <row r="418" customFormat="false" ht="12.75" hidden="false" customHeight="true" outlineLevel="0" collapsed="false">
      <c r="A418" s="121" t="str">
        <f aca="false">IF(B418="","",CONCATENATE(COUNTA(B$4:B418),"."))</f>
        <v/>
      </c>
      <c r="B418" s="126"/>
      <c r="C418" s="126"/>
      <c r="D418" s="126"/>
      <c r="E418" s="127"/>
      <c r="F418" s="127"/>
      <c r="G418" s="127"/>
      <c r="H418" s="124" t="str">
        <f aca="false">IF(D418="","",15%)</f>
        <v/>
      </c>
      <c r="I418" s="123" t="str">
        <f aca="false">IF(COUNTBLANK(E418:H418)&lt;1,ROUNDUP(SUM(F418:G418)*((100+H418*100)%),0),"")</f>
        <v/>
      </c>
      <c r="J418" s="129"/>
      <c r="K418" s="129"/>
    </row>
    <row r="419" customFormat="false" ht="12.75" hidden="false" customHeight="true" outlineLevel="0" collapsed="false">
      <c r="A419" s="121" t="str">
        <f aca="false">IF(B419="","",CONCATENATE(COUNTA(B$4:B419),"."))</f>
        <v/>
      </c>
      <c r="B419" s="126"/>
      <c r="C419" s="126"/>
      <c r="D419" s="126"/>
      <c r="E419" s="127"/>
      <c r="F419" s="127"/>
      <c r="G419" s="127"/>
      <c r="H419" s="124" t="str">
        <f aca="false">IF(D419="","",15%)</f>
        <v/>
      </c>
      <c r="I419" s="123" t="str">
        <f aca="false">IF(COUNTBLANK(E419:H419)&lt;1,ROUNDUP(SUM(F419:G419)*((100+H419*100)%),0),"")</f>
        <v/>
      </c>
      <c r="J419" s="129"/>
      <c r="K419" s="129"/>
    </row>
    <row r="420" customFormat="false" ht="12.75" hidden="false" customHeight="true" outlineLevel="0" collapsed="false">
      <c r="A420" s="121" t="str">
        <f aca="false">IF(B420="","",CONCATENATE(COUNTA(B$4:B420),"."))</f>
        <v/>
      </c>
      <c r="B420" s="126"/>
      <c r="C420" s="126"/>
      <c r="D420" s="126"/>
      <c r="E420" s="127"/>
      <c r="F420" s="127"/>
      <c r="G420" s="127"/>
      <c r="H420" s="124" t="str">
        <f aca="false">IF(D420="","",15%)</f>
        <v/>
      </c>
      <c r="I420" s="123" t="str">
        <f aca="false">IF(COUNTBLANK(E420:H420)&lt;1,ROUNDUP(SUM(F420:G420)*((100+H420*100)%),0),"")</f>
        <v/>
      </c>
      <c r="J420" s="129"/>
      <c r="K420" s="129"/>
    </row>
    <row r="421" customFormat="false" ht="12.75" hidden="false" customHeight="true" outlineLevel="0" collapsed="false">
      <c r="A421" s="121" t="str">
        <f aca="false">IF(B421="","",CONCATENATE(COUNTA(B$4:B421),"."))</f>
        <v/>
      </c>
      <c r="B421" s="126"/>
      <c r="C421" s="126"/>
      <c r="D421" s="126"/>
      <c r="E421" s="127"/>
      <c r="F421" s="127"/>
      <c r="G421" s="127"/>
      <c r="H421" s="124" t="str">
        <f aca="false">IF(D421="","",15%)</f>
        <v/>
      </c>
      <c r="I421" s="123" t="str">
        <f aca="false">IF(COUNTBLANK(E421:H421)&lt;1,ROUNDUP(SUM(F421:G421)*((100+H421*100)%),0),"")</f>
        <v/>
      </c>
      <c r="J421" s="129"/>
      <c r="K421" s="129"/>
    </row>
    <row r="422" customFormat="false" ht="12.75" hidden="false" customHeight="true" outlineLevel="0" collapsed="false">
      <c r="A422" s="121" t="str">
        <f aca="false">IF(B422="","",CONCATENATE(COUNTA(B$4:B422),"."))</f>
        <v/>
      </c>
      <c r="B422" s="126"/>
      <c r="C422" s="126"/>
      <c r="D422" s="126"/>
      <c r="E422" s="127"/>
      <c r="F422" s="127"/>
      <c r="G422" s="127"/>
      <c r="H422" s="124" t="str">
        <f aca="false">IF(D422="","",15%)</f>
        <v/>
      </c>
      <c r="I422" s="123" t="str">
        <f aca="false">IF(COUNTBLANK(E422:H422)&lt;1,ROUNDUP(SUM(F422:G422)*((100+H422*100)%),0),"")</f>
        <v/>
      </c>
      <c r="J422" s="129"/>
      <c r="K422" s="129"/>
    </row>
    <row r="423" customFormat="false" ht="12.75" hidden="false" customHeight="true" outlineLevel="0" collapsed="false">
      <c r="A423" s="121" t="str">
        <f aca="false">IF(B423="","",CONCATENATE(COUNTA(B$4:B423),"."))</f>
        <v/>
      </c>
      <c r="B423" s="126"/>
      <c r="C423" s="126"/>
      <c r="D423" s="126"/>
      <c r="E423" s="127"/>
      <c r="F423" s="127"/>
      <c r="G423" s="127"/>
      <c r="H423" s="124" t="str">
        <f aca="false">IF(D423="","",15%)</f>
        <v/>
      </c>
      <c r="I423" s="123" t="str">
        <f aca="false">IF(COUNTBLANK(E423:H423)&lt;1,ROUNDUP(SUM(F423:G423)*((100+H423*100)%),0),"")</f>
        <v/>
      </c>
      <c r="J423" s="129"/>
      <c r="K423" s="129"/>
    </row>
    <row r="424" customFormat="false" ht="12.75" hidden="false" customHeight="true" outlineLevel="0" collapsed="false">
      <c r="A424" s="121" t="str">
        <f aca="false">IF(B424="","",CONCATENATE(COUNTA(B$4:B424),"."))</f>
        <v/>
      </c>
      <c r="B424" s="126"/>
      <c r="C424" s="126"/>
      <c r="D424" s="126"/>
      <c r="E424" s="127"/>
      <c r="F424" s="127"/>
      <c r="G424" s="127"/>
      <c r="H424" s="124" t="str">
        <f aca="false">IF(D424="","",15%)</f>
        <v/>
      </c>
      <c r="I424" s="123" t="str">
        <f aca="false">IF(COUNTBLANK(E424:H424)&lt;1,ROUNDUP(SUM(F424:G424)*((100+H424*100)%),0),"")</f>
        <v/>
      </c>
      <c r="J424" s="129"/>
      <c r="K424" s="129"/>
    </row>
    <row r="425" customFormat="false" ht="12.75" hidden="false" customHeight="true" outlineLevel="0" collapsed="false">
      <c r="A425" s="121" t="str">
        <f aca="false">IF(B425="","",CONCATENATE(COUNTA(B$4:B425),"."))</f>
        <v/>
      </c>
      <c r="B425" s="126"/>
      <c r="C425" s="126"/>
      <c r="D425" s="126"/>
      <c r="E425" s="127"/>
      <c r="F425" s="127"/>
      <c r="G425" s="127"/>
      <c r="H425" s="124" t="str">
        <f aca="false">IF(D425="","",15%)</f>
        <v/>
      </c>
      <c r="I425" s="123" t="str">
        <f aca="false">IF(COUNTBLANK(E425:H425)&lt;1,ROUNDUP(SUM(F425:G425)*((100+H425*100)%),0),"")</f>
        <v/>
      </c>
      <c r="J425" s="129"/>
      <c r="K425" s="129"/>
    </row>
    <row r="426" customFormat="false" ht="12.75" hidden="false" customHeight="true" outlineLevel="0" collapsed="false">
      <c r="A426" s="121" t="str">
        <f aca="false">IF(B426="","",CONCATENATE(COUNTA(B$4:B426),"."))</f>
        <v/>
      </c>
      <c r="B426" s="126"/>
      <c r="C426" s="126"/>
      <c r="D426" s="126"/>
      <c r="E426" s="127"/>
      <c r="F426" s="127"/>
      <c r="G426" s="127"/>
      <c r="H426" s="124" t="str">
        <f aca="false">IF(D426="","",15%)</f>
        <v/>
      </c>
      <c r="I426" s="123" t="str">
        <f aca="false">IF(COUNTBLANK(E426:H426)&lt;1,ROUNDUP(SUM(F426:G426)*((100+H426*100)%),0),"")</f>
        <v/>
      </c>
      <c r="J426" s="129"/>
      <c r="K426" s="129"/>
    </row>
    <row r="427" customFormat="false" ht="12.75" hidden="false" customHeight="true" outlineLevel="0" collapsed="false">
      <c r="A427" s="121" t="str">
        <f aca="false">IF(B427="","",CONCATENATE(COUNTA(B$4:B427),"."))</f>
        <v/>
      </c>
      <c r="B427" s="126"/>
      <c r="C427" s="126"/>
      <c r="D427" s="126"/>
      <c r="E427" s="127"/>
      <c r="F427" s="127"/>
      <c r="G427" s="127"/>
      <c r="H427" s="124" t="str">
        <f aca="false">IF(D427="","",15%)</f>
        <v/>
      </c>
      <c r="I427" s="123" t="str">
        <f aca="false">IF(COUNTBLANK(E427:H427)&lt;1,ROUNDUP(SUM(F427:G427)*((100+H427*100)%),0),"")</f>
        <v/>
      </c>
      <c r="J427" s="129"/>
      <c r="K427" s="129"/>
    </row>
    <row r="428" customFormat="false" ht="12.75" hidden="false" customHeight="true" outlineLevel="0" collapsed="false">
      <c r="A428" s="121" t="str">
        <f aca="false">IF(B428="","",CONCATENATE(COUNTA(B$4:B428),"."))</f>
        <v/>
      </c>
      <c r="B428" s="126"/>
      <c r="C428" s="126"/>
      <c r="D428" s="126"/>
      <c r="E428" s="127"/>
      <c r="F428" s="127"/>
      <c r="G428" s="127"/>
      <c r="H428" s="124" t="str">
        <f aca="false">IF(D428="","",15%)</f>
        <v/>
      </c>
      <c r="I428" s="123" t="str">
        <f aca="false">IF(COUNTBLANK(E428:H428)&lt;1,ROUNDUP(SUM(F428:G428)*((100+H428*100)%),0),"")</f>
        <v/>
      </c>
      <c r="J428" s="129"/>
      <c r="K428" s="129"/>
    </row>
    <row r="429" customFormat="false" ht="12.75" hidden="false" customHeight="true" outlineLevel="0" collapsed="false">
      <c r="A429" s="121" t="str">
        <f aca="false">IF(B429="","",CONCATENATE(COUNTA(B$4:B429),"."))</f>
        <v/>
      </c>
      <c r="B429" s="126"/>
      <c r="C429" s="126"/>
      <c r="D429" s="126"/>
      <c r="E429" s="127"/>
      <c r="F429" s="127"/>
      <c r="G429" s="127"/>
      <c r="H429" s="124" t="str">
        <f aca="false">IF(D429="","",15%)</f>
        <v/>
      </c>
      <c r="I429" s="123" t="str">
        <f aca="false">IF(COUNTBLANK(E429:H429)&lt;1,ROUNDUP(SUM(F429:G429)*((100+H429*100)%),0),"")</f>
        <v/>
      </c>
      <c r="J429" s="129"/>
      <c r="K429" s="129"/>
    </row>
    <row r="430" customFormat="false" ht="12.75" hidden="false" customHeight="true" outlineLevel="0" collapsed="false">
      <c r="A430" s="121" t="str">
        <f aca="false">IF(B430="","",CONCATENATE(COUNTA(B$4:B430),"."))</f>
        <v/>
      </c>
      <c r="B430" s="126"/>
      <c r="C430" s="126"/>
      <c r="D430" s="126"/>
      <c r="E430" s="127"/>
      <c r="F430" s="127"/>
      <c r="G430" s="127"/>
      <c r="H430" s="124" t="str">
        <f aca="false">IF(D430="","",15%)</f>
        <v/>
      </c>
      <c r="I430" s="123" t="str">
        <f aca="false">IF(COUNTBLANK(E430:H430)&lt;1,ROUNDUP(SUM(F430:G430)*((100+H430*100)%),0),"")</f>
        <v/>
      </c>
      <c r="J430" s="129"/>
      <c r="K430" s="129"/>
    </row>
    <row r="431" customFormat="false" ht="12.75" hidden="false" customHeight="true" outlineLevel="0" collapsed="false">
      <c r="A431" s="121" t="str">
        <f aca="false">IF(B431="","",CONCATENATE(COUNTA(B$4:B431),"."))</f>
        <v/>
      </c>
      <c r="B431" s="126"/>
      <c r="C431" s="126"/>
      <c r="D431" s="126"/>
      <c r="E431" s="127"/>
      <c r="F431" s="127"/>
      <c r="G431" s="127"/>
      <c r="H431" s="124" t="str">
        <f aca="false">IF(D431="","",15%)</f>
        <v/>
      </c>
      <c r="I431" s="123" t="str">
        <f aca="false">IF(COUNTBLANK(E431:H431)&lt;1,ROUNDUP(SUM(F431:G431)*((100+H431*100)%),0),"")</f>
        <v/>
      </c>
      <c r="J431" s="129"/>
      <c r="K431" s="129"/>
    </row>
    <row r="432" customFormat="false" ht="12.75" hidden="false" customHeight="true" outlineLevel="0" collapsed="false">
      <c r="A432" s="121" t="str">
        <f aca="false">IF(B432="","",CONCATENATE(COUNTA(B$4:B432),"."))</f>
        <v/>
      </c>
      <c r="B432" s="126"/>
      <c r="C432" s="126"/>
      <c r="D432" s="126"/>
      <c r="E432" s="127"/>
      <c r="F432" s="127"/>
      <c r="G432" s="127"/>
      <c r="H432" s="124" t="str">
        <f aca="false">IF(D432="","",15%)</f>
        <v/>
      </c>
      <c r="I432" s="123" t="str">
        <f aca="false">IF(COUNTBLANK(E432:H432)&lt;1,ROUNDUP(SUM(F432:G432)*((100+H432*100)%),0),"")</f>
        <v/>
      </c>
      <c r="J432" s="129"/>
      <c r="K432" s="129"/>
    </row>
    <row r="433" customFormat="false" ht="12.75" hidden="false" customHeight="true" outlineLevel="0" collapsed="false">
      <c r="A433" s="121" t="str">
        <f aca="false">IF(B433="","",CONCATENATE(COUNTA(B$4:B433),"."))</f>
        <v/>
      </c>
      <c r="B433" s="126"/>
      <c r="C433" s="126"/>
      <c r="D433" s="126"/>
      <c r="E433" s="127"/>
      <c r="F433" s="127"/>
      <c r="G433" s="127"/>
      <c r="H433" s="124" t="str">
        <f aca="false">IF(D433="","",15%)</f>
        <v/>
      </c>
      <c r="I433" s="123" t="str">
        <f aca="false">IF(COUNTBLANK(E433:H433)&lt;1,ROUNDUP(SUM(F433:G433)*((100+H433*100)%),0),"")</f>
        <v/>
      </c>
      <c r="J433" s="129"/>
      <c r="K433" s="129"/>
    </row>
    <row r="434" customFormat="false" ht="12.75" hidden="false" customHeight="true" outlineLevel="0" collapsed="false">
      <c r="A434" s="121" t="str">
        <f aca="false">IF(B434="","",CONCATENATE(COUNTA(B$4:B434),"."))</f>
        <v/>
      </c>
      <c r="B434" s="126"/>
      <c r="C434" s="126"/>
      <c r="D434" s="126"/>
      <c r="E434" s="127"/>
      <c r="F434" s="127"/>
      <c r="G434" s="127"/>
      <c r="H434" s="124" t="str">
        <f aca="false">IF(D434="","",15%)</f>
        <v/>
      </c>
      <c r="I434" s="123" t="str">
        <f aca="false">IF(COUNTBLANK(E434:H434)&lt;1,ROUNDUP(SUM(F434:G434)*((100+H434*100)%),0),"")</f>
        <v/>
      </c>
      <c r="J434" s="129"/>
      <c r="K434" s="129"/>
    </row>
    <row r="435" customFormat="false" ht="12.75" hidden="false" customHeight="true" outlineLevel="0" collapsed="false">
      <c r="A435" s="121" t="str">
        <f aca="false">IF(B435="","",CONCATENATE(COUNTA(B$4:B435),"."))</f>
        <v/>
      </c>
      <c r="B435" s="126"/>
      <c r="C435" s="126"/>
      <c r="D435" s="126"/>
      <c r="E435" s="127"/>
      <c r="F435" s="127"/>
      <c r="G435" s="127"/>
      <c r="H435" s="124" t="str">
        <f aca="false">IF(D435="","",15%)</f>
        <v/>
      </c>
      <c r="I435" s="123" t="str">
        <f aca="false">IF(COUNTBLANK(E435:H435)&lt;1,ROUNDUP(SUM(F435:G435)*((100+H435*100)%),0),"")</f>
        <v/>
      </c>
      <c r="J435" s="129"/>
      <c r="K435" s="129"/>
    </row>
    <row r="436" customFormat="false" ht="12.75" hidden="false" customHeight="true" outlineLevel="0" collapsed="false">
      <c r="A436" s="121" t="str">
        <f aca="false">IF(B436="","",CONCATENATE(COUNTA(B$4:B436),"."))</f>
        <v/>
      </c>
      <c r="B436" s="126"/>
      <c r="C436" s="126"/>
      <c r="D436" s="126"/>
      <c r="E436" s="127"/>
      <c r="F436" s="127"/>
      <c r="G436" s="127"/>
      <c r="H436" s="124" t="str">
        <f aca="false">IF(D436="","",15%)</f>
        <v/>
      </c>
      <c r="I436" s="123" t="str">
        <f aca="false">IF(COUNTBLANK(E436:H436)&lt;1,ROUNDUP(SUM(F436:G436)*((100+H436*100)%),0),"")</f>
        <v/>
      </c>
      <c r="J436" s="129"/>
      <c r="K436" s="129"/>
    </row>
    <row r="437" customFormat="false" ht="12.75" hidden="false" customHeight="true" outlineLevel="0" collapsed="false">
      <c r="A437" s="121" t="str">
        <f aca="false">IF(B437="","",CONCATENATE(COUNTA(B$4:B437),"."))</f>
        <v/>
      </c>
      <c r="B437" s="126"/>
      <c r="C437" s="126"/>
      <c r="D437" s="126"/>
      <c r="E437" s="127"/>
      <c r="F437" s="127"/>
      <c r="G437" s="127"/>
      <c r="H437" s="124" t="str">
        <f aca="false">IF(D437="","",15%)</f>
        <v/>
      </c>
      <c r="I437" s="123" t="str">
        <f aca="false">IF(COUNTBLANK(E437:H437)&lt;1,ROUNDUP(SUM(F437:G437)*((100+H437*100)%),0),"")</f>
        <v/>
      </c>
      <c r="J437" s="129"/>
      <c r="K437" s="129"/>
    </row>
    <row r="438" customFormat="false" ht="12.75" hidden="false" customHeight="true" outlineLevel="0" collapsed="false">
      <c r="A438" s="121" t="str">
        <f aca="false">IF(B438="","",CONCATENATE(COUNTA(B$4:B438),"."))</f>
        <v/>
      </c>
      <c r="B438" s="126"/>
      <c r="C438" s="126"/>
      <c r="D438" s="126"/>
      <c r="E438" s="127"/>
      <c r="F438" s="127"/>
      <c r="G438" s="127"/>
      <c r="H438" s="124" t="str">
        <f aca="false">IF(D438="","",15%)</f>
        <v/>
      </c>
      <c r="I438" s="123" t="str">
        <f aca="false">IF(COUNTBLANK(E438:H438)&lt;1,ROUNDUP(SUM(F438:G438)*((100+H438*100)%),0),"")</f>
        <v/>
      </c>
      <c r="J438" s="129"/>
      <c r="K438" s="129"/>
    </row>
    <row r="439" customFormat="false" ht="12.75" hidden="false" customHeight="true" outlineLevel="0" collapsed="false">
      <c r="A439" s="121" t="str">
        <f aca="false">IF(B439="","",CONCATENATE(COUNTA(B$4:B439),"."))</f>
        <v/>
      </c>
      <c r="B439" s="126"/>
      <c r="C439" s="126"/>
      <c r="D439" s="126"/>
      <c r="E439" s="127"/>
      <c r="F439" s="127"/>
      <c r="G439" s="127"/>
      <c r="H439" s="124" t="str">
        <f aca="false">IF(D439="","",15%)</f>
        <v/>
      </c>
      <c r="I439" s="123" t="str">
        <f aca="false">IF(COUNTBLANK(E439:H439)&lt;1,ROUNDUP(SUM(F439:G439)*((100+H439*100)%),0),"")</f>
        <v/>
      </c>
      <c r="J439" s="129"/>
      <c r="K439" s="129"/>
    </row>
    <row r="440" customFormat="false" ht="12.75" hidden="false" customHeight="true" outlineLevel="0" collapsed="false">
      <c r="A440" s="121" t="str">
        <f aca="false">IF(B440="","",CONCATENATE(COUNTA(B$4:B440),"."))</f>
        <v/>
      </c>
      <c r="B440" s="126"/>
      <c r="C440" s="126"/>
      <c r="D440" s="126"/>
      <c r="E440" s="127"/>
      <c r="F440" s="127"/>
      <c r="G440" s="127"/>
      <c r="H440" s="124" t="str">
        <f aca="false">IF(D440="","",15%)</f>
        <v/>
      </c>
      <c r="I440" s="123" t="str">
        <f aca="false">IF(COUNTBLANK(E440:H440)&lt;1,ROUNDUP(SUM(F440:G440)*((100+H440*100)%),0),"")</f>
        <v/>
      </c>
      <c r="J440" s="129"/>
      <c r="K440" s="129"/>
    </row>
    <row r="441" customFormat="false" ht="12.75" hidden="false" customHeight="true" outlineLevel="0" collapsed="false">
      <c r="A441" s="121" t="str">
        <f aca="false">IF(B441="","",CONCATENATE(COUNTA(B$4:B441),"."))</f>
        <v/>
      </c>
      <c r="B441" s="126"/>
      <c r="C441" s="126"/>
      <c r="D441" s="126"/>
      <c r="E441" s="127"/>
      <c r="F441" s="127"/>
      <c r="G441" s="127"/>
      <c r="H441" s="124" t="str">
        <f aca="false">IF(D441="","",15%)</f>
        <v/>
      </c>
      <c r="I441" s="123" t="str">
        <f aca="false">IF(COUNTBLANK(E441:H441)&lt;1,ROUNDUP(SUM(F441:G441)*((100+H441*100)%),0),"")</f>
        <v/>
      </c>
      <c r="J441" s="129"/>
      <c r="K441" s="129"/>
    </row>
    <row r="442" customFormat="false" ht="12.75" hidden="false" customHeight="true" outlineLevel="0" collapsed="false">
      <c r="A442" s="121" t="str">
        <f aca="false">IF(B442="","",CONCATENATE(COUNTA(B$4:B442),"."))</f>
        <v/>
      </c>
      <c r="B442" s="126"/>
      <c r="C442" s="126"/>
      <c r="D442" s="126"/>
      <c r="E442" s="127"/>
      <c r="F442" s="127"/>
      <c r="G442" s="127"/>
      <c r="H442" s="124" t="str">
        <f aca="false">IF(D442="","",15%)</f>
        <v/>
      </c>
      <c r="I442" s="123" t="str">
        <f aca="false">IF(COUNTBLANK(E442:H442)&lt;1,ROUNDUP(SUM(F442:G442)*((100+H442*100)%),0),"")</f>
        <v/>
      </c>
      <c r="J442" s="129"/>
      <c r="K442" s="129"/>
    </row>
    <row r="443" customFormat="false" ht="12.75" hidden="false" customHeight="true" outlineLevel="0" collapsed="false">
      <c r="A443" s="121" t="str">
        <f aca="false">IF(B443="","",CONCATENATE(COUNTA(B$4:B443),"."))</f>
        <v/>
      </c>
      <c r="B443" s="126"/>
      <c r="C443" s="126"/>
      <c r="D443" s="126"/>
      <c r="E443" s="127"/>
      <c r="F443" s="127"/>
      <c r="G443" s="127"/>
      <c r="H443" s="124" t="str">
        <f aca="false">IF(D443="","",15%)</f>
        <v/>
      </c>
      <c r="I443" s="123" t="str">
        <f aca="false">IF(COUNTBLANK(E443:H443)&lt;1,ROUNDUP(SUM(F443:G443)*((100+H443*100)%),0),"")</f>
        <v/>
      </c>
      <c r="J443" s="129"/>
      <c r="K443" s="129"/>
    </row>
    <row r="444" customFormat="false" ht="12.75" hidden="false" customHeight="true" outlineLevel="0" collapsed="false">
      <c r="A444" s="121" t="str">
        <f aca="false">IF(B444="","",CONCATENATE(COUNTA(B$4:B444),"."))</f>
        <v/>
      </c>
      <c r="B444" s="126"/>
      <c r="C444" s="126"/>
      <c r="D444" s="126"/>
      <c r="E444" s="127"/>
      <c r="F444" s="127"/>
      <c r="G444" s="127"/>
      <c r="H444" s="124" t="str">
        <f aca="false">IF(D444="","",15%)</f>
        <v/>
      </c>
      <c r="I444" s="123" t="str">
        <f aca="false">IF(COUNTBLANK(E444:H444)&lt;1,ROUNDUP(SUM(F444:G444)*((100+H444*100)%),0),"")</f>
        <v/>
      </c>
      <c r="J444" s="129"/>
      <c r="K444" s="129"/>
    </row>
    <row r="445" customFormat="false" ht="12.75" hidden="false" customHeight="true" outlineLevel="0" collapsed="false">
      <c r="A445" s="121" t="str">
        <f aca="false">IF(B445="","",CONCATENATE(COUNTA(B$4:B445),"."))</f>
        <v/>
      </c>
      <c r="B445" s="126"/>
      <c r="C445" s="126"/>
      <c r="D445" s="126"/>
      <c r="E445" s="127"/>
      <c r="F445" s="127"/>
      <c r="G445" s="127"/>
      <c r="H445" s="124" t="str">
        <f aca="false">IF(D445="","",15%)</f>
        <v/>
      </c>
      <c r="I445" s="123" t="str">
        <f aca="false">IF(COUNTBLANK(E445:H445)&lt;1,ROUNDUP(SUM(F445:G445)*((100+H445*100)%),0),"")</f>
        <v/>
      </c>
      <c r="J445" s="129"/>
      <c r="K445" s="129"/>
    </row>
    <row r="446" customFormat="false" ht="12.75" hidden="false" customHeight="true" outlineLevel="0" collapsed="false">
      <c r="A446" s="121" t="str">
        <f aca="false">IF(B446="","",CONCATENATE(COUNTA(B$4:B446),"."))</f>
        <v/>
      </c>
      <c r="B446" s="126"/>
      <c r="C446" s="126"/>
      <c r="D446" s="126"/>
      <c r="E446" s="127"/>
      <c r="F446" s="127"/>
      <c r="G446" s="127"/>
      <c r="H446" s="124" t="str">
        <f aca="false">IF(D446="","",15%)</f>
        <v/>
      </c>
      <c r="I446" s="123" t="str">
        <f aca="false">IF(COUNTBLANK(E446:H446)&lt;1,ROUNDUP(SUM(F446:G446)*((100+H446*100)%),0),"")</f>
        <v/>
      </c>
      <c r="J446" s="129"/>
      <c r="K446" s="129"/>
    </row>
    <row r="447" customFormat="false" ht="12.75" hidden="false" customHeight="true" outlineLevel="0" collapsed="false">
      <c r="A447" s="121" t="str">
        <f aca="false">IF(B447="","",CONCATENATE(COUNTA(B$4:B447),"."))</f>
        <v/>
      </c>
      <c r="B447" s="126"/>
      <c r="C447" s="126"/>
      <c r="D447" s="126"/>
      <c r="E447" s="127"/>
      <c r="F447" s="127"/>
      <c r="G447" s="127"/>
      <c r="H447" s="124" t="str">
        <f aca="false">IF(D447="","",15%)</f>
        <v/>
      </c>
      <c r="I447" s="123" t="str">
        <f aca="false">IF(COUNTBLANK(E447:H447)&lt;1,ROUNDUP(SUM(F447:G447)*((100+H447*100)%),0),"")</f>
        <v/>
      </c>
      <c r="J447" s="129"/>
      <c r="K447" s="129"/>
    </row>
    <row r="448" customFormat="false" ht="12.75" hidden="false" customHeight="true" outlineLevel="0" collapsed="false">
      <c r="A448" s="121" t="str">
        <f aca="false">IF(B448="","",CONCATENATE(COUNTA(B$4:B448),"."))</f>
        <v/>
      </c>
      <c r="B448" s="126"/>
      <c r="C448" s="126"/>
      <c r="D448" s="126"/>
      <c r="E448" s="127"/>
      <c r="F448" s="127"/>
      <c r="G448" s="127"/>
      <c r="H448" s="124" t="str">
        <f aca="false">IF(D448="","",15%)</f>
        <v/>
      </c>
      <c r="I448" s="123" t="str">
        <f aca="false">IF(COUNTBLANK(E448:H448)&lt;1,ROUNDUP(SUM(F448:G448)*((100+H448*100)%),0),"")</f>
        <v/>
      </c>
      <c r="J448" s="129"/>
      <c r="K448" s="129"/>
    </row>
    <row r="449" customFormat="false" ht="12.75" hidden="false" customHeight="true" outlineLevel="0" collapsed="false">
      <c r="A449" s="121" t="str">
        <f aca="false">IF(B449="","",CONCATENATE(COUNTA(B$4:B449),"."))</f>
        <v/>
      </c>
      <c r="B449" s="126"/>
      <c r="C449" s="126"/>
      <c r="D449" s="126"/>
      <c r="E449" s="127"/>
      <c r="F449" s="127"/>
      <c r="G449" s="127"/>
      <c r="H449" s="124" t="str">
        <f aca="false">IF(D449="","",15%)</f>
        <v/>
      </c>
      <c r="I449" s="123" t="str">
        <f aca="false">IF(COUNTBLANK(E449:H449)&lt;1,ROUNDUP(SUM(F449:G449)*((100+H449*100)%),0),"")</f>
        <v/>
      </c>
      <c r="J449" s="129"/>
      <c r="K449" s="129"/>
    </row>
    <row r="450" customFormat="false" ht="12.75" hidden="false" customHeight="true" outlineLevel="0" collapsed="false">
      <c r="A450" s="121" t="str">
        <f aca="false">IF(B450="","",CONCATENATE(COUNTA(B$4:B450),"."))</f>
        <v/>
      </c>
      <c r="B450" s="126"/>
      <c r="C450" s="126"/>
      <c r="D450" s="126"/>
      <c r="E450" s="127"/>
      <c r="F450" s="127"/>
      <c r="G450" s="127"/>
      <c r="H450" s="130"/>
      <c r="I450" s="123" t="str">
        <f aca="false">IF(COUNTBLANK(E450:H450)&lt;1,ROUNDUP(SUM(F450:G450)*((100+H450*100)%),0),"")</f>
        <v/>
      </c>
      <c r="J450" s="129"/>
      <c r="K450" s="129"/>
    </row>
    <row r="451" customFormat="false" ht="12.75" hidden="false" customHeight="true" outlineLevel="0" collapsed="false">
      <c r="A451" s="121" t="str">
        <f aca="false">IF(B451="","",CONCATENATE(COUNTA(B$4:B451),"."))</f>
        <v/>
      </c>
      <c r="B451" s="126"/>
      <c r="C451" s="126"/>
      <c r="D451" s="126"/>
      <c r="E451" s="127"/>
      <c r="F451" s="127"/>
      <c r="G451" s="127"/>
      <c r="H451" s="130"/>
      <c r="I451" s="123" t="str">
        <f aca="false">IF(COUNTBLANK(E451:H451)&lt;1,ROUNDUP(SUM(F451:G451)*((100+H451*100)%),0),"")</f>
        <v/>
      </c>
      <c r="J451" s="129"/>
      <c r="K451" s="129"/>
    </row>
    <row r="452" customFormat="false" ht="12.75" hidden="false" customHeight="true" outlineLevel="0" collapsed="false">
      <c r="A452" s="121" t="str">
        <f aca="false">IF(B452="","",CONCATENATE(COUNTA(B$4:B452),"."))</f>
        <v/>
      </c>
      <c r="B452" s="126"/>
      <c r="C452" s="126"/>
      <c r="D452" s="126"/>
      <c r="E452" s="127"/>
      <c r="F452" s="127"/>
      <c r="G452" s="127"/>
      <c r="H452" s="130"/>
      <c r="I452" s="123" t="str">
        <f aca="false">IF(COUNTBLANK(E452:H452)&lt;1,ROUNDUP(SUM(F452:G452)*((100+H452*100)%),0),"")</f>
        <v/>
      </c>
      <c r="J452" s="129"/>
      <c r="K452" s="129"/>
    </row>
    <row r="453" customFormat="false" ht="12.75" hidden="false" customHeight="true" outlineLevel="0" collapsed="false">
      <c r="A453" s="121" t="str">
        <f aca="false">IF(B453="","",CONCATENATE(COUNTA(B$4:B453),"."))</f>
        <v/>
      </c>
      <c r="B453" s="126"/>
      <c r="C453" s="126"/>
      <c r="D453" s="126"/>
      <c r="E453" s="127"/>
      <c r="F453" s="127"/>
      <c r="G453" s="127"/>
      <c r="H453" s="130"/>
      <c r="I453" s="123" t="str">
        <f aca="false">IF(COUNTBLANK(E453:H453)&lt;1,ROUNDUP(SUM(F453:G453)*((100+H453*100)%),0),"")</f>
        <v/>
      </c>
      <c r="J453" s="129"/>
      <c r="K453" s="129"/>
    </row>
    <row r="454" customFormat="false" ht="12.75" hidden="false" customHeight="true" outlineLevel="0" collapsed="false">
      <c r="A454" s="121" t="str">
        <f aca="false">IF(B454="","",CONCATENATE(COUNTA(B$4:B454),"."))</f>
        <v/>
      </c>
      <c r="B454" s="126"/>
      <c r="C454" s="126"/>
      <c r="D454" s="126"/>
      <c r="E454" s="127"/>
      <c r="F454" s="127"/>
      <c r="G454" s="127"/>
      <c r="H454" s="130"/>
      <c r="I454" s="123" t="str">
        <f aca="false">IF(COUNTBLANK(E454:H454)&lt;1,ROUNDUP(SUM(F454:G454)*((100+H454*100)%),0),"")</f>
        <v/>
      </c>
      <c r="J454" s="129"/>
      <c r="K454" s="129"/>
    </row>
    <row r="455" customFormat="false" ht="12.75" hidden="false" customHeight="true" outlineLevel="0" collapsed="false">
      <c r="A455" s="121" t="str">
        <f aca="false">IF(B455="","",CONCATENATE(COUNTA(B$4:B455),"."))</f>
        <v/>
      </c>
      <c r="B455" s="126"/>
      <c r="C455" s="126"/>
      <c r="D455" s="126"/>
      <c r="E455" s="127"/>
      <c r="F455" s="127"/>
      <c r="G455" s="127"/>
      <c r="H455" s="130"/>
      <c r="I455" s="123" t="str">
        <f aca="false">IF(COUNTBLANK(E455:H455)&lt;1,ROUNDUP(SUM(F455:G455)*((100+H455*100)%),0),"")</f>
        <v/>
      </c>
      <c r="J455" s="129"/>
      <c r="K455" s="129"/>
    </row>
    <row r="456" customFormat="false" ht="12.75" hidden="false" customHeight="true" outlineLevel="0" collapsed="false">
      <c r="A456" s="121" t="str">
        <f aca="false">IF(B456="","",CONCATENATE(COUNTA(B$4:B456),"."))</f>
        <v/>
      </c>
      <c r="B456" s="126"/>
      <c r="C456" s="126"/>
      <c r="D456" s="126"/>
      <c r="E456" s="127"/>
      <c r="F456" s="127"/>
      <c r="G456" s="127"/>
      <c r="H456" s="130"/>
      <c r="I456" s="123" t="str">
        <f aca="false">IF(COUNTBLANK(E456:H456)&lt;1,ROUNDUP(SUM(F456:G456)*((100+H456*100)%),0),"")</f>
        <v/>
      </c>
      <c r="J456" s="129"/>
      <c r="K456" s="129"/>
    </row>
    <row r="457" customFormat="false" ht="12.75" hidden="false" customHeight="true" outlineLevel="0" collapsed="false">
      <c r="A457" s="121" t="str">
        <f aca="false">IF(B457="","",CONCATENATE(COUNTA(B$4:B457),"."))</f>
        <v/>
      </c>
      <c r="B457" s="126"/>
      <c r="C457" s="126"/>
      <c r="D457" s="126"/>
      <c r="E457" s="127"/>
      <c r="F457" s="127"/>
      <c r="G457" s="127"/>
      <c r="H457" s="130"/>
      <c r="I457" s="123" t="str">
        <f aca="false">IF(COUNTBLANK(E457:H457)&lt;1,ROUNDUP(SUM(F457:G457)*((100+H457*100)%),0),"")</f>
        <v/>
      </c>
      <c r="J457" s="129"/>
      <c r="K457" s="129"/>
    </row>
    <row r="458" customFormat="false" ht="12.75" hidden="false" customHeight="true" outlineLevel="0" collapsed="false">
      <c r="A458" s="121" t="str">
        <f aca="false">IF(B458="","",CONCATENATE(COUNTA(B$4:B458),"."))</f>
        <v/>
      </c>
      <c r="B458" s="126"/>
      <c r="C458" s="126"/>
      <c r="D458" s="126"/>
      <c r="E458" s="127"/>
      <c r="F458" s="127"/>
      <c r="G458" s="127"/>
      <c r="H458" s="130"/>
      <c r="I458" s="123" t="str">
        <f aca="false">IF(COUNTBLANK(E458:H458)&lt;1,ROUNDUP(SUM(F458:G458)*((100+H458*100)%),0),"")</f>
        <v/>
      </c>
      <c r="J458" s="129"/>
      <c r="K458" s="129"/>
    </row>
    <row r="459" customFormat="false" ht="12.75" hidden="false" customHeight="true" outlineLevel="0" collapsed="false">
      <c r="A459" s="121" t="str">
        <f aca="false">IF(B459="","",CONCATENATE(COUNTA(B$4:B459),"."))</f>
        <v/>
      </c>
      <c r="B459" s="126"/>
      <c r="C459" s="126"/>
      <c r="D459" s="126"/>
      <c r="E459" s="127"/>
      <c r="F459" s="127"/>
      <c r="G459" s="127"/>
      <c r="H459" s="130"/>
      <c r="I459" s="123" t="str">
        <f aca="false">IF(COUNTBLANK(E459:H459)&lt;1,ROUNDUP(SUM(F459:G459)*((100+H459*100)%),0),"")</f>
        <v/>
      </c>
      <c r="J459" s="129"/>
      <c r="K459" s="129"/>
    </row>
    <row r="460" customFormat="false" ht="12.75" hidden="false" customHeight="true" outlineLevel="0" collapsed="false">
      <c r="A460" s="121" t="str">
        <f aca="false">IF(B460="","",CONCATENATE(COUNTA(B$4:B460),"."))</f>
        <v/>
      </c>
      <c r="B460" s="126"/>
      <c r="C460" s="126"/>
      <c r="D460" s="126"/>
      <c r="E460" s="127"/>
      <c r="F460" s="127"/>
      <c r="G460" s="127"/>
      <c r="H460" s="130"/>
      <c r="I460" s="123" t="str">
        <f aca="false">IF(COUNTBLANK(E460:H460)&lt;1,ROUNDUP(SUM(F460:G460)*((100+H460*100)%),0),"")</f>
        <v/>
      </c>
      <c r="J460" s="129"/>
      <c r="K460" s="129"/>
    </row>
    <row r="461" customFormat="false" ht="12.75" hidden="false" customHeight="true" outlineLevel="0" collapsed="false">
      <c r="A461" s="121" t="str">
        <f aca="false">IF(B461="","",CONCATENATE(COUNTA(B$4:B461),"."))</f>
        <v/>
      </c>
      <c r="B461" s="126"/>
      <c r="C461" s="126"/>
      <c r="D461" s="126"/>
      <c r="E461" s="127"/>
      <c r="F461" s="127"/>
      <c r="G461" s="127"/>
      <c r="H461" s="130"/>
      <c r="I461" s="123" t="str">
        <f aca="false">IF(COUNTBLANK(E461:H461)&lt;1,ROUNDUP(SUM(F461:G461)*((100+H461*100)%),0),"")</f>
        <v/>
      </c>
      <c r="J461" s="129"/>
      <c r="K461" s="129"/>
    </row>
    <row r="462" customFormat="false" ht="12.75" hidden="false" customHeight="true" outlineLevel="0" collapsed="false">
      <c r="A462" s="121" t="str">
        <f aca="false">IF(B462="","",CONCATENATE(COUNTA(B$4:B462),"."))</f>
        <v/>
      </c>
      <c r="B462" s="126"/>
      <c r="C462" s="126"/>
      <c r="D462" s="126"/>
      <c r="E462" s="127"/>
      <c r="F462" s="127"/>
      <c r="G462" s="127"/>
      <c r="H462" s="130"/>
      <c r="I462" s="123" t="str">
        <f aca="false">IF(COUNTBLANK(E462:H462)&lt;1,ROUNDUP(SUM(F462:G462)*((100+H462*100)%),0),"")</f>
        <v/>
      </c>
      <c r="J462" s="129"/>
      <c r="K462" s="129"/>
    </row>
    <row r="463" customFormat="false" ht="12.75" hidden="false" customHeight="true" outlineLevel="0" collapsed="false">
      <c r="A463" s="121" t="str">
        <f aca="false">IF(B463="","",CONCATENATE(COUNTA(B$4:B463),"."))</f>
        <v/>
      </c>
      <c r="B463" s="126"/>
      <c r="C463" s="126"/>
      <c r="D463" s="126"/>
      <c r="E463" s="127"/>
      <c r="F463" s="127"/>
      <c r="G463" s="127"/>
      <c r="H463" s="130"/>
      <c r="I463" s="123" t="str">
        <f aca="false">IF(COUNTBLANK(E463:H463)&lt;1,ROUNDUP(SUM(F463:G463)*((100+H463*100)%),0),"")</f>
        <v/>
      </c>
      <c r="J463" s="129"/>
      <c r="K463" s="129"/>
    </row>
    <row r="464" customFormat="false" ht="12.75" hidden="false" customHeight="true" outlineLevel="0" collapsed="false">
      <c r="A464" s="121" t="str">
        <f aca="false">IF(B464="","",CONCATENATE(COUNTA(B$4:B464),"."))</f>
        <v/>
      </c>
      <c r="B464" s="126"/>
      <c r="C464" s="126"/>
      <c r="D464" s="126"/>
      <c r="E464" s="127"/>
      <c r="F464" s="127"/>
      <c r="G464" s="127"/>
      <c r="H464" s="130"/>
      <c r="I464" s="123" t="str">
        <f aca="false">IF(COUNTBLANK(E464:H464)&lt;1,ROUNDUP(SUM(F464:G464)*((100+H464*100)%),0),"")</f>
        <v/>
      </c>
      <c r="J464" s="129"/>
      <c r="K464" s="129"/>
    </row>
    <row r="465" customFormat="false" ht="12.75" hidden="false" customHeight="true" outlineLevel="0" collapsed="false">
      <c r="A465" s="121" t="str">
        <f aca="false">IF(B465="","",CONCATENATE(COUNTA(B$4:B465),"."))</f>
        <v/>
      </c>
      <c r="B465" s="126"/>
      <c r="C465" s="126"/>
      <c r="D465" s="126"/>
      <c r="E465" s="127"/>
      <c r="F465" s="127"/>
      <c r="G465" s="127"/>
      <c r="H465" s="130"/>
      <c r="I465" s="123" t="str">
        <f aca="false">IF(COUNTBLANK(E465:H465)&lt;1,ROUNDUP(SUM(F465:G465)*((100+H465*100)%),0),"")</f>
        <v/>
      </c>
      <c r="J465" s="129"/>
      <c r="K465" s="129"/>
    </row>
    <row r="466" customFormat="false" ht="12.75" hidden="false" customHeight="true" outlineLevel="0" collapsed="false">
      <c r="A466" s="121" t="str">
        <f aca="false">IF(B466="","",CONCATENATE(COUNTA(B$4:B466),"."))</f>
        <v/>
      </c>
      <c r="B466" s="126"/>
      <c r="C466" s="126"/>
      <c r="D466" s="126"/>
      <c r="E466" s="127"/>
      <c r="F466" s="127"/>
      <c r="G466" s="127"/>
      <c r="H466" s="130"/>
      <c r="I466" s="123" t="str">
        <f aca="false">IF(COUNTBLANK(E466:H466)&lt;1,ROUNDUP(SUM(F466:G466)*((100+H466*100)%),0),"")</f>
        <v/>
      </c>
      <c r="J466" s="129"/>
      <c r="K466" s="129"/>
    </row>
    <row r="467" customFormat="false" ht="12.75" hidden="false" customHeight="true" outlineLevel="0" collapsed="false">
      <c r="A467" s="121" t="str">
        <f aca="false">IF(B467="","",CONCATENATE(COUNTA(B$4:B467),"."))</f>
        <v/>
      </c>
      <c r="B467" s="126"/>
      <c r="C467" s="126"/>
      <c r="D467" s="126"/>
      <c r="E467" s="127"/>
      <c r="F467" s="127"/>
      <c r="G467" s="127"/>
      <c r="H467" s="130"/>
      <c r="I467" s="123" t="str">
        <f aca="false">IF(COUNTBLANK(E467:H467)&lt;1,ROUNDUP(SUM(F467:G467)*((100+H467*100)%),0),"")</f>
        <v/>
      </c>
      <c r="J467" s="129"/>
      <c r="K467" s="129"/>
    </row>
    <row r="468" customFormat="false" ht="12.75" hidden="false" customHeight="true" outlineLevel="0" collapsed="false">
      <c r="A468" s="121" t="str">
        <f aca="false">IF(B468="","",CONCATENATE(COUNTA(B$4:B468),"."))</f>
        <v/>
      </c>
      <c r="B468" s="126"/>
      <c r="C468" s="126"/>
      <c r="D468" s="126"/>
      <c r="E468" s="127"/>
      <c r="F468" s="127"/>
      <c r="G468" s="127"/>
      <c r="H468" s="130"/>
      <c r="I468" s="123" t="str">
        <f aca="false">IF(COUNTBLANK(E468:H468)&lt;1,ROUNDUP(SUM(F468:G468)*((100+H468*100)%),0),"")</f>
        <v/>
      </c>
      <c r="J468" s="129"/>
      <c r="K468" s="129"/>
    </row>
    <row r="469" customFormat="false" ht="12.75" hidden="false" customHeight="true" outlineLevel="0" collapsed="false">
      <c r="A469" s="121" t="str">
        <f aca="false">IF(B469="","",CONCATENATE(COUNTA(B$4:B469),"."))</f>
        <v/>
      </c>
      <c r="B469" s="126"/>
      <c r="C469" s="126"/>
      <c r="D469" s="126"/>
      <c r="E469" s="127"/>
      <c r="F469" s="127"/>
      <c r="G469" s="127"/>
      <c r="H469" s="130"/>
      <c r="I469" s="123" t="str">
        <f aca="false">IF(COUNTBLANK(E469:H469)&lt;1,ROUNDUP(SUM(F469:G469)*((100+H469*100)%),0),"")</f>
        <v/>
      </c>
      <c r="J469" s="129"/>
      <c r="K469" s="129"/>
    </row>
    <row r="470" customFormat="false" ht="12.75" hidden="false" customHeight="true" outlineLevel="0" collapsed="false">
      <c r="A470" s="121" t="str">
        <f aca="false">IF(B470="","",CONCATENATE(COUNTA(B$4:B470),"."))</f>
        <v/>
      </c>
      <c r="B470" s="126"/>
      <c r="C470" s="126"/>
      <c r="D470" s="126"/>
      <c r="E470" s="127"/>
      <c r="F470" s="127"/>
      <c r="G470" s="127"/>
      <c r="H470" s="130"/>
      <c r="I470" s="123" t="str">
        <f aca="false">IF(COUNTBLANK(E470:H470)&lt;1,ROUNDUP(SUM(F470:G470)*((100+H470*100)%),0),"")</f>
        <v/>
      </c>
      <c r="J470" s="129"/>
      <c r="K470" s="129"/>
    </row>
    <row r="471" customFormat="false" ht="12.75" hidden="false" customHeight="true" outlineLevel="0" collapsed="false">
      <c r="A471" s="121" t="str">
        <f aca="false">IF(B471="","",CONCATENATE(COUNTA(B$4:B471),"."))</f>
        <v/>
      </c>
      <c r="B471" s="126"/>
      <c r="C471" s="126"/>
      <c r="D471" s="126"/>
      <c r="E471" s="127"/>
      <c r="F471" s="127"/>
      <c r="G471" s="127"/>
      <c r="H471" s="130"/>
      <c r="I471" s="123" t="str">
        <f aca="false">IF(COUNTBLANK(E471:H471)&lt;1,ROUNDUP(SUM(F471:G471)*((100+H471*100)%),0),"")</f>
        <v/>
      </c>
      <c r="J471" s="129"/>
      <c r="K471" s="129"/>
    </row>
    <row r="472" customFormat="false" ht="12.75" hidden="false" customHeight="true" outlineLevel="0" collapsed="false">
      <c r="A472" s="121" t="str">
        <f aca="false">IF(B472="","",CONCATENATE(COUNTA(B$4:B472),"."))</f>
        <v/>
      </c>
      <c r="B472" s="126"/>
      <c r="C472" s="126"/>
      <c r="D472" s="126"/>
      <c r="E472" s="127"/>
      <c r="F472" s="127"/>
      <c r="G472" s="127"/>
      <c r="H472" s="130"/>
      <c r="I472" s="123" t="str">
        <f aca="false">IF(COUNTBLANK(E472:H472)&lt;1,ROUNDUP(SUM(F472:G472)*((100+H472*100)%),0),"")</f>
        <v/>
      </c>
      <c r="J472" s="129"/>
      <c r="K472" s="129"/>
    </row>
    <row r="473" customFormat="false" ht="12.75" hidden="false" customHeight="true" outlineLevel="0" collapsed="false">
      <c r="A473" s="121" t="str">
        <f aca="false">IF(B473="","",CONCATENATE(COUNTA(B$4:B473),"."))</f>
        <v/>
      </c>
      <c r="B473" s="126"/>
      <c r="C473" s="126"/>
      <c r="D473" s="126"/>
      <c r="E473" s="127"/>
      <c r="F473" s="127"/>
      <c r="G473" s="127"/>
      <c r="H473" s="130"/>
      <c r="I473" s="123" t="str">
        <f aca="false">IF(COUNTBLANK(E473:H473)&lt;1,ROUNDUP(SUM(F473:G473)*((100+H473*100)%),0),"")</f>
        <v/>
      </c>
      <c r="J473" s="129"/>
      <c r="K473" s="129"/>
    </row>
    <row r="474" customFormat="false" ht="12.75" hidden="false" customHeight="true" outlineLevel="0" collapsed="false">
      <c r="A474" s="121" t="str">
        <f aca="false">IF(B474="","",CONCATENATE(COUNTA(B$4:B474),"."))</f>
        <v/>
      </c>
      <c r="B474" s="126"/>
      <c r="C474" s="126"/>
      <c r="D474" s="126"/>
      <c r="E474" s="127"/>
      <c r="F474" s="127"/>
      <c r="G474" s="127"/>
      <c r="H474" s="130"/>
      <c r="I474" s="123" t="str">
        <f aca="false">IF(COUNTBLANK(E474:H474)&lt;1,ROUNDUP(SUM(F474:G474)*((100+H474*100)%),0),"")</f>
        <v/>
      </c>
      <c r="J474" s="129"/>
      <c r="K474" s="129"/>
    </row>
    <row r="475" customFormat="false" ht="12.75" hidden="false" customHeight="true" outlineLevel="0" collapsed="false">
      <c r="A475" s="121" t="str">
        <f aca="false">IF(B475="","",CONCATENATE(COUNTA(B$4:B475),"."))</f>
        <v/>
      </c>
      <c r="B475" s="126"/>
      <c r="C475" s="126"/>
      <c r="D475" s="126"/>
      <c r="E475" s="127"/>
      <c r="F475" s="127"/>
      <c r="G475" s="127"/>
      <c r="H475" s="130"/>
      <c r="I475" s="123" t="str">
        <f aca="false">IF(COUNTBLANK(E475:H475)&lt;1,ROUNDUP(SUM(F475:G475)*((100+H475*100)%),0),"")</f>
        <v/>
      </c>
      <c r="J475" s="129"/>
      <c r="K475" s="129"/>
    </row>
    <row r="476" customFormat="false" ht="12.75" hidden="false" customHeight="true" outlineLevel="0" collapsed="false">
      <c r="A476" s="121" t="str">
        <f aca="false">IF(B476="","",CONCATENATE(COUNTA(B$4:B476),"."))</f>
        <v/>
      </c>
      <c r="B476" s="126"/>
      <c r="C476" s="126"/>
      <c r="D476" s="126"/>
      <c r="E476" s="127"/>
      <c r="F476" s="127"/>
      <c r="G476" s="127"/>
      <c r="H476" s="130"/>
      <c r="I476" s="123" t="str">
        <f aca="false">IF(COUNTBLANK(E476:H476)&lt;1,ROUNDUP(SUM(F476:G476)*((100+H476*100)%),0),"")</f>
        <v/>
      </c>
      <c r="J476" s="129"/>
      <c r="K476" s="129"/>
    </row>
    <row r="477" customFormat="false" ht="12.75" hidden="false" customHeight="true" outlineLevel="0" collapsed="false">
      <c r="A477" s="121" t="str">
        <f aca="false">IF(B477="","",CONCATENATE(COUNTA(B$4:B477),"."))</f>
        <v/>
      </c>
      <c r="B477" s="126"/>
      <c r="C477" s="126"/>
      <c r="D477" s="126"/>
      <c r="E477" s="127"/>
      <c r="F477" s="127"/>
      <c r="G477" s="127"/>
      <c r="H477" s="130"/>
      <c r="I477" s="123" t="str">
        <f aca="false">IF(COUNTBLANK(E477:H477)&lt;1,ROUNDUP(SUM(F477:G477)*((100+H477*100)%),0),"")</f>
        <v/>
      </c>
      <c r="J477" s="129"/>
      <c r="K477" s="129"/>
    </row>
    <row r="478" customFormat="false" ht="12.75" hidden="false" customHeight="true" outlineLevel="0" collapsed="false">
      <c r="A478" s="121" t="str">
        <f aca="false">IF(B478="","",CONCATENATE(COUNTA(B$4:B478),"."))</f>
        <v/>
      </c>
      <c r="B478" s="126"/>
      <c r="C478" s="126"/>
      <c r="D478" s="126"/>
      <c r="E478" s="127"/>
      <c r="F478" s="127"/>
      <c r="G478" s="127"/>
      <c r="H478" s="130"/>
      <c r="I478" s="123" t="str">
        <f aca="false">IF(COUNTBLANK(E478:H478)&lt;1,ROUNDUP(SUM(F478:G478)*((100+H478*100)%),0),"")</f>
        <v/>
      </c>
      <c r="J478" s="129"/>
      <c r="K478" s="129"/>
    </row>
    <row r="479" customFormat="false" ht="12.75" hidden="false" customHeight="true" outlineLevel="0" collapsed="false">
      <c r="A479" s="121" t="str">
        <f aca="false">IF(B479="","",CONCATENATE(COUNTA(B$4:B479),"."))</f>
        <v/>
      </c>
      <c r="B479" s="126"/>
      <c r="C479" s="126"/>
      <c r="D479" s="126"/>
      <c r="E479" s="127"/>
      <c r="F479" s="127"/>
      <c r="G479" s="127"/>
      <c r="H479" s="130"/>
      <c r="I479" s="123" t="str">
        <f aca="false">IF(COUNTBLANK(E479:H479)&lt;1,ROUNDUP(SUM(F479:G479)*((100+H479*100)%),0),"")</f>
        <v/>
      </c>
      <c r="J479" s="129"/>
      <c r="K479" s="129"/>
    </row>
    <row r="480" customFormat="false" ht="12.75" hidden="false" customHeight="true" outlineLevel="0" collapsed="false">
      <c r="A480" s="121" t="str">
        <f aca="false">IF(B480="","",CONCATENATE(COUNTA(B$4:B480),"."))</f>
        <v/>
      </c>
      <c r="B480" s="126"/>
      <c r="C480" s="126"/>
      <c r="D480" s="126"/>
      <c r="E480" s="127"/>
      <c r="F480" s="127"/>
      <c r="G480" s="127"/>
      <c r="H480" s="130"/>
      <c r="I480" s="123" t="str">
        <f aca="false">IF(COUNTBLANK(E480:H480)&lt;1,ROUNDUP(SUM(F480:G480)*((100+H480*100)%),0),"")</f>
        <v/>
      </c>
      <c r="J480" s="129"/>
      <c r="K480" s="129"/>
    </row>
    <row r="481" customFormat="false" ht="12.75" hidden="false" customHeight="true" outlineLevel="0" collapsed="false">
      <c r="A481" s="121" t="str">
        <f aca="false">IF(B481="","",CONCATENATE(COUNTA(B$4:B481),"."))</f>
        <v/>
      </c>
      <c r="B481" s="126"/>
      <c r="C481" s="126"/>
      <c r="D481" s="126"/>
      <c r="E481" s="127"/>
      <c r="F481" s="127"/>
      <c r="G481" s="127"/>
      <c r="H481" s="130"/>
      <c r="I481" s="123" t="str">
        <f aca="false">IF(COUNTBLANK(E481:H481)&lt;1,ROUNDUP(SUM(F481:G481)*((100+H481*100)%),0),"")</f>
        <v/>
      </c>
      <c r="J481" s="129"/>
      <c r="K481" s="129"/>
    </row>
    <row r="482" customFormat="false" ht="12.75" hidden="false" customHeight="true" outlineLevel="0" collapsed="false">
      <c r="A482" s="121" t="str">
        <f aca="false">IF(B482="","",CONCATENATE(COUNTA(B$4:B482),"."))</f>
        <v/>
      </c>
      <c r="B482" s="126"/>
      <c r="C482" s="126"/>
      <c r="D482" s="126"/>
      <c r="E482" s="127"/>
      <c r="F482" s="127"/>
      <c r="G482" s="127"/>
      <c r="H482" s="130"/>
      <c r="I482" s="123" t="str">
        <f aca="false">IF(COUNTBLANK(E482:H482)&lt;1,ROUNDUP(SUM(F482:G482)*((100+H482*100)%),0),"")</f>
        <v/>
      </c>
      <c r="J482" s="129"/>
      <c r="K482" s="129"/>
    </row>
    <row r="483" customFormat="false" ht="12.75" hidden="false" customHeight="true" outlineLevel="0" collapsed="false">
      <c r="A483" s="121" t="str">
        <f aca="false">IF(B483="","",CONCATENATE(COUNTA(B$4:B483),"."))</f>
        <v/>
      </c>
      <c r="B483" s="126"/>
      <c r="C483" s="126"/>
      <c r="D483" s="126"/>
      <c r="E483" s="127"/>
      <c r="F483" s="127"/>
      <c r="G483" s="127"/>
      <c r="H483" s="130"/>
      <c r="I483" s="123" t="str">
        <f aca="false">IF(COUNTBLANK(E483:H483)&lt;1,ROUNDUP(SUM(F483:G483)*((100+H483*100)%),0),"")</f>
        <v/>
      </c>
      <c r="J483" s="129"/>
      <c r="K483" s="129"/>
    </row>
    <row r="484" customFormat="false" ht="12.75" hidden="false" customHeight="true" outlineLevel="0" collapsed="false">
      <c r="A484" s="121" t="str">
        <f aca="false">IF(B484="","",CONCATENATE(COUNTA(B$4:B484),"."))</f>
        <v/>
      </c>
      <c r="B484" s="126"/>
      <c r="C484" s="126"/>
      <c r="D484" s="126"/>
      <c r="E484" s="127"/>
      <c r="F484" s="127"/>
      <c r="G484" s="127"/>
      <c r="H484" s="130"/>
      <c r="I484" s="123" t="str">
        <f aca="false">IF(COUNTBLANK(E484:H484)&lt;1,ROUNDUP(SUM(F484:G484)*((100+H484*100)%),0),"")</f>
        <v/>
      </c>
      <c r="J484" s="129"/>
      <c r="K484" s="129"/>
    </row>
    <row r="485" customFormat="false" ht="12.75" hidden="false" customHeight="true" outlineLevel="0" collapsed="false">
      <c r="A485" s="121" t="str">
        <f aca="false">IF(B485="","",CONCATENATE(COUNTA(B$4:B485),"."))</f>
        <v/>
      </c>
      <c r="B485" s="126"/>
      <c r="C485" s="126"/>
      <c r="D485" s="126"/>
      <c r="E485" s="127"/>
      <c r="F485" s="127"/>
      <c r="G485" s="127"/>
      <c r="H485" s="130"/>
      <c r="I485" s="123" t="str">
        <f aca="false">IF(COUNTBLANK(E485:H485)&lt;1,ROUNDUP(SUM(F485:G485)*((100+H485*100)%),0),"")</f>
        <v/>
      </c>
      <c r="J485" s="129"/>
      <c r="K485" s="129"/>
    </row>
    <row r="486" customFormat="false" ht="12.75" hidden="false" customHeight="true" outlineLevel="0" collapsed="false">
      <c r="A486" s="121" t="str">
        <f aca="false">IF(B486="","",CONCATENATE(COUNTA(B$4:B486),"."))</f>
        <v/>
      </c>
      <c r="B486" s="126"/>
      <c r="C486" s="126"/>
      <c r="D486" s="126"/>
      <c r="E486" s="127"/>
      <c r="F486" s="127"/>
      <c r="G486" s="127"/>
      <c r="H486" s="130"/>
      <c r="I486" s="123" t="str">
        <f aca="false">IF(COUNTBLANK(E486:H486)&lt;1,ROUNDUP(SUM(F486:G486)*((100+H486*100)%),0),"")</f>
        <v/>
      </c>
      <c r="J486" s="129"/>
      <c r="K486" s="129"/>
    </row>
    <row r="487" customFormat="false" ht="12.75" hidden="false" customHeight="true" outlineLevel="0" collapsed="false">
      <c r="A487" s="121" t="str">
        <f aca="false">IF(B487="","",CONCATENATE(COUNTA(B$4:B487),"."))</f>
        <v/>
      </c>
      <c r="B487" s="126"/>
      <c r="C487" s="126"/>
      <c r="D487" s="126"/>
      <c r="E487" s="127"/>
      <c r="F487" s="127"/>
      <c r="G487" s="127"/>
      <c r="H487" s="130"/>
      <c r="I487" s="123" t="str">
        <f aca="false">IF(COUNTBLANK(E487:H487)&lt;1,ROUNDUP(SUM(F487:G487)*((100+H487*100)%),0),"")</f>
        <v/>
      </c>
      <c r="J487" s="129"/>
      <c r="K487" s="129"/>
    </row>
    <row r="488" customFormat="false" ht="12.75" hidden="false" customHeight="true" outlineLevel="0" collapsed="false">
      <c r="A488" s="121" t="str">
        <f aca="false">IF(B488="","",CONCATENATE(COUNTA(B$4:B488),"."))</f>
        <v/>
      </c>
      <c r="B488" s="126"/>
      <c r="C488" s="126"/>
      <c r="D488" s="126"/>
      <c r="E488" s="127"/>
      <c r="F488" s="127"/>
      <c r="G488" s="127"/>
      <c r="H488" s="130"/>
      <c r="I488" s="123" t="str">
        <f aca="false">IF(COUNTBLANK(E488:H488)&lt;1,ROUNDUP(SUM(F488:G488)*((100+H488*100)%),0),"")</f>
        <v/>
      </c>
      <c r="J488" s="129"/>
      <c r="K488" s="129"/>
    </row>
    <row r="489" customFormat="false" ht="12.75" hidden="false" customHeight="true" outlineLevel="0" collapsed="false">
      <c r="A489" s="121" t="str">
        <f aca="false">IF(B489="","",CONCATENATE(COUNTA(B$4:B489),"."))</f>
        <v/>
      </c>
      <c r="B489" s="126"/>
      <c r="C489" s="126"/>
      <c r="D489" s="126"/>
      <c r="E489" s="127"/>
      <c r="F489" s="127"/>
      <c r="G489" s="127"/>
      <c r="H489" s="130"/>
      <c r="I489" s="123" t="str">
        <f aca="false">IF(COUNTBLANK(E489:H489)&lt;1,ROUNDUP(SUM(F489:G489)*((100+H489*100)%),0),"")</f>
        <v/>
      </c>
      <c r="J489" s="129"/>
      <c r="K489" s="129"/>
    </row>
    <row r="490" customFormat="false" ht="12.75" hidden="false" customHeight="true" outlineLevel="0" collapsed="false">
      <c r="A490" s="121" t="str">
        <f aca="false">IF(B490="","",CONCATENATE(COUNTA(B$4:B490),"."))</f>
        <v/>
      </c>
      <c r="B490" s="126"/>
      <c r="C490" s="126"/>
      <c r="D490" s="126"/>
      <c r="E490" s="127"/>
      <c r="F490" s="127"/>
      <c r="G490" s="127"/>
      <c r="H490" s="130"/>
      <c r="I490" s="123" t="str">
        <f aca="false">IF(COUNTBLANK(E490:H490)&lt;1,ROUNDUP(SUM(F490:G490)*((100+H490*100)%),0),"")</f>
        <v/>
      </c>
      <c r="J490" s="129"/>
      <c r="K490" s="129"/>
    </row>
    <row r="491" customFormat="false" ht="12.75" hidden="false" customHeight="true" outlineLevel="0" collapsed="false">
      <c r="A491" s="121" t="str">
        <f aca="false">IF(B491="","",CONCATENATE(COUNTA(B$4:B491),"."))</f>
        <v/>
      </c>
      <c r="B491" s="126"/>
      <c r="C491" s="126"/>
      <c r="D491" s="126"/>
      <c r="E491" s="127"/>
      <c r="F491" s="127"/>
      <c r="G491" s="127"/>
      <c r="H491" s="130"/>
      <c r="I491" s="123" t="str">
        <f aca="false">IF(COUNTBLANK(E491:H491)&lt;1,ROUNDUP(SUM(F491:G491)*((100+H491*100)%),0),"")</f>
        <v/>
      </c>
      <c r="J491" s="129"/>
      <c r="K491" s="129"/>
    </row>
    <row r="492" customFormat="false" ht="12.75" hidden="false" customHeight="true" outlineLevel="0" collapsed="false">
      <c r="A492" s="121" t="str">
        <f aca="false">IF(B492="","",CONCATENATE(COUNTA(B$4:B492),"."))</f>
        <v/>
      </c>
      <c r="B492" s="126"/>
      <c r="C492" s="126"/>
      <c r="D492" s="126"/>
      <c r="E492" s="127"/>
      <c r="F492" s="127"/>
      <c r="G492" s="127"/>
      <c r="H492" s="130"/>
      <c r="I492" s="123" t="str">
        <f aca="false">IF(COUNTBLANK(E492:H492)&lt;1,ROUNDUP(SUM(F492:G492)*((100+H492*100)%),0),"")</f>
        <v/>
      </c>
      <c r="J492" s="129"/>
      <c r="K492" s="129"/>
    </row>
    <row r="493" customFormat="false" ht="12.75" hidden="false" customHeight="true" outlineLevel="0" collapsed="false">
      <c r="A493" s="121" t="str">
        <f aca="false">IF(B493="","",CONCATENATE(COUNTA(B$4:B493),"."))</f>
        <v/>
      </c>
      <c r="B493" s="126"/>
      <c r="C493" s="126"/>
      <c r="D493" s="126"/>
      <c r="E493" s="127"/>
      <c r="F493" s="127"/>
      <c r="G493" s="127"/>
      <c r="H493" s="130"/>
      <c r="I493" s="123" t="str">
        <f aca="false">IF(COUNTBLANK(E493:H493)&lt;1,ROUNDUP(SUM(F493:G493)*((100+H493*100)%),0),"")</f>
        <v/>
      </c>
      <c r="J493" s="129"/>
      <c r="K493" s="129"/>
    </row>
    <row r="494" customFormat="false" ht="12.75" hidden="false" customHeight="true" outlineLevel="0" collapsed="false">
      <c r="A494" s="121" t="str">
        <f aca="false">IF(B494="","",CONCATENATE(COUNTA(B$4:B494),"."))</f>
        <v/>
      </c>
      <c r="B494" s="126"/>
      <c r="C494" s="126"/>
      <c r="D494" s="126"/>
      <c r="E494" s="127"/>
      <c r="F494" s="127"/>
      <c r="G494" s="127"/>
      <c r="H494" s="130"/>
      <c r="I494" s="123" t="str">
        <f aca="false">IF(COUNTBLANK(E494:H494)&lt;1,ROUNDUP(SUM(F494:G494)*((100+H494*100)%),0),"")</f>
        <v/>
      </c>
      <c r="J494" s="129"/>
      <c r="K494" s="129"/>
    </row>
    <row r="495" customFormat="false" ht="12.75" hidden="false" customHeight="true" outlineLevel="0" collapsed="false">
      <c r="A495" s="121" t="str">
        <f aca="false">IF(B495="","",CONCATENATE(COUNTA(B$4:B495),"."))</f>
        <v/>
      </c>
      <c r="B495" s="126"/>
      <c r="C495" s="126"/>
      <c r="D495" s="126"/>
      <c r="E495" s="127"/>
      <c r="F495" s="127"/>
      <c r="G495" s="127"/>
      <c r="H495" s="130"/>
      <c r="I495" s="123" t="str">
        <f aca="false">IF(COUNTBLANK(E495:H495)&lt;1,ROUNDUP(SUM(F495:G495)*((100+H495*100)%),0),"")</f>
        <v/>
      </c>
      <c r="J495" s="129"/>
      <c r="K495" s="129"/>
    </row>
    <row r="496" customFormat="false" ht="12.75" hidden="false" customHeight="true" outlineLevel="0" collapsed="false">
      <c r="A496" s="121" t="str">
        <f aca="false">IF(B496="","",CONCATENATE(COUNTA(B$4:B496),"."))</f>
        <v/>
      </c>
      <c r="B496" s="126"/>
      <c r="C496" s="126"/>
      <c r="D496" s="126"/>
      <c r="E496" s="127"/>
      <c r="F496" s="127"/>
      <c r="G496" s="127"/>
      <c r="H496" s="130"/>
      <c r="I496" s="123" t="str">
        <f aca="false">IF(COUNTBLANK(E496:H496)&lt;1,ROUNDUP(SUM(F496:G496)*((100+H496*100)%),0),"")</f>
        <v/>
      </c>
      <c r="J496" s="129"/>
      <c r="K496" s="129"/>
    </row>
    <row r="497" customFormat="false" ht="12.75" hidden="false" customHeight="true" outlineLevel="0" collapsed="false">
      <c r="A497" s="121" t="str">
        <f aca="false">IF(B497="","",CONCATENATE(COUNTA(B$4:B497),"."))</f>
        <v/>
      </c>
      <c r="B497" s="126"/>
      <c r="C497" s="126"/>
      <c r="D497" s="126"/>
      <c r="E497" s="127"/>
      <c r="F497" s="127"/>
      <c r="G497" s="127"/>
      <c r="H497" s="130"/>
      <c r="I497" s="123" t="str">
        <f aca="false">IF(COUNTBLANK(E497:H497)&lt;1,ROUNDUP(SUM(F497:G497)*((100+H497*100)%),0),"")</f>
        <v/>
      </c>
      <c r="J497" s="129"/>
      <c r="K497" s="129"/>
    </row>
    <row r="498" customFormat="false" ht="12.75" hidden="false" customHeight="true" outlineLevel="0" collapsed="false">
      <c r="A498" s="121" t="str">
        <f aca="false">IF(B498="","",CONCATENATE(COUNTA(B$4:B498),"."))</f>
        <v/>
      </c>
      <c r="B498" s="126"/>
      <c r="C498" s="126"/>
      <c r="D498" s="126"/>
      <c r="E498" s="127"/>
      <c r="F498" s="127"/>
      <c r="G498" s="127"/>
      <c r="H498" s="130"/>
      <c r="I498" s="123" t="str">
        <f aca="false">IF(COUNTBLANK(E498:H498)&lt;1,ROUNDUP(SUM(F498:G498)*((100+H498*100)%),0),"")</f>
        <v/>
      </c>
      <c r="J498" s="129"/>
      <c r="K498" s="129"/>
    </row>
    <row r="499" customFormat="false" ht="12.75" hidden="false" customHeight="true" outlineLevel="0" collapsed="false">
      <c r="A499" s="121" t="str">
        <f aca="false">IF(B499="","",CONCATENATE(COUNTA(B$4:B499),"."))</f>
        <v/>
      </c>
      <c r="B499" s="126"/>
      <c r="C499" s="126"/>
      <c r="D499" s="126"/>
      <c r="E499" s="127"/>
      <c r="F499" s="127"/>
      <c r="G499" s="127"/>
      <c r="H499" s="130"/>
      <c r="I499" s="123" t="str">
        <f aca="false">IF(COUNTBLANK(E499:H499)&lt;1,ROUNDUP(SUM(F499:G499)*((100+H499*100)%),0),"")</f>
        <v/>
      </c>
      <c r="J499" s="129"/>
      <c r="K499" s="129"/>
    </row>
    <row r="500" customFormat="false" ht="12.75" hidden="false" customHeight="true" outlineLevel="0" collapsed="false">
      <c r="A500" s="121" t="str">
        <f aca="false">IF(B500="","",CONCATENATE(COUNTA(B$4:B500),"."))</f>
        <v/>
      </c>
      <c r="B500" s="126"/>
      <c r="C500" s="126"/>
      <c r="D500" s="126"/>
      <c r="E500" s="127"/>
      <c r="F500" s="127"/>
      <c r="G500" s="127"/>
      <c r="H500" s="130"/>
      <c r="I500" s="123" t="str">
        <f aca="false">IF(COUNTBLANK(E500:H500)&lt;1,ROUNDUP(SUM(F500:G500)*((100+H500*100)%),0),"")</f>
        <v/>
      </c>
      <c r="J500" s="129"/>
      <c r="K500" s="129"/>
    </row>
    <row r="501" customFormat="false" ht="12.75" hidden="false" customHeight="true" outlineLevel="0" collapsed="false">
      <c r="A501" s="121" t="str">
        <f aca="false">IF(B501="","",CONCATENATE(COUNTA(B$4:B501),"."))</f>
        <v/>
      </c>
      <c r="B501" s="126"/>
      <c r="C501" s="126"/>
      <c r="D501" s="126"/>
      <c r="E501" s="127"/>
      <c r="F501" s="127"/>
      <c r="G501" s="127"/>
      <c r="H501" s="130"/>
      <c r="I501" s="123" t="str">
        <f aca="false">IF(COUNTBLANK(E501:H501)&lt;1,ROUNDUP(SUM(F501:G501)*((100+H501*100)%),0),"")</f>
        <v/>
      </c>
      <c r="J501" s="129"/>
      <c r="K501" s="129"/>
    </row>
    <row r="502" customFormat="false" ht="12.75" hidden="false" customHeight="true" outlineLevel="0" collapsed="false">
      <c r="A502" s="121" t="str">
        <f aca="false">IF(B502="","",CONCATENATE(COUNTA(B$4:B502),"."))</f>
        <v/>
      </c>
      <c r="B502" s="126"/>
      <c r="C502" s="126"/>
      <c r="D502" s="126"/>
      <c r="E502" s="127"/>
      <c r="F502" s="127"/>
      <c r="G502" s="127"/>
      <c r="H502" s="130"/>
      <c r="I502" s="123" t="str">
        <f aca="false">IF(COUNTBLANK(E502:H502)&lt;1,ROUNDUP(SUM(F502:G502)*((100+H502*100)%),0),"")</f>
        <v/>
      </c>
      <c r="J502" s="129"/>
      <c r="K502" s="129"/>
    </row>
    <row r="503" customFormat="false" ht="12.75" hidden="false" customHeight="true" outlineLevel="0" collapsed="false">
      <c r="A503" s="121" t="str">
        <f aca="false">IF(B503="","",CONCATENATE(COUNTA(B$4:B503),"."))</f>
        <v/>
      </c>
      <c r="B503" s="126"/>
      <c r="C503" s="126"/>
      <c r="D503" s="126"/>
      <c r="E503" s="127"/>
      <c r="F503" s="127"/>
      <c r="G503" s="127"/>
      <c r="H503" s="130"/>
      <c r="I503" s="123" t="str">
        <f aca="false">IF(COUNTBLANK(E503:H503)&lt;1,ROUNDUP(SUM(F503:G503)*((100+H503*100)%),0),"")</f>
        <v/>
      </c>
      <c r="J503" s="129"/>
      <c r="K503" s="129"/>
    </row>
    <row r="504" customFormat="false" ht="12.75" hidden="false" customHeight="true" outlineLevel="0" collapsed="false">
      <c r="A504" s="121" t="str">
        <f aca="false">IF(B504="","",CONCATENATE(COUNTA(B$4:B504),"."))</f>
        <v/>
      </c>
      <c r="B504" s="126"/>
      <c r="C504" s="126"/>
      <c r="D504" s="126"/>
      <c r="E504" s="127"/>
      <c r="F504" s="127"/>
      <c r="G504" s="127"/>
      <c r="H504" s="130"/>
      <c r="I504" s="123" t="str">
        <f aca="false">IF(COUNTBLANK(E504:H504)&lt;1,ROUNDUP(SUM(F504:G504)*((100+H504*100)%),0),"")</f>
        <v/>
      </c>
      <c r="J504" s="129"/>
      <c r="K504" s="129"/>
    </row>
    <row r="505" customFormat="false" ht="12.75" hidden="false" customHeight="true" outlineLevel="0" collapsed="false">
      <c r="A505" s="121" t="str">
        <f aca="false">IF(B505="","",CONCATENATE(COUNTA(B$4:B505),"."))</f>
        <v/>
      </c>
      <c r="B505" s="126"/>
      <c r="C505" s="126"/>
      <c r="D505" s="126"/>
      <c r="E505" s="127"/>
      <c r="F505" s="127"/>
      <c r="G505" s="127"/>
      <c r="H505" s="130"/>
      <c r="I505" s="123" t="str">
        <f aca="false">IF(COUNTBLANK(E505:H505)&lt;1,ROUNDUP(SUM(F505:G505)*((100+H505*100)%),0),"")</f>
        <v/>
      </c>
      <c r="J505" s="129"/>
      <c r="K505" s="129"/>
    </row>
    <row r="506" customFormat="false" ht="12.75" hidden="false" customHeight="true" outlineLevel="0" collapsed="false">
      <c r="A506" s="121" t="str">
        <f aca="false">IF(B506="","",CONCATENATE(COUNTA(B$4:B506),"."))</f>
        <v/>
      </c>
      <c r="B506" s="126"/>
      <c r="C506" s="126"/>
      <c r="D506" s="126"/>
      <c r="E506" s="127"/>
      <c r="F506" s="127"/>
      <c r="G506" s="127"/>
      <c r="H506" s="130"/>
      <c r="I506" s="123" t="str">
        <f aca="false">IF(COUNTBLANK(E506:H506)&lt;1,ROUNDUP(SUM(F506:G506)*((100+H506*100)%),0),"")</f>
        <v/>
      </c>
      <c r="J506" s="129"/>
      <c r="K506" s="129"/>
    </row>
    <row r="507" customFormat="false" ht="12.75" hidden="false" customHeight="true" outlineLevel="0" collapsed="false">
      <c r="A507" s="121" t="str">
        <f aca="false">IF(B507="","",CONCATENATE(COUNTA(B$4:B507),"."))</f>
        <v/>
      </c>
      <c r="B507" s="126"/>
      <c r="C507" s="126"/>
      <c r="D507" s="126"/>
      <c r="E507" s="127"/>
      <c r="F507" s="127"/>
      <c r="G507" s="127"/>
      <c r="H507" s="130"/>
      <c r="I507" s="123" t="str">
        <f aca="false">IF(COUNTBLANK(E507:H507)&lt;1,ROUNDUP(SUM(F507:G507)*((100+H507*100)%),0),"")</f>
        <v/>
      </c>
      <c r="J507" s="129"/>
      <c r="K507" s="129"/>
    </row>
    <row r="508" customFormat="false" ht="12.75" hidden="false" customHeight="true" outlineLevel="0" collapsed="false">
      <c r="A508" s="121" t="str">
        <f aca="false">IF(B508="","",CONCATENATE(COUNTA(B$4:B508),"."))</f>
        <v/>
      </c>
      <c r="B508" s="126"/>
      <c r="C508" s="126"/>
      <c r="D508" s="126"/>
      <c r="E508" s="127"/>
      <c r="F508" s="127"/>
      <c r="G508" s="127"/>
      <c r="H508" s="130"/>
      <c r="I508" s="123" t="str">
        <f aca="false">IF(COUNTBLANK(E508:H508)&lt;1,ROUNDUP(SUM(F508:G508)*((100+H508*100)%),0),"")</f>
        <v/>
      </c>
      <c r="J508" s="129"/>
      <c r="K508" s="129"/>
    </row>
    <row r="509" customFormat="false" ht="12.75" hidden="false" customHeight="true" outlineLevel="0" collapsed="false">
      <c r="A509" s="121" t="str">
        <f aca="false">IF(B509="","",CONCATENATE(COUNTA(B$4:B509),"."))</f>
        <v/>
      </c>
      <c r="B509" s="126"/>
      <c r="C509" s="126"/>
      <c r="D509" s="126"/>
      <c r="E509" s="127"/>
      <c r="F509" s="127"/>
      <c r="G509" s="127"/>
      <c r="H509" s="130"/>
      <c r="I509" s="123" t="str">
        <f aca="false">IF(COUNTBLANK(E509:H509)&lt;1,ROUNDUP(SUM(F509:G509)*((100+H509*100)%),0),"")</f>
        <v/>
      </c>
      <c r="J509" s="129"/>
      <c r="K509" s="129"/>
    </row>
    <row r="510" customFormat="false" ht="12.75" hidden="false" customHeight="true" outlineLevel="0" collapsed="false">
      <c r="A510" s="121" t="str">
        <f aca="false">IF(B510="","",CONCATENATE(COUNTA(B$4:B510),"."))</f>
        <v/>
      </c>
      <c r="B510" s="126"/>
      <c r="C510" s="126"/>
      <c r="D510" s="126"/>
      <c r="E510" s="127"/>
      <c r="F510" s="127"/>
      <c r="G510" s="127"/>
      <c r="H510" s="130"/>
      <c r="I510" s="123" t="str">
        <f aca="false">IF(COUNTBLANK(E510:H510)&lt;1,ROUNDUP(SUM(F510:G510)*((100+H510*100)%),0),"")</f>
        <v/>
      </c>
      <c r="J510" s="129"/>
      <c r="K510" s="129"/>
    </row>
    <row r="511" customFormat="false" ht="12.75" hidden="false" customHeight="true" outlineLevel="0" collapsed="false">
      <c r="A511" s="121" t="str">
        <f aca="false">IF(B511="","",CONCATENATE(COUNTA(B$4:B511),"."))</f>
        <v/>
      </c>
      <c r="B511" s="126"/>
      <c r="C511" s="126"/>
      <c r="D511" s="126"/>
      <c r="E511" s="127"/>
      <c r="F511" s="127"/>
      <c r="G511" s="127"/>
      <c r="H511" s="130"/>
      <c r="I511" s="123" t="str">
        <f aca="false">IF(COUNTBLANK(E511:H511)&lt;1,ROUNDUP(SUM(F511:G511)*((100+H511*100)%),0),"")</f>
        <v/>
      </c>
      <c r="J511" s="129"/>
      <c r="K511" s="129"/>
    </row>
    <row r="512" customFormat="false" ht="12.75" hidden="false" customHeight="true" outlineLevel="0" collapsed="false">
      <c r="A512" s="121" t="str">
        <f aca="false">IF(B512="","",CONCATENATE(COUNTA(B$4:B512),"."))</f>
        <v/>
      </c>
      <c r="B512" s="126"/>
      <c r="C512" s="126"/>
      <c r="D512" s="126"/>
      <c r="E512" s="127"/>
      <c r="F512" s="127"/>
      <c r="G512" s="127"/>
      <c r="H512" s="130"/>
      <c r="I512" s="123" t="str">
        <f aca="false">IF(COUNTBLANK(E512:H512)&lt;1,ROUNDUP(SUM(F512:G512)*((100+H512*100)%),0),"")</f>
        <v/>
      </c>
      <c r="J512" s="129"/>
      <c r="K512" s="129"/>
    </row>
    <row r="513" customFormat="false" ht="12.75" hidden="false" customHeight="true" outlineLevel="0" collapsed="false">
      <c r="A513" s="121" t="str">
        <f aca="false">IF(B513="","",CONCATENATE(COUNTA(B$4:B513),"."))</f>
        <v/>
      </c>
      <c r="B513" s="126"/>
      <c r="C513" s="126"/>
      <c r="D513" s="126"/>
      <c r="E513" s="127"/>
      <c r="F513" s="127"/>
      <c r="G513" s="127"/>
      <c r="H513" s="130"/>
      <c r="I513" s="123" t="str">
        <f aca="false">IF(COUNTBLANK(E513:H513)&lt;1,ROUNDUP(SUM(F513:G513)*((100+H513*100)%),0),"")</f>
        <v/>
      </c>
      <c r="J513" s="129"/>
      <c r="K513" s="129"/>
    </row>
    <row r="514" customFormat="false" ht="12.75" hidden="false" customHeight="true" outlineLevel="0" collapsed="false">
      <c r="A514" s="121" t="str">
        <f aca="false">IF(B514="","",CONCATENATE(COUNTA(B$4:B514),"."))</f>
        <v/>
      </c>
      <c r="B514" s="126"/>
      <c r="C514" s="126"/>
      <c r="D514" s="126"/>
      <c r="E514" s="127"/>
      <c r="F514" s="127"/>
      <c r="G514" s="127"/>
      <c r="H514" s="130"/>
      <c r="I514" s="123" t="str">
        <f aca="false">IF(COUNTBLANK(E514:H514)&lt;1,ROUNDUP(SUM(F514:G514)*((100+H514*100)%),0),"")</f>
        <v/>
      </c>
      <c r="J514" s="129"/>
      <c r="K514" s="129"/>
    </row>
    <row r="515" customFormat="false" ht="12.75" hidden="false" customHeight="true" outlineLevel="0" collapsed="false">
      <c r="A515" s="121" t="str">
        <f aca="false">IF(B515="","",CONCATENATE(COUNTA(B$4:B515),"."))</f>
        <v/>
      </c>
      <c r="B515" s="126"/>
      <c r="C515" s="126"/>
      <c r="D515" s="126"/>
      <c r="E515" s="127"/>
      <c r="F515" s="127"/>
      <c r="G515" s="127"/>
      <c r="H515" s="130"/>
      <c r="I515" s="123" t="str">
        <f aca="false">IF(COUNTBLANK(E515:H515)&lt;1,ROUNDUP(SUM(F515:G515)*((100+H515*100)%),0),"")</f>
        <v/>
      </c>
      <c r="J515" s="129"/>
      <c r="K515" s="129"/>
    </row>
    <row r="516" customFormat="false" ht="12.75" hidden="false" customHeight="true" outlineLevel="0" collapsed="false">
      <c r="A516" s="121" t="str">
        <f aca="false">IF(B516="","",CONCATENATE(COUNTA(B$4:B516),"."))</f>
        <v/>
      </c>
      <c r="B516" s="126"/>
      <c r="C516" s="126"/>
      <c r="D516" s="126"/>
      <c r="E516" s="127"/>
      <c r="F516" s="127"/>
      <c r="G516" s="127"/>
      <c r="H516" s="130"/>
      <c r="I516" s="123" t="str">
        <f aca="false">IF(COUNTBLANK(E516:H516)&lt;1,ROUNDUP(SUM(F516:G516)*((100+H516*100)%),0),"")</f>
        <v/>
      </c>
      <c r="J516" s="129"/>
      <c r="K516" s="129"/>
    </row>
    <row r="517" customFormat="false" ht="12.75" hidden="false" customHeight="true" outlineLevel="0" collapsed="false">
      <c r="A517" s="121" t="str">
        <f aca="false">IF(B517="","",CONCATENATE(COUNTA(B$4:B517),"."))</f>
        <v/>
      </c>
      <c r="B517" s="126"/>
      <c r="C517" s="126"/>
      <c r="D517" s="126"/>
      <c r="E517" s="127"/>
      <c r="F517" s="127"/>
      <c r="G517" s="127"/>
      <c r="H517" s="130"/>
      <c r="I517" s="123" t="str">
        <f aca="false">IF(COUNTBLANK(E517:H517)&lt;1,ROUNDUP(SUM(F517:G517)*((100+H517*100)%),0),"")</f>
        <v/>
      </c>
      <c r="J517" s="129"/>
      <c r="K517" s="129"/>
    </row>
    <row r="518" customFormat="false" ht="12.75" hidden="false" customHeight="true" outlineLevel="0" collapsed="false">
      <c r="A518" s="121" t="str">
        <f aca="false">IF(B518="","",CONCATENATE(COUNTA(B$4:B518),"."))</f>
        <v/>
      </c>
      <c r="B518" s="126"/>
      <c r="C518" s="126"/>
      <c r="D518" s="126"/>
      <c r="E518" s="127"/>
      <c r="F518" s="127"/>
      <c r="G518" s="127"/>
      <c r="H518" s="130"/>
      <c r="I518" s="123" t="str">
        <f aca="false">IF(COUNTBLANK(E518:H518)&lt;1,ROUNDUP(SUM(F518:G518)*((100+H518*100)%),0),"")</f>
        <v/>
      </c>
      <c r="J518" s="129"/>
      <c r="K518" s="129"/>
    </row>
    <row r="519" customFormat="false" ht="12.75" hidden="false" customHeight="true" outlineLevel="0" collapsed="false">
      <c r="A519" s="121" t="str">
        <f aca="false">IF(B519="","",CONCATENATE(COUNTA(B$4:B519),"."))</f>
        <v/>
      </c>
      <c r="B519" s="126"/>
      <c r="C519" s="126"/>
      <c r="D519" s="126"/>
      <c r="E519" s="127"/>
      <c r="F519" s="127"/>
      <c r="G519" s="127"/>
      <c r="H519" s="130"/>
      <c r="I519" s="123" t="str">
        <f aca="false">IF(COUNTBLANK(E519:H519)&lt;1,ROUNDUP(SUM(F519:G519)*((100+H519*100)%),0),"")</f>
        <v/>
      </c>
      <c r="J519" s="129"/>
      <c r="K519" s="129"/>
    </row>
    <row r="520" customFormat="false" ht="12.75" hidden="false" customHeight="true" outlineLevel="0" collapsed="false">
      <c r="A520" s="121" t="str">
        <f aca="false">IF(B520="","",CONCATENATE(COUNTA(B$4:B520),"."))</f>
        <v/>
      </c>
      <c r="B520" s="126"/>
      <c r="C520" s="126"/>
      <c r="D520" s="126"/>
      <c r="E520" s="127"/>
      <c r="F520" s="127"/>
      <c r="G520" s="127"/>
      <c r="H520" s="130"/>
      <c r="I520" s="123" t="str">
        <f aca="false">IF(COUNTBLANK(E520:H520)&lt;1,ROUNDUP(SUM(F520:G520)*((100+H520*100)%),0),"")</f>
        <v/>
      </c>
      <c r="J520" s="129"/>
      <c r="K520" s="129"/>
    </row>
    <row r="521" customFormat="false" ht="12.75" hidden="false" customHeight="true" outlineLevel="0" collapsed="false">
      <c r="A521" s="121" t="str">
        <f aca="false">IF(B521="","",CONCATENATE(COUNTA(B$4:B521),"."))</f>
        <v/>
      </c>
      <c r="B521" s="126"/>
      <c r="C521" s="126"/>
      <c r="D521" s="126"/>
      <c r="E521" s="127"/>
      <c r="F521" s="127"/>
      <c r="G521" s="127"/>
      <c r="H521" s="130"/>
      <c r="I521" s="123" t="str">
        <f aca="false">IF(COUNTBLANK(E521:H521)&lt;1,ROUNDUP(SUM(F521:G521)*((100+H521*100)%),0),"")</f>
        <v/>
      </c>
      <c r="J521" s="129"/>
      <c r="K521" s="129"/>
    </row>
    <row r="522" customFormat="false" ht="12.75" hidden="false" customHeight="true" outlineLevel="0" collapsed="false">
      <c r="A522" s="121" t="str">
        <f aca="false">IF(B522="","",CONCATENATE(COUNTA(B$4:B522),"."))</f>
        <v/>
      </c>
      <c r="B522" s="126"/>
      <c r="C522" s="126"/>
      <c r="D522" s="126"/>
      <c r="E522" s="127"/>
      <c r="F522" s="127"/>
      <c r="G522" s="127"/>
      <c r="H522" s="130"/>
      <c r="I522" s="123" t="str">
        <f aca="false">IF(COUNTBLANK(E522:H522)&lt;1,ROUNDUP(SUM(F522:G522)*((100+H522*100)%),0),"")</f>
        <v/>
      </c>
      <c r="J522" s="129"/>
      <c r="K522" s="129"/>
    </row>
    <row r="523" customFormat="false" ht="12.75" hidden="false" customHeight="true" outlineLevel="0" collapsed="false">
      <c r="A523" s="121" t="str">
        <f aca="false">IF(B523="","",CONCATENATE(COUNTA(B$4:B523),"."))</f>
        <v/>
      </c>
      <c r="B523" s="126"/>
      <c r="C523" s="126"/>
      <c r="D523" s="126"/>
      <c r="E523" s="127"/>
      <c r="F523" s="127"/>
      <c r="G523" s="127"/>
      <c r="H523" s="130"/>
      <c r="I523" s="123" t="str">
        <f aca="false">IF(COUNTBLANK(E523:H523)&lt;1,ROUNDUP(SUM(F523:G523)*((100+H523*100)%),0),"")</f>
        <v/>
      </c>
      <c r="J523" s="129"/>
      <c r="K523" s="129"/>
    </row>
    <row r="524" customFormat="false" ht="12.75" hidden="false" customHeight="true" outlineLevel="0" collapsed="false">
      <c r="A524" s="121" t="str">
        <f aca="false">IF(B524="","",CONCATENATE(COUNTA(B$4:B524),"."))</f>
        <v/>
      </c>
      <c r="B524" s="126"/>
      <c r="C524" s="126"/>
      <c r="D524" s="126"/>
      <c r="E524" s="127"/>
      <c r="F524" s="127"/>
      <c r="G524" s="127"/>
      <c r="H524" s="130"/>
      <c r="I524" s="123" t="str">
        <f aca="false">IF(COUNTBLANK(E524:H524)&lt;1,ROUNDUP(SUM(F524:G524)*((100+H524*100)%),0),"")</f>
        <v/>
      </c>
      <c r="J524" s="129"/>
      <c r="K524" s="129"/>
    </row>
    <row r="525" customFormat="false" ht="12.75" hidden="false" customHeight="true" outlineLevel="0" collapsed="false">
      <c r="A525" s="121" t="str">
        <f aca="false">IF(B525="","",CONCATENATE(COUNTA(B$4:B525),"."))</f>
        <v/>
      </c>
      <c r="B525" s="126"/>
      <c r="C525" s="126"/>
      <c r="D525" s="126"/>
      <c r="E525" s="127"/>
      <c r="F525" s="127"/>
      <c r="G525" s="127"/>
      <c r="H525" s="130"/>
      <c r="I525" s="123" t="str">
        <f aca="false">IF(COUNTBLANK(E525:H525)&lt;1,ROUNDUP(SUM(F525:G525)*((100+H525*100)%),0),"")</f>
        <v/>
      </c>
      <c r="J525" s="129"/>
      <c r="K525" s="129"/>
    </row>
    <row r="526" customFormat="false" ht="12.75" hidden="false" customHeight="true" outlineLevel="0" collapsed="false">
      <c r="A526" s="121" t="str">
        <f aca="false">IF(B526="","",CONCATENATE(COUNTA(B$4:B526),"."))</f>
        <v/>
      </c>
      <c r="B526" s="126"/>
      <c r="C526" s="126"/>
      <c r="D526" s="126"/>
      <c r="E526" s="127"/>
      <c r="F526" s="127"/>
      <c r="G526" s="127"/>
      <c r="H526" s="130"/>
      <c r="I526" s="123" t="str">
        <f aca="false">IF(COUNTBLANK(E526:H526)&lt;1,ROUNDUP(SUM(F526:G526)*((100+H526*100)%),0),"")</f>
        <v/>
      </c>
      <c r="J526" s="129"/>
      <c r="K526" s="129"/>
    </row>
    <row r="527" customFormat="false" ht="12.75" hidden="false" customHeight="true" outlineLevel="0" collapsed="false">
      <c r="A527" s="121" t="str">
        <f aca="false">IF(B527="","",CONCATENATE(COUNTA(B$4:B527),"."))</f>
        <v/>
      </c>
      <c r="B527" s="126"/>
      <c r="C527" s="126"/>
      <c r="D527" s="126"/>
      <c r="E527" s="127"/>
      <c r="F527" s="127"/>
      <c r="G527" s="127"/>
      <c r="H527" s="130"/>
      <c r="I527" s="123" t="str">
        <f aca="false">IF(COUNTBLANK(E527:H527)&lt;1,ROUNDUP(SUM(F527:G527)*((100+H527*100)%),0),"")</f>
        <v/>
      </c>
      <c r="J527" s="129"/>
      <c r="K527" s="129"/>
    </row>
    <row r="528" customFormat="false" ht="12.75" hidden="false" customHeight="true" outlineLevel="0" collapsed="false">
      <c r="A528" s="121" t="str">
        <f aca="false">IF(B528="","",CONCATENATE(COUNTA(B$4:B528),"."))</f>
        <v/>
      </c>
      <c r="B528" s="126"/>
      <c r="C528" s="126"/>
      <c r="D528" s="126"/>
      <c r="E528" s="127"/>
      <c r="F528" s="127"/>
      <c r="G528" s="127"/>
      <c r="H528" s="130"/>
      <c r="I528" s="123" t="str">
        <f aca="false">IF(COUNTBLANK(E528:H528)&lt;1,ROUNDUP(SUM(F528:G528)*((100+H528*100)%),0),"")</f>
        <v/>
      </c>
      <c r="J528" s="129"/>
      <c r="K528" s="129"/>
    </row>
    <row r="529" customFormat="false" ht="12.75" hidden="false" customHeight="true" outlineLevel="0" collapsed="false">
      <c r="A529" s="121" t="str">
        <f aca="false">IF(B529="","",CONCATENATE(COUNTA(B$4:B529),"."))</f>
        <v/>
      </c>
      <c r="B529" s="126"/>
      <c r="C529" s="126"/>
      <c r="D529" s="126"/>
      <c r="E529" s="127"/>
      <c r="F529" s="127"/>
      <c r="G529" s="127"/>
      <c r="H529" s="130"/>
      <c r="I529" s="123" t="str">
        <f aca="false">IF(COUNTBLANK(E529:H529)&lt;1,ROUNDUP(SUM(F529:G529)*((100+H529*100)%),0),"")</f>
        <v/>
      </c>
      <c r="J529" s="129"/>
      <c r="K529" s="129"/>
    </row>
    <row r="530" customFormat="false" ht="12.75" hidden="false" customHeight="true" outlineLevel="0" collapsed="false">
      <c r="A530" s="121" t="str">
        <f aca="false">IF(B530="","",CONCATENATE(COUNTA(B$4:B530),"."))</f>
        <v/>
      </c>
      <c r="B530" s="126"/>
      <c r="C530" s="126"/>
      <c r="D530" s="126"/>
      <c r="E530" s="127"/>
      <c r="F530" s="127"/>
      <c r="G530" s="127"/>
      <c r="H530" s="130"/>
      <c r="I530" s="123" t="str">
        <f aca="false">IF(COUNTBLANK(E530:H530)&lt;1,ROUNDUP(SUM(F530:G530)*((100+H530*100)%),0),"")</f>
        <v/>
      </c>
      <c r="J530" s="129"/>
      <c r="K530" s="129"/>
    </row>
    <row r="531" customFormat="false" ht="12.75" hidden="false" customHeight="true" outlineLevel="0" collapsed="false">
      <c r="A531" s="121" t="str">
        <f aca="false">IF(B531="","",CONCATENATE(COUNTA(B$4:B531),"."))</f>
        <v/>
      </c>
      <c r="B531" s="126"/>
      <c r="C531" s="126"/>
      <c r="D531" s="126"/>
      <c r="E531" s="127"/>
      <c r="F531" s="127"/>
      <c r="G531" s="127"/>
      <c r="H531" s="130"/>
      <c r="I531" s="123" t="str">
        <f aca="false">IF(COUNTBLANK(E531:H531)&lt;1,ROUNDUP(SUM(F531:G531)*((100+H531*100)%),0),"")</f>
        <v/>
      </c>
      <c r="J531" s="129"/>
      <c r="K531" s="129"/>
    </row>
    <row r="532" customFormat="false" ht="12.75" hidden="false" customHeight="true" outlineLevel="0" collapsed="false">
      <c r="A532" s="121" t="str">
        <f aca="false">IF(B532="","",CONCATENATE(COUNTA(B$4:B532),"."))</f>
        <v/>
      </c>
      <c r="B532" s="126"/>
      <c r="C532" s="126"/>
      <c r="D532" s="126"/>
      <c r="E532" s="127"/>
      <c r="F532" s="127"/>
      <c r="G532" s="127"/>
      <c r="H532" s="130"/>
      <c r="I532" s="123" t="str">
        <f aca="false">IF(COUNTBLANK(E532:H532)&lt;1,ROUNDUP(SUM(F532:G532)*((100+H532*100)%),0),"")</f>
        <v/>
      </c>
      <c r="J532" s="129"/>
      <c r="K532" s="129"/>
    </row>
    <row r="533" customFormat="false" ht="12.75" hidden="false" customHeight="true" outlineLevel="0" collapsed="false">
      <c r="A533" s="121" t="str">
        <f aca="false">IF(B533="","",CONCATENATE(COUNTA(B$4:B533),"."))</f>
        <v/>
      </c>
      <c r="B533" s="126"/>
      <c r="C533" s="126"/>
      <c r="D533" s="126"/>
      <c r="E533" s="127"/>
      <c r="F533" s="127"/>
      <c r="G533" s="127"/>
      <c r="H533" s="130"/>
      <c r="I533" s="123" t="str">
        <f aca="false">IF(COUNTBLANK(E533:H533)&lt;1,ROUNDUP(SUM(F533:G533)*((100+H533*100)%),0),"")</f>
        <v/>
      </c>
      <c r="J533" s="129"/>
      <c r="K533" s="129"/>
    </row>
    <row r="534" customFormat="false" ht="12.75" hidden="false" customHeight="true" outlineLevel="0" collapsed="false">
      <c r="A534" s="121" t="str">
        <f aca="false">IF(B534="","",CONCATENATE(COUNTA(B$4:B534),"."))</f>
        <v/>
      </c>
      <c r="B534" s="126"/>
      <c r="C534" s="126"/>
      <c r="D534" s="126"/>
      <c r="E534" s="127"/>
      <c r="F534" s="127"/>
      <c r="G534" s="127"/>
      <c r="H534" s="130"/>
      <c r="I534" s="123" t="str">
        <f aca="false">IF(COUNTBLANK(E534:H534)&lt;1,ROUNDUP(SUM(F534:G534)*((100+H534*100)%),0),"")</f>
        <v/>
      </c>
      <c r="J534" s="129"/>
      <c r="K534" s="129"/>
    </row>
    <row r="535" customFormat="false" ht="12.75" hidden="false" customHeight="true" outlineLevel="0" collapsed="false">
      <c r="A535" s="121" t="str">
        <f aca="false">IF(B535="","",CONCATENATE(COUNTA(B$4:B535),"."))</f>
        <v/>
      </c>
      <c r="B535" s="126"/>
      <c r="C535" s="126"/>
      <c r="D535" s="126"/>
      <c r="E535" s="127"/>
      <c r="F535" s="127"/>
      <c r="G535" s="127"/>
      <c r="H535" s="130"/>
      <c r="I535" s="123" t="str">
        <f aca="false">IF(COUNTBLANK(E535:H535)&lt;1,ROUNDUP(SUM(F535:G535)*((100+H535*100)%),0),"")</f>
        <v/>
      </c>
      <c r="J535" s="129"/>
      <c r="K535" s="129"/>
    </row>
    <row r="536" customFormat="false" ht="12.75" hidden="false" customHeight="true" outlineLevel="0" collapsed="false">
      <c r="A536" s="121" t="str">
        <f aca="false">IF(B536="","",CONCATENATE(COUNTA(B$4:B536),"."))</f>
        <v/>
      </c>
      <c r="B536" s="126"/>
      <c r="C536" s="126"/>
      <c r="D536" s="126"/>
      <c r="E536" s="127"/>
      <c r="F536" s="127"/>
      <c r="G536" s="127"/>
      <c r="H536" s="130"/>
      <c r="I536" s="123" t="str">
        <f aca="false">IF(COUNTBLANK(E536:H536)&lt;1,ROUNDUP(SUM(F536:G536)*((100+H536*100)%),0),"")</f>
        <v/>
      </c>
      <c r="J536" s="129"/>
      <c r="K536" s="129"/>
    </row>
    <row r="537" customFormat="false" ht="12.75" hidden="false" customHeight="true" outlineLevel="0" collapsed="false">
      <c r="A537" s="121" t="str">
        <f aca="false">IF(B537="","",CONCATENATE(COUNTA(B$4:B537),"."))</f>
        <v/>
      </c>
      <c r="B537" s="126"/>
      <c r="C537" s="126"/>
      <c r="D537" s="126"/>
      <c r="E537" s="127"/>
      <c r="F537" s="127"/>
      <c r="G537" s="127"/>
      <c r="H537" s="130"/>
      <c r="I537" s="123" t="str">
        <f aca="false">IF(COUNTBLANK(E537:H537)&lt;1,ROUNDUP(SUM(F537:G537)*((100+H537*100)%),0),"")</f>
        <v/>
      </c>
      <c r="J537" s="129"/>
      <c r="K537" s="129"/>
    </row>
    <row r="538" customFormat="false" ht="12.75" hidden="false" customHeight="true" outlineLevel="0" collapsed="false">
      <c r="A538" s="121" t="str">
        <f aca="false">IF(B538="","",CONCATENATE(COUNTA(B$4:B538),"."))</f>
        <v/>
      </c>
      <c r="B538" s="126"/>
      <c r="C538" s="126"/>
      <c r="D538" s="126"/>
      <c r="E538" s="127"/>
      <c r="F538" s="127"/>
      <c r="G538" s="127"/>
      <c r="H538" s="130"/>
      <c r="I538" s="123" t="str">
        <f aca="false">IF(COUNTBLANK(E538:H538)&lt;1,ROUNDUP(SUM(F538:G538)*((100+H538*100)%),0),"")</f>
        <v/>
      </c>
      <c r="J538" s="129"/>
      <c r="K538" s="129"/>
    </row>
    <row r="539" customFormat="false" ht="12.75" hidden="false" customHeight="true" outlineLevel="0" collapsed="false">
      <c r="A539" s="121" t="str">
        <f aca="false">IF(B539="","",CONCATENATE(COUNTA(B$4:B539),"."))</f>
        <v/>
      </c>
      <c r="B539" s="126"/>
      <c r="C539" s="126"/>
      <c r="D539" s="126"/>
      <c r="E539" s="127"/>
      <c r="F539" s="127"/>
      <c r="G539" s="127"/>
      <c r="H539" s="130"/>
      <c r="I539" s="123" t="str">
        <f aca="false">IF(COUNTBLANK(E539:H539)&lt;1,ROUNDUP(SUM(F539:G539)*((100+H539*100)%),0),"")</f>
        <v/>
      </c>
      <c r="J539" s="129"/>
      <c r="K539" s="129"/>
    </row>
    <row r="540" customFormat="false" ht="12.75" hidden="false" customHeight="true" outlineLevel="0" collapsed="false">
      <c r="A540" s="121" t="str">
        <f aca="false">IF(B540="","",CONCATENATE(COUNTA(B$4:B540),"."))</f>
        <v/>
      </c>
      <c r="B540" s="126"/>
      <c r="C540" s="126"/>
      <c r="D540" s="126"/>
      <c r="E540" s="127"/>
      <c r="F540" s="127"/>
      <c r="G540" s="127"/>
      <c r="H540" s="130"/>
      <c r="I540" s="123" t="str">
        <f aca="false">IF(COUNTBLANK(E540:H540)&lt;1,ROUNDUP(SUM(F540:G540)*((100+H540*100)%),0),"")</f>
        <v/>
      </c>
      <c r="J540" s="129"/>
      <c r="K540" s="129"/>
    </row>
    <row r="541" customFormat="false" ht="12.75" hidden="false" customHeight="true" outlineLevel="0" collapsed="false">
      <c r="A541" s="121" t="str">
        <f aca="false">IF(B541="","",CONCATENATE(COUNTA(B$4:B541),"."))</f>
        <v/>
      </c>
      <c r="B541" s="126"/>
      <c r="C541" s="126"/>
      <c r="D541" s="126"/>
      <c r="E541" s="127"/>
      <c r="F541" s="127"/>
      <c r="G541" s="127"/>
      <c r="H541" s="130"/>
      <c r="I541" s="123" t="str">
        <f aca="false">IF(COUNTBLANK(E541:H541)&lt;1,ROUNDUP(SUM(F541:G541)*((100+H541*100)%),0),"")</f>
        <v/>
      </c>
      <c r="J541" s="129"/>
      <c r="K541" s="129"/>
    </row>
    <row r="542" customFormat="false" ht="12.75" hidden="false" customHeight="true" outlineLevel="0" collapsed="false">
      <c r="A542" s="121" t="str">
        <f aca="false">IF(B542="","",CONCATENATE(COUNTA(B$4:B542),"."))</f>
        <v/>
      </c>
      <c r="B542" s="126"/>
      <c r="C542" s="126"/>
      <c r="D542" s="126"/>
      <c r="E542" s="127"/>
      <c r="F542" s="127"/>
      <c r="G542" s="127"/>
      <c r="H542" s="130"/>
      <c r="I542" s="123" t="str">
        <f aca="false">IF(COUNTBLANK(E542:H542)&lt;1,ROUNDUP(SUM(F542:G542)*((100+H542*100)%),0),"")</f>
        <v/>
      </c>
      <c r="J542" s="129"/>
      <c r="K542" s="129"/>
    </row>
    <row r="543" customFormat="false" ht="12.75" hidden="false" customHeight="true" outlineLevel="0" collapsed="false">
      <c r="A543" s="121" t="str">
        <f aca="false">IF(B543="","",CONCATENATE(COUNTA(B$4:B543),"."))</f>
        <v/>
      </c>
      <c r="B543" s="126"/>
      <c r="C543" s="126"/>
      <c r="D543" s="126"/>
      <c r="E543" s="127"/>
      <c r="F543" s="127"/>
      <c r="G543" s="127"/>
      <c r="H543" s="130"/>
      <c r="I543" s="123" t="str">
        <f aca="false">IF(COUNTBLANK(E543:H543)&lt;1,ROUNDUP(SUM(F543:G543)*((100+H543*100)%),0),"")</f>
        <v/>
      </c>
      <c r="J543" s="129"/>
      <c r="K543" s="129"/>
    </row>
    <row r="544" customFormat="false" ht="12.75" hidden="false" customHeight="true" outlineLevel="0" collapsed="false">
      <c r="A544" s="121" t="str">
        <f aca="false">IF(B544="","",CONCATENATE(COUNTA(B$4:B544),"."))</f>
        <v/>
      </c>
      <c r="B544" s="126"/>
      <c r="C544" s="126"/>
      <c r="D544" s="126"/>
      <c r="E544" s="127"/>
      <c r="F544" s="127"/>
      <c r="G544" s="127"/>
      <c r="H544" s="130"/>
      <c r="I544" s="123" t="str">
        <f aca="false">IF(COUNTBLANK(E544:H544)&lt;1,ROUNDUP(SUM(F544:G544)*((100+H544*100)%),0),"")</f>
        <v/>
      </c>
      <c r="J544" s="129"/>
      <c r="K544" s="129"/>
    </row>
    <row r="545" customFormat="false" ht="12.75" hidden="false" customHeight="true" outlineLevel="0" collapsed="false">
      <c r="A545" s="121" t="str">
        <f aca="false">IF(B545="","",CONCATENATE(COUNTA(B$4:B545),"."))</f>
        <v/>
      </c>
      <c r="B545" s="126"/>
      <c r="C545" s="126"/>
      <c r="D545" s="126"/>
      <c r="E545" s="127"/>
      <c r="F545" s="127"/>
      <c r="G545" s="127"/>
      <c r="H545" s="130"/>
      <c r="I545" s="123" t="str">
        <f aca="false">IF(COUNTBLANK(E545:H545)&lt;1,ROUNDUP(SUM(F545:G545)*((100+H545*100)%),0),"")</f>
        <v/>
      </c>
      <c r="J545" s="129"/>
      <c r="K545" s="129"/>
    </row>
    <row r="546" customFormat="false" ht="12.75" hidden="false" customHeight="true" outlineLevel="0" collapsed="false">
      <c r="A546" s="121" t="str">
        <f aca="false">IF(B546="","",CONCATENATE(COUNTA(B$4:B546),"."))</f>
        <v/>
      </c>
      <c r="B546" s="126"/>
      <c r="C546" s="126"/>
      <c r="D546" s="126"/>
      <c r="E546" s="127"/>
      <c r="F546" s="127"/>
      <c r="G546" s="127"/>
      <c r="H546" s="130"/>
      <c r="I546" s="123" t="str">
        <f aca="false">IF(COUNTBLANK(E546:H546)&lt;1,ROUNDUP(SUM(F546:G546)*((100+H546*100)%),0),"")</f>
        <v/>
      </c>
      <c r="J546" s="129"/>
      <c r="K546" s="129"/>
    </row>
    <row r="547" customFormat="false" ht="12.75" hidden="false" customHeight="true" outlineLevel="0" collapsed="false">
      <c r="A547" s="121" t="str">
        <f aca="false">IF(B547="","",CONCATENATE(COUNTA(B$4:B547),"."))</f>
        <v/>
      </c>
      <c r="B547" s="126"/>
      <c r="C547" s="126"/>
      <c r="D547" s="126"/>
      <c r="E547" s="127"/>
      <c r="F547" s="127"/>
      <c r="G547" s="127"/>
      <c r="H547" s="130"/>
      <c r="I547" s="123" t="str">
        <f aca="false">IF(COUNTBLANK(E547:H547)&lt;1,ROUNDUP(SUM(F547:G547)*((100+H547*100)%),0),"")</f>
        <v/>
      </c>
      <c r="J547" s="129"/>
      <c r="K547" s="129"/>
    </row>
    <row r="548" customFormat="false" ht="12.75" hidden="false" customHeight="true" outlineLevel="0" collapsed="false">
      <c r="A548" s="121" t="str">
        <f aca="false">IF(B548="","",CONCATENATE(COUNTA(B$4:B548),"."))</f>
        <v/>
      </c>
      <c r="B548" s="126"/>
      <c r="C548" s="126"/>
      <c r="D548" s="126"/>
      <c r="E548" s="127"/>
      <c r="F548" s="127"/>
      <c r="G548" s="127"/>
      <c r="H548" s="130"/>
      <c r="I548" s="123" t="str">
        <f aca="false">IF(COUNTBLANK(E548:H548)&lt;1,ROUNDUP(SUM(F548:G548)*((100+H548*100)%),0),"")</f>
        <v/>
      </c>
      <c r="J548" s="129"/>
      <c r="K548" s="129"/>
    </row>
    <row r="549" customFormat="false" ht="12.75" hidden="false" customHeight="true" outlineLevel="0" collapsed="false">
      <c r="A549" s="121" t="str">
        <f aca="false">IF(B549="","",CONCATENATE(COUNTA(B$4:B549),"."))</f>
        <v/>
      </c>
      <c r="B549" s="126"/>
      <c r="C549" s="126"/>
      <c r="D549" s="126"/>
      <c r="E549" s="127"/>
      <c r="F549" s="127"/>
      <c r="G549" s="127"/>
      <c r="H549" s="130"/>
      <c r="I549" s="123" t="str">
        <f aca="false">IF(COUNTBLANK(E549:H549)&lt;1,ROUNDUP(SUM(F549:G549)*((100+H549*100)%),0),"")</f>
        <v/>
      </c>
      <c r="J549" s="129"/>
      <c r="K549" s="129"/>
    </row>
    <row r="550" customFormat="false" ht="12.75" hidden="false" customHeight="true" outlineLevel="0" collapsed="false">
      <c r="A550" s="121" t="str">
        <f aca="false">IF(B550="","",CONCATENATE(COUNTA(B$4:B550),"."))</f>
        <v/>
      </c>
      <c r="B550" s="126"/>
      <c r="C550" s="126"/>
      <c r="D550" s="126"/>
      <c r="E550" s="127"/>
      <c r="F550" s="127"/>
      <c r="G550" s="127"/>
      <c r="H550" s="130"/>
      <c r="I550" s="123" t="str">
        <f aca="false">IF(COUNTBLANK(E550:H550)&lt;1,ROUNDUP(SUM(F550:G550)*((100+H550*100)%),0),"")</f>
        <v/>
      </c>
      <c r="J550" s="129"/>
      <c r="K550" s="129"/>
    </row>
    <row r="551" customFormat="false" ht="12.75" hidden="false" customHeight="true" outlineLevel="0" collapsed="false">
      <c r="A551" s="121" t="str">
        <f aca="false">IF(B551="","",CONCATENATE(COUNTA(B$4:B551),"."))</f>
        <v/>
      </c>
      <c r="B551" s="126"/>
      <c r="C551" s="126"/>
      <c r="D551" s="126"/>
      <c r="E551" s="127"/>
      <c r="F551" s="127"/>
      <c r="G551" s="127"/>
      <c r="H551" s="130"/>
      <c r="I551" s="123" t="str">
        <f aca="false">IF(COUNTBLANK(E551:H551)&lt;1,ROUNDUP(SUM(F551:G551)*((100+H551*100)%),0),"")</f>
        <v/>
      </c>
      <c r="J551" s="129"/>
      <c r="K551" s="129"/>
    </row>
    <row r="552" customFormat="false" ht="12.75" hidden="false" customHeight="true" outlineLevel="0" collapsed="false">
      <c r="A552" s="121" t="str">
        <f aca="false">IF(B552="","",CONCATENATE(COUNTA(B$4:B552),"."))</f>
        <v/>
      </c>
      <c r="B552" s="126"/>
      <c r="C552" s="126"/>
      <c r="D552" s="126"/>
      <c r="E552" s="127"/>
      <c r="F552" s="127"/>
      <c r="G552" s="127"/>
      <c r="H552" s="130"/>
      <c r="I552" s="123" t="str">
        <f aca="false">IF(COUNTBLANK(E552:H552)&lt;1,ROUNDUP(SUM(F552:G552)*((100+H552*100)%),0),"")</f>
        <v/>
      </c>
      <c r="J552" s="129"/>
      <c r="K552" s="129"/>
    </row>
    <row r="553" customFormat="false" ht="12.75" hidden="false" customHeight="true" outlineLevel="0" collapsed="false">
      <c r="A553" s="121" t="str">
        <f aca="false">IF(B553="","",CONCATENATE(COUNTA(B$4:B553),"."))</f>
        <v/>
      </c>
      <c r="B553" s="126"/>
      <c r="C553" s="126"/>
      <c r="D553" s="126"/>
      <c r="E553" s="127"/>
      <c r="F553" s="127"/>
      <c r="G553" s="127"/>
      <c r="H553" s="130"/>
      <c r="I553" s="123" t="str">
        <f aca="false">IF(COUNTBLANK(E553:H553)&lt;1,ROUNDUP(SUM(F553:G553)*((100+H553*100)%),0),"")</f>
        <v/>
      </c>
      <c r="J553" s="129"/>
      <c r="K553" s="129"/>
    </row>
    <row r="554" customFormat="false" ht="12.75" hidden="false" customHeight="true" outlineLevel="0" collapsed="false">
      <c r="A554" s="121" t="str">
        <f aca="false">IF(B554="","",CONCATENATE(COUNTA(B$4:B554),"."))</f>
        <v/>
      </c>
      <c r="B554" s="126"/>
      <c r="C554" s="126"/>
      <c r="D554" s="126"/>
      <c r="E554" s="127"/>
      <c r="F554" s="127"/>
      <c r="G554" s="127"/>
      <c r="H554" s="130"/>
      <c r="I554" s="123" t="str">
        <f aca="false">IF(COUNTBLANK(E554:H554)&lt;1,ROUNDUP(SUM(F554:G554)*((100+H554*100)%),0),"")</f>
        <v/>
      </c>
      <c r="J554" s="129"/>
      <c r="K554" s="129"/>
    </row>
    <row r="555" customFormat="false" ht="12.75" hidden="false" customHeight="true" outlineLevel="0" collapsed="false">
      <c r="A555" s="121" t="str">
        <f aca="false">IF(B555="","",CONCATENATE(COUNTA(B$4:B555),"."))</f>
        <v/>
      </c>
      <c r="B555" s="126"/>
      <c r="C555" s="126"/>
      <c r="D555" s="126"/>
      <c r="E555" s="127"/>
      <c r="F555" s="127"/>
      <c r="G555" s="127"/>
      <c r="H555" s="130"/>
      <c r="I555" s="123" t="str">
        <f aca="false">IF(COUNTBLANK(E555:H555)&lt;1,ROUNDUP(SUM(F555:G555)*((100+H555*100)%),0),"")</f>
        <v/>
      </c>
      <c r="J555" s="129"/>
      <c r="K555" s="129"/>
    </row>
    <row r="556" customFormat="false" ht="12.75" hidden="false" customHeight="true" outlineLevel="0" collapsed="false">
      <c r="A556" s="121" t="str">
        <f aca="false">IF(B556="","",CONCATENATE(COUNTA(B$4:B556),"."))</f>
        <v/>
      </c>
      <c r="B556" s="126"/>
      <c r="C556" s="126"/>
      <c r="D556" s="126"/>
      <c r="E556" s="127"/>
      <c r="F556" s="127"/>
      <c r="G556" s="127"/>
      <c r="H556" s="130"/>
      <c r="I556" s="123" t="str">
        <f aca="false">IF(COUNTBLANK(E556:H556)&lt;1,ROUNDUP(SUM(F556:G556)*((100+H556*100)%),0),"")</f>
        <v/>
      </c>
      <c r="J556" s="129"/>
      <c r="K556" s="129"/>
    </row>
    <row r="557" customFormat="false" ht="12.75" hidden="false" customHeight="true" outlineLevel="0" collapsed="false">
      <c r="A557" s="121" t="str">
        <f aca="false">IF(B557="","",CONCATENATE(COUNTA(B$4:B557),"."))</f>
        <v/>
      </c>
      <c r="B557" s="126"/>
      <c r="C557" s="126"/>
      <c r="D557" s="126"/>
      <c r="E557" s="127"/>
      <c r="F557" s="127"/>
      <c r="G557" s="127"/>
      <c r="H557" s="130"/>
      <c r="I557" s="123" t="str">
        <f aca="false">IF(COUNTBLANK(E557:H557)&lt;1,ROUNDUP(SUM(F557:G557)*((100+H557*100)%),0),"")</f>
        <v/>
      </c>
      <c r="J557" s="129"/>
      <c r="K557" s="129"/>
    </row>
    <row r="558" customFormat="false" ht="12.75" hidden="false" customHeight="true" outlineLevel="0" collapsed="false">
      <c r="A558" s="121" t="str">
        <f aca="false">IF(B558="","",CONCATENATE(COUNTA(B$4:B558),"."))</f>
        <v/>
      </c>
      <c r="B558" s="126"/>
      <c r="C558" s="126"/>
      <c r="D558" s="126"/>
      <c r="E558" s="127"/>
      <c r="F558" s="127"/>
      <c r="G558" s="127"/>
      <c r="H558" s="130"/>
      <c r="I558" s="123" t="str">
        <f aca="false">IF(COUNTBLANK(E558:H558)&lt;1,ROUNDUP(SUM(F558:G558)*((100+H558*100)%),0),"")</f>
        <v/>
      </c>
      <c r="J558" s="129"/>
      <c r="K558" s="129"/>
    </row>
    <row r="559" customFormat="false" ht="12.75" hidden="false" customHeight="true" outlineLevel="0" collapsed="false">
      <c r="A559" s="121" t="str">
        <f aca="false">IF(B559="","",CONCATENATE(COUNTA(B$4:B559),"."))</f>
        <v/>
      </c>
      <c r="B559" s="126"/>
      <c r="C559" s="126"/>
      <c r="D559" s="126"/>
      <c r="E559" s="127"/>
      <c r="F559" s="127"/>
      <c r="G559" s="127"/>
      <c r="H559" s="130"/>
      <c r="I559" s="123" t="str">
        <f aca="false">IF(COUNTBLANK(E559:H559)&lt;1,ROUNDUP(SUM(F559:G559)*((100+H559*100)%),0),"")</f>
        <v/>
      </c>
      <c r="J559" s="129"/>
      <c r="K559" s="129"/>
    </row>
    <row r="560" customFormat="false" ht="12.75" hidden="false" customHeight="true" outlineLevel="0" collapsed="false">
      <c r="A560" s="121" t="str">
        <f aca="false">IF(B560="","",CONCATENATE(COUNTA(B$4:B560),"."))</f>
        <v/>
      </c>
      <c r="B560" s="126"/>
      <c r="C560" s="126"/>
      <c r="D560" s="126"/>
      <c r="E560" s="127"/>
      <c r="F560" s="127"/>
      <c r="G560" s="127"/>
      <c r="H560" s="130"/>
      <c r="I560" s="123" t="str">
        <f aca="false">IF(COUNTBLANK(E560:H560)&lt;1,ROUNDUP(SUM(F560:G560)*((100+H560*100)%),0),"")</f>
        <v/>
      </c>
      <c r="J560" s="129"/>
      <c r="K560" s="129"/>
    </row>
    <row r="561" customFormat="false" ht="12.75" hidden="false" customHeight="true" outlineLevel="0" collapsed="false">
      <c r="A561" s="121" t="str">
        <f aca="false">IF(B561="","",CONCATENATE(COUNTA(B$4:B561),"."))</f>
        <v/>
      </c>
      <c r="B561" s="126"/>
      <c r="C561" s="126"/>
      <c r="D561" s="126"/>
      <c r="E561" s="127"/>
      <c r="F561" s="127"/>
      <c r="G561" s="127"/>
      <c r="H561" s="130"/>
      <c r="I561" s="123" t="str">
        <f aca="false">IF(COUNTBLANK(E561:H561)&lt;1,ROUNDUP(SUM(F561:G561)*((100+H561*100)%),0),"")</f>
        <v/>
      </c>
      <c r="J561" s="129"/>
      <c r="K561" s="129"/>
    </row>
    <row r="562" customFormat="false" ht="12.75" hidden="false" customHeight="true" outlineLevel="0" collapsed="false">
      <c r="A562" s="121" t="str">
        <f aca="false">IF(B562="","",CONCATENATE(COUNTA(B$4:B562),"."))</f>
        <v/>
      </c>
      <c r="B562" s="126"/>
      <c r="C562" s="126"/>
      <c r="D562" s="126"/>
      <c r="E562" s="127"/>
      <c r="F562" s="127"/>
      <c r="G562" s="127"/>
      <c r="H562" s="130"/>
      <c r="I562" s="123" t="str">
        <f aca="false">IF(COUNTBLANK(E562:H562)&lt;1,ROUNDUP(SUM(F562:G562)*((100+H562*100)%),0),"")</f>
        <v/>
      </c>
      <c r="J562" s="129"/>
      <c r="K562" s="129"/>
    </row>
    <row r="563" customFormat="false" ht="12.75" hidden="false" customHeight="true" outlineLevel="0" collapsed="false">
      <c r="A563" s="121" t="str">
        <f aca="false">IF(B563="","",CONCATENATE(COUNTA(B$4:B563),"."))</f>
        <v/>
      </c>
      <c r="B563" s="126"/>
      <c r="C563" s="126"/>
      <c r="D563" s="126"/>
      <c r="E563" s="127"/>
      <c r="F563" s="127"/>
      <c r="G563" s="127"/>
      <c r="H563" s="130"/>
      <c r="I563" s="123" t="str">
        <f aca="false">IF(COUNTBLANK(E563:H563)&lt;1,ROUNDUP(SUM(F563:G563)*((100+H563*100)%),0),"")</f>
        <v/>
      </c>
      <c r="J563" s="129"/>
      <c r="K563" s="129"/>
    </row>
    <row r="564" customFormat="false" ht="12.75" hidden="false" customHeight="true" outlineLevel="0" collapsed="false">
      <c r="A564" s="121" t="str">
        <f aca="false">IF(B564="","",CONCATENATE(COUNTA(B$4:B564),"."))</f>
        <v/>
      </c>
      <c r="B564" s="126"/>
      <c r="C564" s="126"/>
      <c r="D564" s="126"/>
      <c r="E564" s="127"/>
      <c r="F564" s="127"/>
      <c r="G564" s="127"/>
      <c r="H564" s="130"/>
      <c r="I564" s="123" t="str">
        <f aca="false">IF(COUNTBLANK(E564:H564)&lt;1,ROUNDUP(SUM(F564:G564)*((100+H564*100)%),0),"")</f>
        <v/>
      </c>
      <c r="J564" s="129"/>
      <c r="K564" s="129"/>
    </row>
    <row r="565" customFormat="false" ht="12.75" hidden="false" customHeight="true" outlineLevel="0" collapsed="false">
      <c r="A565" s="121" t="str">
        <f aca="false">IF(B565="","",CONCATENATE(COUNTA(B$4:B565),"."))</f>
        <v/>
      </c>
      <c r="B565" s="126"/>
      <c r="C565" s="126"/>
      <c r="D565" s="126"/>
      <c r="E565" s="127"/>
      <c r="F565" s="127"/>
      <c r="G565" s="127"/>
      <c r="H565" s="130"/>
      <c r="I565" s="123" t="str">
        <f aca="false">IF(COUNTBLANK(E565:H565)&lt;1,ROUNDUP(SUM(F565:G565)*((100+H565*100)%),0),"")</f>
        <v/>
      </c>
      <c r="J565" s="129"/>
      <c r="K565" s="129"/>
    </row>
    <row r="566" customFormat="false" ht="12.75" hidden="false" customHeight="true" outlineLevel="0" collapsed="false">
      <c r="A566" s="121" t="str">
        <f aca="false">IF(B566="","",CONCATENATE(COUNTA(B$4:B566),"."))</f>
        <v/>
      </c>
      <c r="B566" s="126"/>
      <c r="C566" s="126"/>
      <c r="D566" s="126"/>
      <c r="E566" s="127"/>
      <c r="F566" s="127"/>
      <c r="G566" s="127"/>
      <c r="H566" s="130"/>
      <c r="I566" s="123" t="str">
        <f aca="false">IF(COUNTBLANK(E566:H566)&lt;1,ROUNDUP(SUM(F566:G566)*((100+H566*100)%),0),"")</f>
        <v/>
      </c>
      <c r="J566" s="129"/>
      <c r="K566" s="129"/>
    </row>
    <row r="567" customFormat="false" ht="12.75" hidden="false" customHeight="true" outlineLevel="0" collapsed="false">
      <c r="A567" s="121" t="str">
        <f aca="false">IF(B567="","",CONCATENATE(COUNTA(B$4:B567),"."))</f>
        <v/>
      </c>
      <c r="B567" s="126"/>
      <c r="C567" s="126"/>
      <c r="D567" s="126"/>
      <c r="E567" s="127"/>
      <c r="F567" s="127"/>
      <c r="G567" s="127"/>
      <c r="H567" s="130"/>
      <c r="I567" s="123" t="str">
        <f aca="false">IF(COUNTBLANK(E567:H567)&lt;1,ROUNDUP(SUM(F567:G567)*((100+H567*100)%),0),"")</f>
        <v/>
      </c>
      <c r="J567" s="129"/>
      <c r="K567" s="129"/>
    </row>
    <row r="568" customFormat="false" ht="12.75" hidden="false" customHeight="true" outlineLevel="0" collapsed="false">
      <c r="A568" s="121" t="str">
        <f aca="false">IF(B568="","",CONCATENATE(COUNTA(B$4:B568),"."))</f>
        <v/>
      </c>
      <c r="B568" s="126"/>
      <c r="C568" s="126"/>
      <c r="D568" s="126"/>
      <c r="E568" s="127"/>
      <c r="F568" s="127"/>
      <c r="G568" s="127"/>
      <c r="H568" s="130"/>
      <c r="I568" s="123" t="str">
        <f aca="false">IF(COUNTBLANK(E568:H568)&lt;1,ROUNDUP(SUM(F568:G568)*((100+H568*100)%),0),"")</f>
        <v/>
      </c>
      <c r="J568" s="129"/>
      <c r="K568" s="129"/>
    </row>
    <row r="569" customFormat="false" ht="12.75" hidden="false" customHeight="true" outlineLevel="0" collapsed="false">
      <c r="A569" s="121" t="str">
        <f aca="false">IF(B569="","",CONCATENATE(COUNTA(B$4:B569),"."))</f>
        <v/>
      </c>
      <c r="B569" s="126"/>
      <c r="C569" s="126"/>
      <c r="D569" s="126"/>
      <c r="E569" s="127"/>
      <c r="F569" s="127"/>
      <c r="G569" s="127"/>
      <c r="H569" s="130"/>
      <c r="I569" s="123" t="str">
        <f aca="false">IF(COUNTBLANK(E569:H569)&lt;1,ROUNDUP(SUM(F569:G569)*((100+H569*100)%),0),"")</f>
        <v/>
      </c>
      <c r="J569" s="129"/>
      <c r="K569" s="129"/>
    </row>
    <row r="570" customFormat="false" ht="12.75" hidden="false" customHeight="true" outlineLevel="0" collapsed="false">
      <c r="A570" s="121" t="str">
        <f aca="false">IF(B570="","",CONCATENATE(COUNTA(B$4:B570),"."))</f>
        <v/>
      </c>
      <c r="B570" s="126"/>
      <c r="C570" s="126"/>
      <c r="D570" s="126"/>
      <c r="E570" s="127"/>
      <c r="F570" s="127"/>
      <c r="G570" s="127"/>
      <c r="H570" s="130"/>
      <c r="I570" s="123" t="str">
        <f aca="false">IF(COUNTBLANK(E570:H570)&lt;1,ROUNDUP(SUM(F570:G570)*((100+H570*100)%),0),"")</f>
        <v/>
      </c>
      <c r="J570" s="129"/>
      <c r="K570" s="129"/>
    </row>
    <row r="571" customFormat="false" ht="12.75" hidden="false" customHeight="true" outlineLevel="0" collapsed="false">
      <c r="A571" s="121" t="str">
        <f aca="false">IF(B571="","",CONCATENATE(COUNTA(B$4:B571),"."))</f>
        <v/>
      </c>
      <c r="B571" s="126"/>
      <c r="C571" s="126"/>
      <c r="D571" s="126"/>
      <c r="E571" s="127"/>
      <c r="F571" s="127"/>
      <c r="G571" s="127"/>
      <c r="H571" s="130"/>
      <c r="I571" s="123" t="str">
        <f aca="false">IF(COUNTBLANK(E571:H571)&lt;1,ROUNDUP(SUM(F571:G571)*((100+H571*100)%),0),"")</f>
        <v/>
      </c>
      <c r="J571" s="129"/>
      <c r="K571" s="129"/>
    </row>
    <row r="572" customFormat="false" ht="12.75" hidden="false" customHeight="true" outlineLevel="0" collapsed="false">
      <c r="A572" s="121" t="str">
        <f aca="false">IF(B572="","",CONCATENATE(COUNTA(B$4:B572),"."))</f>
        <v/>
      </c>
      <c r="B572" s="126"/>
      <c r="C572" s="126"/>
      <c r="D572" s="126"/>
      <c r="E572" s="127"/>
      <c r="F572" s="127"/>
      <c r="G572" s="127"/>
      <c r="H572" s="130"/>
      <c r="I572" s="123" t="str">
        <f aca="false">IF(COUNTBLANK(E572:H572)&lt;1,ROUNDUP(SUM(F572:G572)*((100+H572*100)%),0),"")</f>
        <v/>
      </c>
      <c r="J572" s="129"/>
      <c r="K572" s="129"/>
    </row>
    <row r="573" customFormat="false" ht="12.75" hidden="false" customHeight="true" outlineLevel="0" collapsed="false">
      <c r="A573" s="121" t="str">
        <f aca="false">IF(B573="","",CONCATENATE(COUNTA(B$4:B573),"."))</f>
        <v/>
      </c>
      <c r="B573" s="126"/>
      <c r="C573" s="126"/>
      <c r="D573" s="126"/>
      <c r="E573" s="127"/>
      <c r="F573" s="127"/>
      <c r="G573" s="127"/>
      <c r="H573" s="130"/>
      <c r="I573" s="123" t="str">
        <f aca="false">IF(COUNTBLANK(E573:H573)&lt;1,ROUNDUP(SUM(F573:G573)*((100+H573*100)%),0),"")</f>
        <v/>
      </c>
      <c r="J573" s="129"/>
      <c r="K573" s="129"/>
    </row>
    <row r="574" customFormat="false" ht="12.75" hidden="false" customHeight="true" outlineLevel="0" collapsed="false">
      <c r="A574" s="121" t="str">
        <f aca="false">IF(B574="","",CONCATENATE(COUNTA(B$4:B574),"."))</f>
        <v/>
      </c>
      <c r="B574" s="126"/>
      <c r="C574" s="126"/>
      <c r="D574" s="126"/>
      <c r="E574" s="127"/>
      <c r="F574" s="127"/>
      <c r="G574" s="127"/>
      <c r="H574" s="130"/>
      <c r="I574" s="123" t="str">
        <f aca="false">IF(COUNTBLANK(E574:H574)&lt;1,ROUNDUP(SUM(F574:G574)*((100+H574*100)%),0),"")</f>
        <v/>
      </c>
      <c r="J574" s="129"/>
      <c r="K574" s="129"/>
    </row>
    <row r="575" customFormat="false" ht="12.75" hidden="false" customHeight="true" outlineLevel="0" collapsed="false">
      <c r="A575" s="121" t="str">
        <f aca="false">IF(B575="","",CONCATENATE(COUNTA(B$4:B575),"."))</f>
        <v/>
      </c>
      <c r="B575" s="126"/>
      <c r="C575" s="126"/>
      <c r="D575" s="126"/>
      <c r="E575" s="127"/>
      <c r="F575" s="127"/>
      <c r="G575" s="127"/>
      <c r="H575" s="130"/>
      <c r="I575" s="123" t="str">
        <f aca="false">IF(COUNTBLANK(E575:H575)&lt;1,ROUNDUP(SUM(F575:G575)*((100+H575*100)%),0),"")</f>
        <v/>
      </c>
      <c r="J575" s="129"/>
      <c r="K575" s="129"/>
    </row>
    <row r="576" customFormat="false" ht="12.75" hidden="false" customHeight="true" outlineLevel="0" collapsed="false">
      <c r="A576" s="121" t="str">
        <f aca="false">IF(B576="","",CONCATENATE(COUNTA(B$4:B576),"."))</f>
        <v/>
      </c>
      <c r="B576" s="126"/>
      <c r="C576" s="126"/>
      <c r="D576" s="126"/>
      <c r="E576" s="127"/>
      <c r="F576" s="127"/>
      <c r="G576" s="127"/>
      <c r="H576" s="130"/>
      <c r="I576" s="123" t="str">
        <f aca="false">IF(COUNTBLANK(E576:H576)&lt;1,ROUNDUP(SUM(F576:G576)*((100+H576*100)%),0),"")</f>
        <v/>
      </c>
      <c r="J576" s="129"/>
      <c r="K576" s="129"/>
    </row>
    <row r="577" customFormat="false" ht="12.75" hidden="false" customHeight="true" outlineLevel="0" collapsed="false">
      <c r="A577" s="121" t="str">
        <f aca="false">IF(B577="","",CONCATENATE(COUNTA(B$4:B577),"."))</f>
        <v/>
      </c>
      <c r="B577" s="126"/>
      <c r="C577" s="126"/>
      <c r="D577" s="126"/>
      <c r="E577" s="127"/>
      <c r="F577" s="127"/>
      <c r="G577" s="127"/>
      <c r="H577" s="130"/>
      <c r="I577" s="123" t="str">
        <f aca="false">IF(COUNTBLANK(E577:H577)&lt;1,ROUNDUP(SUM(F577:G577)*((100+H577*100)%),0),"")</f>
        <v/>
      </c>
      <c r="J577" s="129"/>
      <c r="K577" s="129"/>
    </row>
    <row r="578" customFormat="false" ht="12.75" hidden="false" customHeight="true" outlineLevel="0" collapsed="false">
      <c r="A578" s="121" t="str">
        <f aca="false">IF(B578="","",CONCATENATE(COUNTA(B$4:B578),"."))</f>
        <v/>
      </c>
      <c r="B578" s="126"/>
      <c r="C578" s="126"/>
      <c r="D578" s="126"/>
      <c r="E578" s="127"/>
      <c r="F578" s="127"/>
      <c r="G578" s="127"/>
      <c r="H578" s="130"/>
      <c r="I578" s="123" t="str">
        <f aca="false">IF(COUNTBLANK(E578:H578)&lt;1,ROUNDUP(SUM(F578:G578)*((100+H578*100)%),0),"")</f>
        <v/>
      </c>
      <c r="J578" s="129"/>
      <c r="K578" s="129"/>
    </row>
    <row r="579" customFormat="false" ht="12.75" hidden="false" customHeight="true" outlineLevel="0" collapsed="false">
      <c r="A579" s="121" t="str">
        <f aca="false">IF(B579="","",CONCATENATE(COUNTA(B$4:B579),"."))</f>
        <v/>
      </c>
      <c r="B579" s="126"/>
      <c r="C579" s="126"/>
      <c r="D579" s="126"/>
      <c r="E579" s="127"/>
      <c r="F579" s="127"/>
      <c r="G579" s="127"/>
      <c r="H579" s="130"/>
      <c r="I579" s="123" t="str">
        <f aca="false">IF(COUNTBLANK(E579:H579)&lt;1,ROUNDUP(SUM(F579:G579)*((100+H579*100)%),0),"")</f>
        <v/>
      </c>
      <c r="J579" s="129"/>
      <c r="K579" s="129"/>
    </row>
    <row r="580" customFormat="false" ht="12.75" hidden="false" customHeight="true" outlineLevel="0" collapsed="false">
      <c r="A580" s="121" t="str">
        <f aca="false">IF(B580="","",CONCATENATE(COUNTA(B$4:B580),"."))</f>
        <v/>
      </c>
      <c r="B580" s="126"/>
      <c r="C580" s="126"/>
      <c r="D580" s="126"/>
      <c r="E580" s="127"/>
      <c r="F580" s="127"/>
      <c r="G580" s="127"/>
      <c r="H580" s="130"/>
      <c r="I580" s="123" t="str">
        <f aca="false">IF(COUNTBLANK(E580:H580)&lt;1,ROUNDUP(SUM(F580:G580)*((100+H580*100)%),0),"")</f>
        <v/>
      </c>
      <c r="J580" s="129"/>
      <c r="K580" s="129"/>
    </row>
    <row r="581" customFormat="false" ht="12.75" hidden="false" customHeight="true" outlineLevel="0" collapsed="false">
      <c r="A581" s="121" t="str">
        <f aca="false">IF(B581="","",CONCATENATE(COUNTA(B$4:B581),"."))</f>
        <v/>
      </c>
      <c r="B581" s="126"/>
      <c r="C581" s="126"/>
      <c r="D581" s="126"/>
      <c r="E581" s="127"/>
      <c r="F581" s="127"/>
      <c r="G581" s="127"/>
      <c r="H581" s="130"/>
      <c r="I581" s="123" t="str">
        <f aca="false">IF(COUNTBLANK(E581:H581)&lt;1,ROUNDUP(SUM(F581:G581)*((100+H581*100)%),0),"")</f>
        <v/>
      </c>
      <c r="J581" s="129"/>
      <c r="K581" s="129"/>
    </row>
    <row r="582" customFormat="false" ht="12.75" hidden="false" customHeight="true" outlineLevel="0" collapsed="false">
      <c r="A582" s="121" t="str">
        <f aca="false">IF(B582="","",CONCATENATE(COUNTA(B$4:B582),"."))</f>
        <v/>
      </c>
      <c r="B582" s="126"/>
      <c r="C582" s="126"/>
      <c r="D582" s="126"/>
      <c r="E582" s="127"/>
      <c r="F582" s="127"/>
      <c r="G582" s="127"/>
      <c r="H582" s="130"/>
      <c r="I582" s="123" t="str">
        <f aca="false">IF(COUNTBLANK(E582:H582)&lt;1,ROUNDUP(SUM(F582:G582)*((100+H582*100)%),0),"")</f>
        <v/>
      </c>
      <c r="J582" s="129"/>
      <c r="K582" s="129"/>
    </row>
    <row r="583" customFormat="false" ht="12.75" hidden="false" customHeight="true" outlineLevel="0" collapsed="false">
      <c r="A583" s="121" t="str">
        <f aca="false">IF(B583="","",CONCATENATE(COUNTA(B$4:B583),"."))</f>
        <v/>
      </c>
      <c r="B583" s="126"/>
      <c r="C583" s="126"/>
      <c r="D583" s="126"/>
      <c r="E583" s="127"/>
      <c r="F583" s="127"/>
      <c r="G583" s="127"/>
      <c r="H583" s="130"/>
      <c r="I583" s="123" t="str">
        <f aca="false">IF(COUNTBLANK(E583:H583)&lt;1,ROUNDUP(SUM(F583:G583)*((100+H583*100)%),0),"")</f>
        <v/>
      </c>
      <c r="J583" s="129"/>
      <c r="K583" s="129"/>
    </row>
    <row r="584" customFormat="false" ht="12.75" hidden="false" customHeight="true" outlineLevel="0" collapsed="false">
      <c r="A584" s="121" t="str">
        <f aca="false">IF(B584="","",CONCATENATE(COUNTA(B$4:B584),"."))</f>
        <v/>
      </c>
      <c r="B584" s="126"/>
      <c r="C584" s="126"/>
      <c r="D584" s="126"/>
      <c r="E584" s="127"/>
      <c r="F584" s="127"/>
      <c r="G584" s="127"/>
      <c r="H584" s="130"/>
      <c r="I584" s="123" t="str">
        <f aca="false">IF(COUNTBLANK(E584:H584)&lt;1,ROUNDUP(SUM(F584:G584)*((100+H584*100)%),0),"")</f>
        <v/>
      </c>
      <c r="J584" s="129"/>
      <c r="K584" s="129"/>
    </row>
    <row r="585" customFormat="false" ht="12.75" hidden="false" customHeight="true" outlineLevel="0" collapsed="false">
      <c r="A585" s="121" t="str">
        <f aca="false">IF(B585="","",CONCATENATE(COUNTA(B$4:B585),"."))</f>
        <v/>
      </c>
      <c r="B585" s="126"/>
      <c r="C585" s="126"/>
      <c r="D585" s="126"/>
      <c r="E585" s="127"/>
      <c r="F585" s="127"/>
      <c r="G585" s="127"/>
      <c r="H585" s="130"/>
      <c r="I585" s="123" t="str">
        <f aca="false">IF(COUNTBLANK(E585:H585)&lt;1,ROUNDUP(SUM(F585:G585)*((100+H585*100)%),0),"")</f>
        <v/>
      </c>
      <c r="J585" s="129"/>
      <c r="K585" s="129"/>
    </row>
    <row r="586" customFormat="false" ht="12.75" hidden="false" customHeight="true" outlineLevel="0" collapsed="false">
      <c r="A586" s="121" t="str">
        <f aca="false">IF(B586="","",CONCATENATE(COUNTA(B$4:B586),"."))</f>
        <v/>
      </c>
      <c r="B586" s="126"/>
      <c r="C586" s="126"/>
      <c r="D586" s="126"/>
      <c r="E586" s="127"/>
      <c r="F586" s="127"/>
      <c r="G586" s="127"/>
      <c r="H586" s="130"/>
      <c r="I586" s="123" t="str">
        <f aca="false">IF(COUNTBLANK(E586:H586)&lt;1,ROUNDUP(SUM(F586:G586)*((100+H586*100)%),0),"")</f>
        <v/>
      </c>
      <c r="J586" s="129"/>
      <c r="K586" s="129"/>
    </row>
    <row r="587" customFormat="false" ht="12.75" hidden="false" customHeight="true" outlineLevel="0" collapsed="false">
      <c r="A587" s="121" t="str">
        <f aca="false">IF(B587="","",CONCATENATE(COUNTA(B$4:B587),"."))</f>
        <v/>
      </c>
      <c r="B587" s="126"/>
      <c r="C587" s="126"/>
      <c r="D587" s="126"/>
      <c r="E587" s="127"/>
      <c r="F587" s="127"/>
      <c r="G587" s="127"/>
      <c r="H587" s="130"/>
      <c r="I587" s="123" t="str">
        <f aca="false">IF(COUNTBLANK(E587:H587)&lt;1,ROUNDUP(SUM(F587:G587)*((100+H587*100)%),0),"")</f>
        <v/>
      </c>
      <c r="J587" s="129"/>
      <c r="K587" s="129"/>
    </row>
    <row r="588" customFormat="false" ht="12.75" hidden="false" customHeight="true" outlineLevel="0" collapsed="false">
      <c r="A588" s="121" t="str">
        <f aca="false">IF(B588="","",CONCATENATE(COUNTA(B$4:B588),"."))</f>
        <v/>
      </c>
      <c r="B588" s="126"/>
      <c r="C588" s="126"/>
      <c r="D588" s="126"/>
      <c r="E588" s="127"/>
      <c r="F588" s="127"/>
      <c r="G588" s="127"/>
      <c r="H588" s="130"/>
      <c r="I588" s="123" t="str">
        <f aca="false">IF(COUNTBLANK(E588:H588)&lt;1,ROUNDUP(SUM(F588:G588)*((100+H588*100)%),0),"")</f>
        <v/>
      </c>
      <c r="J588" s="129"/>
      <c r="K588" s="129"/>
    </row>
    <row r="589" customFormat="false" ht="12.75" hidden="false" customHeight="true" outlineLevel="0" collapsed="false">
      <c r="A589" s="121" t="str">
        <f aca="false">IF(B589="","",CONCATENATE(COUNTA(B$4:B589),"."))</f>
        <v/>
      </c>
      <c r="B589" s="126"/>
      <c r="C589" s="126"/>
      <c r="D589" s="126"/>
      <c r="E589" s="127"/>
      <c r="F589" s="127"/>
      <c r="G589" s="127"/>
      <c r="H589" s="130"/>
      <c r="I589" s="123" t="str">
        <f aca="false">IF(COUNTBLANK(E589:H589)&lt;1,ROUNDUP(SUM(F589:G589)*((100+H589*100)%),0),"")</f>
        <v/>
      </c>
      <c r="J589" s="129"/>
      <c r="K589" s="129"/>
    </row>
    <row r="590" customFormat="false" ht="12.75" hidden="false" customHeight="true" outlineLevel="0" collapsed="false">
      <c r="A590" s="121" t="str">
        <f aca="false">IF(B590="","",CONCATENATE(COUNTA(B$4:B590),"."))</f>
        <v/>
      </c>
      <c r="B590" s="126"/>
      <c r="C590" s="126"/>
      <c r="D590" s="126"/>
      <c r="E590" s="127"/>
      <c r="F590" s="127"/>
      <c r="G590" s="127"/>
      <c r="H590" s="130"/>
      <c r="I590" s="123" t="str">
        <f aca="false">IF(COUNTBLANK(E590:H590)&lt;1,ROUNDUP(SUM(F590:G590)*((100+H590*100)%),0),"")</f>
        <v/>
      </c>
      <c r="J590" s="129"/>
      <c r="K590" s="129"/>
    </row>
    <row r="591" customFormat="false" ht="12.75" hidden="false" customHeight="true" outlineLevel="0" collapsed="false">
      <c r="A591" s="121" t="str">
        <f aca="false">IF(B591="","",CONCATENATE(COUNTA(B$4:B591),"."))</f>
        <v/>
      </c>
      <c r="B591" s="126"/>
      <c r="C591" s="126"/>
      <c r="D591" s="126"/>
      <c r="E591" s="127"/>
      <c r="F591" s="127"/>
      <c r="G591" s="127"/>
      <c r="H591" s="130"/>
      <c r="I591" s="123" t="str">
        <f aca="false">IF(COUNTBLANK(E591:H591)&lt;1,ROUNDUP(SUM(F591:G591)*((100+H591*100)%),0),"")</f>
        <v/>
      </c>
      <c r="J591" s="129"/>
      <c r="K591" s="129"/>
    </row>
    <row r="592" customFormat="false" ht="12.75" hidden="false" customHeight="true" outlineLevel="0" collapsed="false">
      <c r="A592" s="121" t="str">
        <f aca="false">IF(B592="","",CONCATENATE(COUNTA(B$4:B592),"."))</f>
        <v/>
      </c>
      <c r="B592" s="126"/>
      <c r="C592" s="126"/>
      <c r="D592" s="126"/>
      <c r="E592" s="127"/>
      <c r="F592" s="127"/>
      <c r="G592" s="127"/>
      <c r="H592" s="130"/>
      <c r="I592" s="123" t="str">
        <f aca="false">IF(COUNTBLANK(E592:H592)&lt;1,ROUNDUP(SUM(F592:G592)*((100+H592*100)%),0),"")</f>
        <v/>
      </c>
      <c r="J592" s="129"/>
      <c r="K592" s="129"/>
    </row>
    <row r="593" customFormat="false" ht="12.75" hidden="false" customHeight="true" outlineLevel="0" collapsed="false">
      <c r="A593" s="121" t="str">
        <f aca="false">IF(B593="","",CONCATENATE(COUNTA(B$4:B593),"."))</f>
        <v/>
      </c>
      <c r="B593" s="126"/>
      <c r="C593" s="126"/>
      <c r="D593" s="126"/>
      <c r="E593" s="127"/>
      <c r="F593" s="127"/>
      <c r="G593" s="127"/>
      <c r="H593" s="130"/>
      <c r="I593" s="123" t="str">
        <f aca="false">IF(COUNTBLANK(E593:H593)&lt;1,ROUNDUP(SUM(F593:G593)*((100+H593*100)%),0),"")</f>
        <v/>
      </c>
      <c r="J593" s="129"/>
      <c r="K593" s="129"/>
    </row>
    <row r="594" customFormat="false" ht="12.75" hidden="false" customHeight="true" outlineLevel="0" collapsed="false">
      <c r="A594" s="121" t="str">
        <f aca="false">IF(B594="","",CONCATENATE(COUNTA(B$4:B594),"."))</f>
        <v/>
      </c>
      <c r="B594" s="126"/>
      <c r="C594" s="126"/>
      <c r="D594" s="126"/>
      <c r="E594" s="127"/>
      <c r="F594" s="127"/>
      <c r="G594" s="127"/>
      <c r="H594" s="130"/>
      <c r="I594" s="123" t="str">
        <f aca="false">IF(COUNTBLANK(E594:H594)&lt;1,ROUNDUP(SUM(F594:G594)*((100+H594*100)%),0),"")</f>
        <v/>
      </c>
      <c r="J594" s="129"/>
      <c r="K594" s="129"/>
    </row>
    <row r="595" customFormat="false" ht="12.75" hidden="false" customHeight="true" outlineLevel="0" collapsed="false">
      <c r="A595" s="121" t="str">
        <f aca="false">IF(B595="","",CONCATENATE(COUNTA(B$4:B595),"."))</f>
        <v/>
      </c>
      <c r="B595" s="126"/>
      <c r="C595" s="126"/>
      <c r="D595" s="126"/>
      <c r="E595" s="127"/>
      <c r="F595" s="127"/>
      <c r="G595" s="127"/>
      <c r="H595" s="130"/>
      <c r="I595" s="123" t="str">
        <f aca="false">IF(COUNTBLANK(E595:H595)&lt;1,ROUNDUP(SUM(F595:G595)*((100+H595*100)%),0),"")</f>
        <v/>
      </c>
      <c r="J595" s="129"/>
      <c r="K595" s="129"/>
    </row>
    <row r="596" customFormat="false" ht="12.75" hidden="false" customHeight="true" outlineLevel="0" collapsed="false">
      <c r="A596" s="121" t="str">
        <f aca="false">IF(B596="","",CONCATENATE(COUNTA(B$4:B596),"."))</f>
        <v/>
      </c>
      <c r="B596" s="126"/>
      <c r="C596" s="126"/>
      <c r="D596" s="126"/>
      <c r="E596" s="127"/>
      <c r="F596" s="127"/>
      <c r="G596" s="127"/>
      <c r="H596" s="130"/>
      <c r="I596" s="123" t="str">
        <f aca="false">IF(COUNTBLANK(E596:H596)&lt;1,ROUNDUP(SUM(F596:G596)*((100+H596*100)%),0),"")</f>
        <v/>
      </c>
      <c r="J596" s="129"/>
      <c r="K596" s="129"/>
    </row>
    <row r="597" customFormat="false" ht="12.75" hidden="false" customHeight="true" outlineLevel="0" collapsed="false">
      <c r="A597" s="121" t="str">
        <f aca="false">IF(B597="","",CONCATENATE(COUNTA(B$4:B597),"."))</f>
        <v/>
      </c>
      <c r="B597" s="126"/>
      <c r="C597" s="126"/>
      <c r="D597" s="126"/>
      <c r="E597" s="127"/>
      <c r="F597" s="127"/>
      <c r="G597" s="127"/>
      <c r="H597" s="130"/>
      <c r="I597" s="123" t="str">
        <f aca="false">IF(COUNTBLANK(E597:H597)&lt;1,ROUNDUP(SUM(F597:G597)*((100+H597*100)%),0),"")</f>
        <v/>
      </c>
      <c r="J597" s="129"/>
      <c r="K597" s="129"/>
    </row>
    <row r="598" customFormat="false" ht="12.75" hidden="false" customHeight="true" outlineLevel="0" collapsed="false">
      <c r="A598" s="121" t="str">
        <f aca="false">IF(B598="","",CONCATENATE(COUNTA(B$4:B598),"."))</f>
        <v/>
      </c>
      <c r="B598" s="126"/>
      <c r="C598" s="126"/>
      <c r="D598" s="126"/>
      <c r="E598" s="127"/>
      <c r="F598" s="127"/>
      <c r="G598" s="127"/>
      <c r="H598" s="130"/>
      <c r="I598" s="123" t="str">
        <f aca="false">IF(COUNTBLANK(E598:H598)&lt;1,ROUNDUP(SUM(F598:G598)*((100+H598*100)%),0),"")</f>
        <v/>
      </c>
      <c r="J598" s="129"/>
      <c r="K598" s="129"/>
    </row>
    <row r="599" customFormat="false" ht="12.75" hidden="false" customHeight="true" outlineLevel="0" collapsed="false">
      <c r="A599" s="121" t="str">
        <f aca="false">IF(B599="","",CONCATENATE(COUNTA(B$4:B599),"."))</f>
        <v/>
      </c>
      <c r="B599" s="126"/>
      <c r="C599" s="126"/>
      <c r="D599" s="126"/>
      <c r="E599" s="127"/>
      <c r="F599" s="127"/>
      <c r="G599" s="127"/>
      <c r="H599" s="130"/>
      <c r="I599" s="123" t="str">
        <f aca="false">IF(COUNTBLANK(E599:H599)&lt;1,ROUNDUP(SUM(F599:G599)*((100+H599*100)%),0),"")</f>
        <v/>
      </c>
      <c r="J599" s="129"/>
      <c r="K599" s="129"/>
    </row>
    <row r="600" customFormat="false" ht="12.75" hidden="false" customHeight="true" outlineLevel="0" collapsed="false">
      <c r="A600" s="121" t="str">
        <f aca="false">IF(B600="","",CONCATENATE(COUNTA(B$4:B600),"."))</f>
        <v/>
      </c>
      <c r="B600" s="126"/>
      <c r="C600" s="126"/>
      <c r="D600" s="126"/>
      <c r="E600" s="127"/>
      <c r="F600" s="127"/>
      <c r="G600" s="127"/>
      <c r="H600" s="130"/>
      <c r="I600" s="123" t="str">
        <f aca="false">IF(COUNTBLANK(E600:H600)&lt;1,ROUNDUP(SUM(F600:G600)*((100+H600*100)%),0),"")</f>
        <v/>
      </c>
      <c r="J600" s="129"/>
      <c r="K600" s="129"/>
    </row>
    <row r="601" customFormat="false" ht="12.75" hidden="false" customHeight="true" outlineLevel="0" collapsed="false">
      <c r="A601" s="121" t="str">
        <f aca="false">IF(B601="","",CONCATENATE(COUNTA(B$4:B601),"."))</f>
        <v/>
      </c>
      <c r="B601" s="126"/>
      <c r="C601" s="126"/>
      <c r="D601" s="126"/>
      <c r="E601" s="127"/>
      <c r="F601" s="127"/>
      <c r="G601" s="127"/>
      <c r="H601" s="130"/>
      <c r="I601" s="123" t="str">
        <f aca="false">IF(COUNTBLANK(E601:H601)&lt;1,ROUNDUP(SUM(F601:G601)*((100+H601*100)%),0),"")</f>
        <v/>
      </c>
      <c r="J601" s="129"/>
      <c r="K601" s="129"/>
    </row>
    <row r="602" customFormat="false" ht="12.75" hidden="false" customHeight="true" outlineLevel="0" collapsed="false">
      <c r="A602" s="121" t="str">
        <f aca="false">IF(B602="","",CONCATENATE(COUNTA(B$4:B602),"."))</f>
        <v/>
      </c>
      <c r="B602" s="126"/>
      <c r="C602" s="126"/>
      <c r="D602" s="126"/>
      <c r="E602" s="127"/>
      <c r="F602" s="127"/>
      <c r="G602" s="127"/>
      <c r="H602" s="130"/>
      <c r="I602" s="123" t="str">
        <f aca="false">IF(COUNTBLANK(E602:H602)&lt;1,ROUNDUP(SUM(F602:G602)*((100+H602*100)%),0),"")</f>
        <v/>
      </c>
      <c r="J602" s="129"/>
      <c r="K602" s="129"/>
    </row>
    <row r="603" customFormat="false" ht="12.75" hidden="false" customHeight="true" outlineLevel="0" collapsed="false">
      <c r="A603" s="121" t="str">
        <f aca="false">IF(B603="","",CONCATENATE(COUNTA(B$4:B603),"."))</f>
        <v/>
      </c>
      <c r="B603" s="126"/>
      <c r="C603" s="126"/>
      <c r="D603" s="126"/>
      <c r="E603" s="127"/>
      <c r="F603" s="127"/>
      <c r="G603" s="127"/>
      <c r="H603" s="130"/>
      <c r="I603" s="123" t="str">
        <f aca="false">IF(COUNTBLANK(E603:H603)&lt;1,ROUNDUP(SUM(F603:G603)*((100+H603*100)%),0),"")</f>
        <v/>
      </c>
      <c r="J603" s="129"/>
      <c r="K603" s="129"/>
    </row>
    <row r="604" customFormat="false" ht="12.75" hidden="false" customHeight="true" outlineLevel="0" collapsed="false">
      <c r="A604" s="121" t="str">
        <f aca="false">IF(B604="","",CONCATENATE(COUNTA(B$4:B604),"."))</f>
        <v/>
      </c>
      <c r="B604" s="126"/>
      <c r="C604" s="126"/>
      <c r="D604" s="126"/>
      <c r="E604" s="127"/>
      <c r="F604" s="127"/>
      <c r="G604" s="127"/>
      <c r="H604" s="130"/>
      <c r="I604" s="123" t="str">
        <f aca="false">IF(COUNTBLANK(E604:H604)&lt;1,ROUNDUP(SUM(F604:G604)*((100+H604*100)%),0),"")</f>
        <v/>
      </c>
      <c r="J604" s="129"/>
      <c r="K604" s="129"/>
    </row>
    <row r="605" customFormat="false" ht="12.75" hidden="false" customHeight="true" outlineLevel="0" collapsed="false">
      <c r="A605" s="121" t="str">
        <f aca="false">IF(B605="","",CONCATENATE(COUNTA(B$4:B605),"."))</f>
        <v/>
      </c>
      <c r="B605" s="126"/>
      <c r="C605" s="126"/>
      <c r="D605" s="126"/>
      <c r="E605" s="127"/>
      <c r="F605" s="127"/>
      <c r="G605" s="127"/>
      <c r="H605" s="130"/>
      <c r="I605" s="123" t="str">
        <f aca="false">IF(COUNTBLANK(E605:H605)&lt;1,ROUNDUP(SUM(F605:G605)*((100+H605*100)%),0),"")</f>
        <v/>
      </c>
      <c r="J605" s="129"/>
      <c r="K605" s="129"/>
    </row>
    <row r="606" customFormat="false" ht="12.75" hidden="false" customHeight="true" outlineLevel="0" collapsed="false">
      <c r="A606" s="121" t="str">
        <f aca="false">IF(B606="","",CONCATENATE(COUNTA(B$4:B606),"."))</f>
        <v/>
      </c>
      <c r="B606" s="126"/>
      <c r="C606" s="126"/>
      <c r="D606" s="126"/>
      <c r="E606" s="127"/>
      <c r="F606" s="127"/>
      <c r="G606" s="127"/>
      <c r="H606" s="130"/>
      <c r="I606" s="123" t="str">
        <f aca="false">IF(COUNTBLANK(E606:H606)&lt;1,ROUNDUP(SUM(F606:G606)*((100+H606*100)%),0),"")</f>
        <v/>
      </c>
      <c r="J606" s="129"/>
      <c r="K606" s="129"/>
    </row>
    <row r="607" customFormat="false" ht="12.75" hidden="false" customHeight="true" outlineLevel="0" collapsed="false">
      <c r="A607" s="121" t="str">
        <f aca="false">IF(B607="","",CONCATENATE(COUNTA(B$4:B607),"."))</f>
        <v/>
      </c>
      <c r="B607" s="126"/>
      <c r="C607" s="126"/>
      <c r="D607" s="126"/>
      <c r="E607" s="127"/>
      <c r="F607" s="127"/>
      <c r="G607" s="127"/>
      <c r="H607" s="130"/>
      <c r="I607" s="123" t="str">
        <f aca="false">IF(COUNTBLANK(E607:H607)&lt;1,ROUNDUP(SUM(F607:G607)*((100+H607*100)%),0),"")</f>
        <v/>
      </c>
      <c r="J607" s="129"/>
      <c r="K607" s="129"/>
    </row>
    <row r="608" customFormat="false" ht="12.75" hidden="false" customHeight="true" outlineLevel="0" collapsed="false">
      <c r="A608" s="121" t="str">
        <f aca="false">IF(B608="","",CONCATENATE(COUNTA(B$4:B608),"."))</f>
        <v/>
      </c>
      <c r="B608" s="126"/>
      <c r="C608" s="126"/>
      <c r="D608" s="126"/>
      <c r="E608" s="127"/>
      <c r="F608" s="127"/>
      <c r="G608" s="127"/>
      <c r="H608" s="130"/>
      <c r="I608" s="123" t="str">
        <f aca="false">IF(COUNTBLANK(E608:H608)&lt;1,ROUNDUP(SUM(F608:G608)*((100+H608*100)%),0),"")</f>
        <v/>
      </c>
      <c r="J608" s="129"/>
      <c r="K608" s="129"/>
    </row>
    <row r="609" customFormat="false" ht="12.75" hidden="false" customHeight="true" outlineLevel="0" collapsed="false">
      <c r="A609" s="121" t="str">
        <f aca="false">IF(B609="","",CONCATENATE(COUNTA(B$4:B609),"."))</f>
        <v/>
      </c>
      <c r="B609" s="126"/>
      <c r="C609" s="126"/>
      <c r="D609" s="126"/>
      <c r="E609" s="127"/>
      <c r="F609" s="127"/>
      <c r="G609" s="127"/>
      <c r="H609" s="130"/>
      <c r="I609" s="123" t="str">
        <f aca="false">IF(COUNTBLANK(E609:H609)&lt;1,ROUNDUP(SUM(F609:G609)*((100+H609*100)%),0),"")</f>
        <v/>
      </c>
      <c r="J609" s="129"/>
      <c r="K609" s="129"/>
    </row>
    <row r="610" customFormat="false" ht="12.75" hidden="false" customHeight="true" outlineLevel="0" collapsed="false">
      <c r="A610" s="121" t="str">
        <f aca="false">IF(B610="","",CONCATENATE(COUNTA(B$4:B610),"."))</f>
        <v/>
      </c>
      <c r="B610" s="126"/>
      <c r="C610" s="126"/>
      <c r="D610" s="126"/>
      <c r="E610" s="127"/>
      <c r="F610" s="127"/>
      <c r="G610" s="127"/>
      <c r="H610" s="130"/>
      <c r="I610" s="123" t="str">
        <f aca="false">IF(COUNTBLANK(E610:H610)&lt;1,ROUNDUP(SUM(F610:G610)*((100+H610*100)%),0),"")</f>
        <v/>
      </c>
      <c r="J610" s="129"/>
      <c r="K610" s="129"/>
    </row>
    <row r="611" customFormat="false" ht="12.75" hidden="false" customHeight="true" outlineLevel="0" collapsed="false">
      <c r="A611" s="121" t="str">
        <f aca="false">IF(B611="","",CONCATENATE(COUNTA(B$4:B611),"."))</f>
        <v/>
      </c>
      <c r="B611" s="126"/>
      <c r="C611" s="126"/>
      <c r="D611" s="126"/>
      <c r="E611" s="127"/>
      <c r="F611" s="127"/>
      <c r="G611" s="127"/>
      <c r="H611" s="130"/>
      <c r="I611" s="123" t="str">
        <f aca="false">IF(COUNTBLANK(E611:H611)&lt;1,ROUNDUP(SUM(F611:G611)*((100+H611*100)%),0),"")</f>
        <v/>
      </c>
      <c r="J611" s="129"/>
      <c r="K611" s="129"/>
    </row>
    <row r="612" customFormat="false" ht="12.75" hidden="false" customHeight="true" outlineLevel="0" collapsed="false">
      <c r="A612" s="121" t="str">
        <f aca="false">IF(B612="","",CONCATENATE(COUNTA(B$4:B612),"."))</f>
        <v/>
      </c>
      <c r="B612" s="126"/>
      <c r="C612" s="126"/>
      <c r="D612" s="126"/>
      <c r="E612" s="127"/>
      <c r="F612" s="127"/>
      <c r="G612" s="127"/>
      <c r="H612" s="130"/>
      <c r="I612" s="123" t="str">
        <f aca="false">IF(COUNTBLANK(E612:H612)&lt;1,ROUNDUP(SUM(F612:G612)*((100+H612*100)%),0),"")</f>
        <v/>
      </c>
      <c r="J612" s="129"/>
      <c r="K612" s="129"/>
    </row>
    <row r="613" customFormat="false" ht="12.75" hidden="false" customHeight="true" outlineLevel="0" collapsed="false">
      <c r="A613" s="121" t="str">
        <f aca="false">IF(B613="","",CONCATENATE(COUNTA(B$4:B613),"."))</f>
        <v/>
      </c>
      <c r="B613" s="126"/>
      <c r="C613" s="126"/>
      <c r="D613" s="126"/>
      <c r="E613" s="127"/>
      <c r="F613" s="127"/>
      <c r="G613" s="127"/>
      <c r="H613" s="130"/>
      <c r="I613" s="123" t="str">
        <f aca="false">IF(COUNTBLANK(E613:H613)&lt;1,ROUNDUP(SUM(F613:G613)*((100+H613*100)%),0),"")</f>
        <v/>
      </c>
      <c r="J613" s="129"/>
      <c r="K613" s="129"/>
    </row>
    <row r="614" customFormat="false" ht="12.75" hidden="false" customHeight="true" outlineLevel="0" collapsed="false">
      <c r="A614" s="121" t="str">
        <f aca="false">IF(B614="","",CONCATENATE(COUNTA(B$4:B614),"."))</f>
        <v/>
      </c>
      <c r="B614" s="126"/>
      <c r="C614" s="126"/>
      <c r="D614" s="126"/>
      <c r="E614" s="127"/>
      <c r="F614" s="127"/>
      <c r="G614" s="127"/>
      <c r="H614" s="130"/>
      <c r="I614" s="123" t="str">
        <f aca="false">IF(COUNTBLANK(E614:H614)&lt;1,ROUNDUP(SUM(F614:G614)*((100+H614*100)%),0),"")</f>
        <v/>
      </c>
      <c r="J614" s="129"/>
      <c r="K614" s="129"/>
    </row>
    <row r="615" customFormat="false" ht="12.75" hidden="false" customHeight="true" outlineLevel="0" collapsed="false">
      <c r="A615" s="121" t="str">
        <f aca="false">IF(B615="","",CONCATENATE(COUNTA(B$4:B615),"."))</f>
        <v/>
      </c>
      <c r="B615" s="126"/>
      <c r="C615" s="126"/>
      <c r="D615" s="126"/>
      <c r="E615" s="127"/>
      <c r="F615" s="127"/>
      <c r="G615" s="127"/>
      <c r="H615" s="130"/>
      <c r="I615" s="123" t="str">
        <f aca="false">IF(COUNTBLANK(E615:H615)&lt;1,ROUNDUP(SUM(F615:G615)*((100+H615*100)%),0),"")</f>
        <v/>
      </c>
      <c r="J615" s="129"/>
      <c r="K615" s="129"/>
    </row>
    <row r="616" customFormat="false" ht="12.75" hidden="false" customHeight="true" outlineLevel="0" collapsed="false">
      <c r="A616" s="121" t="str">
        <f aca="false">IF(B616="","",CONCATENATE(COUNTA(B$4:B616),"."))</f>
        <v/>
      </c>
      <c r="B616" s="126"/>
      <c r="C616" s="126"/>
      <c r="D616" s="126"/>
      <c r="E616" s="127"/>
      <c r="F616" s="127"/>
      <c r="G616" s="127"/>
      <c r="H616" s="130"/>
      <c r="I616" s="123" t="str">
        <f aca="false">IF(COUNTBLANK(E616:H616)&lt;1,ROUNDUP(SUM(F616:G616)*((100+H616*100)%),0),"")</f>
        <v/>
      </c>
      <c r="J616" s="129"/>
      <c r="K616" s="129"/>
    </row>
    <row r="617" customFormat="false" ht="12.75" hidden="false" customHeight="true" outlineLevel="0" collapsed="false">
      <c r="A617" s="121" t="str">
        <f aca="false">IF(B617="","",CONCATENATE(COUNTA(B$4:B617),"."))</f>
        <v/>
      </c>
      <c r="B617" s="126"/>
      <c r="C617" s="126"/>
      <c r="D617" s="126"/>
      <c r="E617" s="127"/>
      <c r="F617" s="127"/>
      <c r="G617" s="127"/>
      <c r="H617" s="130"/>
      <c r="I617" s="123" t="str">
        <f aca="false">IF(COUNTBLANK(E617:H617)&lt;1,ROUNDUP(SUM(F617:G617)*((100+H617*100)%),0),"")</f>
        <v/>
      </c>
      <c r="J617" s="129"/>
      <c r="K617" s="129"/>
    </row>
    <row r="618" customFormat="false" ht="12.75" hidden="false" customHeight="true" outlineLevel="0" collapsed="false">
      <c r="A618" s="121" t="str">
        <f aca="false">IF(B618="","",CONCATENATE(COUNTA(B$4:B618),"."))</f>
        <v/>
      </c>
      <c r="B618" s="126"/>
      <c r="C618" s="126"/>
      <c r="D618" s="126"/>
      <c r="E618" s="127"/>
      <c r="F618" s="127"/>
      <c r="G618" s="127"/>
      <c r="H618" s="130"/>
      <c r="I618" s="123" t="str">
        <f aca="false">IF(COUNTBLANK(E618:H618)&lt;1,ROUNDUP(SUM(F618:G618)*((100+H618*100)%),0),"")</f>
        <v/>
      </c>
      <c r="J618" s="129"/>
      <c r="K618" s="129"/>
    </row>
    <row r="619" customFormat="false" ht="12.75" hidden="false" customHeight="true" outlineLevel="0" collapsed="false">
      <c r="A619" s="121" t="str">
        <f aca="false">IF(B619="","",CONCATENATE(COUNTA(B$4:B619),"."))</f>
        <v/>
      </c>
      <c r="B619" s="126"/>
      <c r="C619" s="126"/>
      <c r="D619" s="126"/>
      <c r="E619" s="127"/>
      <c r="F619" s="127"/>
      <c r="G619" s="127"/>
      <c r="H619" s="130"/>
      <c r="I619" s="123" t="str">
        <f aca="false">IF(COUNTBLANK(E619:H619)&lt;1,ROUNDUP(SUM(F619:G619)*((100+H619*100)%),0),"")</f>
        <v/>
      </c>
      <c r="J619" s="129"/>
      <c r="K619" s="129"/>
    </row>
    <row r="620" customFormat="false" ht="12.75" hidden="false" customHeight="true" outlineLevel="0" collapsed="false">
      <c r="A620" s="121" t="str">
        <f aca="false">IF(B620="","",CONCATENATE(COUNTA(B$4:B620),"."))</f>
        <v/>
      </c>
      <c r="B620" s="126"/>
      <c r="C620" s="126"/>
      <c r="D620" s="126"/>
      <c r="E620" s="127"/>
      <c r="F620" s="127"/>
      <c r="G620" s="127"/>
      <c r="H620" s="130"/>
      <c r="I620" s="123" t="str">
        <f aca="false">IF(COUNTBLANK(E620:H620)&lt;1,ROUNDUP(SUM(F620:G620)*((100+H620*100)%),0),"")</f>
        <v/>
      </c>
      <c r="J620" s="129"/>
      <c r="K620" s="129"/>
    </row>
    <row r="621" customFormat="false" ht="12.75" hidden="false" customHeight="true" outlineLevel="0" collapsed="false">
      <c r="A621" s="121" t="str">
        <f aca="false">IF(B621="","",CONCATENATE(COUNTA(B$4:B621),"."))</f>
        <v/>
      </c>
      <c r="B621" s="126"/>
      <c r="C621" s="126"/>
      <c r="D621" s="126"/>
      <c r="E621" s="127"/>
      <c r="F621" s="127"/>
      <c r="G621" s="127"/>
      <c r="H621" s="130"/>
      <c r="I621" s="123" t="str">
        <f aca="false">IF(COUNTBLANK(E621:H621)&lt;1,ROUNDUP(SUM(F621:G621)*((100+H621*100)%),0),"")</f>
        <v/>
      </c>
      <c r="J621" s="129"/>
      <c r="K621" s="129"/>
    </row>
    <row r="622" customFormat="false" ht="12.75" hidden="false" customHeight="true" outlineLevel="0" collapsed="false">
      <c r="A622" s="121" t="str">
        <f aca="false">IF(B622="","",CONCATENATE(COUNTA(B$4:B622),"."))</f>
        <v/>
      </c>
      <c r="B622" s="126"/>
      <c r="C622" s="126"/>
      <c r="D622" s="126"/>
      <c r="E622" s="127"/>
      <c r="F622" s="127"/>
      <c r="G622" s="127"/>
      <c r="H622" s="130"/>
      <c r="I622" s="123" t="str">
        <f aca="false">IF(COUNTBLANK(E622:H622)&lt;1,ROUNDUP(SUM(F622:G622)*((100+H622*100)%),0),"")</f>
        <v/>
      </c>
      <c r="J622" s="129"/>
      <c r="K622" s="129"/>
    </row>
    <row r="623" customFormat="false" ht="12.75" hidden="false" customHeight="true" outlineLevel="0" collapsed="false">
      <c r="A623" s="121" t="str">
        <f aca="false">IF(B623="","",CONCATENATE(COUNTA(B$4:B623),"."))</f>
        <v/>
      </c>
      <c r="B623" s="126"/>
      <c r="C623" s="126"/>
      <c r="D623" s="126"/>
      <c r="E623" s="127"/>
      <c r="F623" s="127"/>
      <c r="G623" s="127"/>
      <c r="H623" s="130"/>
      <c r="I623" s="123" t="str">
        <f aca="false">IF(COUNTBLANK(E623:H623)&lt;1,ROUNDUP(SUM(F623:G623)*((100+H623*100)%),0),"")</f>
        <v/>
      </c>
      <c r="J623" s="129"/>
      <c r="K623" s="129"/>
    </row>
    <row r="624" customFormat="false" ht="12.75" hidden="false" customHeight="true" outlineLevel="0" collapsed="false">
      <c r="A624" s="121" t="str">
        <f aca="false">IF(B624="","",CONCATENATE(COUNTA(B$4:B624),"."))</f>
        <v/>
      </c>
      <c r="B624" s="126"/>
      <c r="C624" s="126"/>
      <c r="D624" s="126"/>
      <c r="E624" s="127"/>
      <c r="F624" s="127"/>
      <c r="G624" s="127"/>
      <c r="H624" s="130"/>
      <c r="I624" s="123" t="str">
        <f aca="false">IF(COUNTBLANK(E624:H624)&lt;1,ROUNDUP(SUM(F624:G624)*((100+H624*100)%),0),"")</f>
        <v/>
      </c>
      <c r="J624" s="129"/>
      <c r="K624" s="129"/>
    </row>
    <row r="625" customFormat="false" ht="12.75" hidden="false" customHeight="true" outlineLevel="0" collapsed="false">
      <c r="A625" s="121" t="str">
        <f aca="false">IF(B625="","",CONCATENATE(COUNTA(B$4:B625),"."))</f>
        <v/>
      </c>
      <c r="B625" s="126"/>
      <c r="C625" s="126"/>
      <c r="D625" s="126"/>
      <c r="E625" s="127"/>
      <c r="F625" s="127"/>
      <c r="G625" s="127"/>
      <c r="H625" s="130"/>
      <c r="I625" s="123" t="str">
        <f aca="false">IF(COUNTBLANK(E625:H625)&lt;1,ROUNDUP(SUM(F625:G625)*((100+H625*100)%),0),"")</f>
        <v/>
      </c>
      <c r="J625" s="129"/>
      <c r="K625" s="129"/>
    </row>
    <row r="626" customFormat="false" ht="12.75" hidden="false" customHeight="true" outlineLevel="0" collapsed="false">
      <c r="A626" s="121" t="str">
        <f aca="false">IF(B626="","",CONCATENATE(COUNTA(B$4:B626),"."))</f>
        <v/>
      </c>
      <c r="B626" s="126"/>
      <c r="C626" s="126"/>
      <c r="D626" s="126"/>
      <c r="E626" s="127"/>
      <c r="F626" s="127"/>
      <c r="G626" s="127"/>
      <c r="H626" s="130"/>
      <c r="I626" s="123" t="str">
        <f aca="false">IF(COUNTBLANK(E626:H626)&lt;1,ROUNDUP(SUM(F626:G626)*((100+H626*100)%),0),"")</f>
        <v/>
      </c>
      <c r="J626" s="129"/>
      <c r="K626" s="129"/>
    </row>
    <row r="627" customFormat="false" ht="12.75" hidden="false" customHeight="true" outlineLevel="0" collapsed="false">
      <c r="A627" s="121" t="str">
        <f aca="false">IF(B627="","",CONCATENATE(COUNTA(B$4:B627),"."))</f>
        <v/>
      </c>
      <c r="B627" s="126"/>
      <c r="C627" s="126"/>
      <c r="D627" s="126"/>
      <c r="E627" s="127"/>
      <c r="F627" s="127"/>
      <c r="G627" s="127"/>
      <c r="H627" s="130"/>
      <c r="I627" s="123" t="str">
        <f aca="false">IF(COUNTBLANK(E627:H627)&lt;1,ROUNDUP(SUM(F627:G627)*((100+H627*100)%),0),"")</f>
        <v/>
      </c>
      <c r="J627" s="129"/>
      <c r="K627" s="129"/>
    </row>
    <row r="628" customFormat="false" ht="12.75" hidden="false" customHeight="true" outlineLevel="0" collapsed="false">
      <c r="A628" s="121" t="str">
        <f aca="false">IF(B628="","",CONCATENATE(COUNTA(B$4:B628),"."))</f>
        <v/>
      </c>
      <c r="B628" s="126"/>
      <c r="C628" s="126"/>
      <c r="D628" s="126"/>
      <c r="E628" s="127"/>
      <c r="F628" s="127"/>
      <c r="G628" s="127"/>
      <c r="H628" s="130"/>
      <c r="I628" s="123" t="str">
        <f aca="false">IF(COUNTBLANK(E628:H628)&lt;1,ROUNDUP(SUM(F628:G628)*((100+H628*100)%),0),"")</f>
        <v/>
      </c>
      <c r="J628" s="129"/>
      <c r="K628" s="129"/>
    </row>
    <row r="629" customFormat="false" ht="12.75" hidden="false" customHeight="true" outlineLevel="0" collapsed="false">
      <c r="A629" s="121" t="str">
        <f aca="false">IF(B629="","",CONCATENATE(COUNTA(B$4:B629),"."))</f>
        <v/>
      </c>
      <c r="B629" s="126"/>
      <c r="C629" s="126"/>
      <c r="D629" s="126"/>
      <c r="E629" s="127"/>
      <c r="F629" s="127"/>
      <c r="G629" s="127"/>
      <c r="H629" s="130"/>
      <c r="I629" s="123" t="str">
        <f aca="false">IF(COUNTBLANK(E629:H629)&lt;1,ROUNDUP(SUM(F629:G629)*((100+H629*100)%),0),"")</f>
        <v/>
      </c>
      <c r="J629" s="129"/>
      <c r="K629" s="129"/>
    </row>
    <row r="630" customFormat="false" ht="12.75" hidden="false" customHeight="true" outlineLevel="0" collapsed="false">
      <c r="A630" s="121" t="str">
        <f aca="false">IF(B630="","",CONCATENATE(COUNTA(B$4:B630),"."))</f>
        <v/>
      </c>
      <c r="B630" s="126"/>
      <c r="C630" s="126"/>
      <c r="D630" s="126"/>
      <c r="E630" s="127"/>
      <c r="F630" s="127"/>
      <c r="G630" s="127"/>
      <c r="H630" s="130"/>
      <c r="I630" s="123" t="str">
        <f aca="false">IF(COUNTBLANK(E630:H630)&lt;1,ROUNDUP(SUM(F630:G630)*((100+H630*100)%),0),"")</f>
        <v/>
      </c>
      <c r="J630" s="129"/>
      <c r="K630" s="129"/>
    </row>
    <row r="631" customFormat="false" ht="12.75" hidden="false" customHeight="true" outlineLevel="0" collapsed="false">
      <c r="A631" s="121" t="str">
        <f aca="false">IF(B631="","",CONCATENATE(COUNTA(B$4:B631),"."))</f>
        <v/>
      </c>
      <c r="B631" s="126"/>
      <c r="C631" s="126"/>
      <c r="D631" s="126"/>
      <c r="E631" s="127"/>
      <c r="F631" s="127"/>
      <c r="G631" s="127"/>
      <c r="H631" s="130"/>
      <c r="I631" s="123" t="str">
        <f aca="false">IF(COUNTBLANK(E631:H631)&lt;1,ROUNDUP(SUM(F631:G631)*((100+H631*100)%),0),"")</f>
        <v/>
      </c>
      <c r="J631" s="129"/>
      <c r="K631" s="129"/>
    </row>
    <row r="632" customFormat="false" ht="12.75" hidden="false" customHeight="true" outlineLevel="0" collapsed="false">
      <c r="A632" s="121" t="str">
        <f aca="false">IF(B632="","",CONCATENATE(COUNTA(B$4:B632),"."))</f>
        <v/>
      </c>
      <c r="B632" s="126"/>
      <c r="C632" s="126"/>
      <c r="D632" s="126"/>
      <c r="E632" s="127"/>
      <c r="F632" s="127"/>
      <c r="G632" s="127"/>
      <c r="H632" s="130"/>
      <c r="I632" s="123" t="str">
        <f aca="false">IF(COUNTBLANK(E632:H632)&lt;1,ROUNDUP(SUM(F632:G632)*((100+H632*100)%),0),"")</f>
        <v/>
      </c>
      <c r="J632" s="129"/>
      <c r="K632" s="129"/>
    </row>
    <row r="633" customFormat="false" ht="12.75" hidden="false" customHeight="true" outlineLevel="0" collapsed="false">
      <c r="A633" s="121" t="str">
        <f aca="false">IF(B633="","",CONCATENATE(COUNTA(B$4:B633),"."))</f>
        <v/>
      </c>
      <c r="B633" s="126"/>
      <c r="C633" s="126"/>
      <c r="D633" s="126"/>
      <c r="E633" s="127"/>
      <c r="F633" s="127"/>
      <c r="G633" s="127"/>
      <c r="H633" s="130"/>
      <c r="I633" s="123" t="str">
        <f aca="false">IF(COUNTBLANK(E633:H633)&lt;1,ROUNDUP(SUM(F633:G633)*((100+H633*100)%),0),"")</f>
        <v/>
      </c>
      <c r="J633" s="129"/>
      <c r="K633" s="129"/>
    </row>
    <row r="634" customFormat="false" ht="12.75" hidden="false" customHeight="true" outlineLevel="0" collapsed="false">
      <c r="A634" s="121" t="str">
        <f aca="false">IF(B634="","",CONCATENATE(COUNTA(B$4:B634),"."))</f>
        <v/>
      </c>
      <c r="B634" s="126"/>
      <c r="C634" s="126"/>
      <c r="D634" s="126"/>
      <c r="E634" s="127"/>
      <c r="F634" s="127"/>
      <c r="G634" s="127"/>
      <c r="H634" s="130"/>
      <c r="I634" s="123" t="str">
        <f aca="false">IF(COUNTBLANK(E634:H634)&lt;1,ROUNDUP(SUM(F634:G634)*((100+H634*100)%),0),"")</f>
        <v/>
      </c>
      <c r="J634" s="129"/>
      <c r="K634" s="129"/>
    </row>
    <row r="635" customFormat="false" ht="12.75" hidden="false" customHeight="true" outlineLevel="0" collapsed="false">
      <c r="A635" s="121" t="str">
        <f aca="false">IF(B635="","",CONCATENATE(COUNTA(B$4:B635),"."))</f>
        <v/>
      </c>
      <c r="B635" s="126"/>
      <c r="C635" s="126"/>
      <c r="D635" s="126"/>
      <c r="E635" s="127"/>
      <c r="F635" s="127"/>
      <c r="G635" s="127"/>
      <c r="H635" s="130"/>
      <c r="I635" s="123" t="str">
        <f aca="false">IF(COUNTBLANK(E635:H635)&lt;1,ROUNDUP(SUM(F635:G635)*((100+H635*100)%),0),"")</f>
        <v/>
      </c>
      <c r="J635" s="129"/>
      <c r="K635" s="129"/>
    </row>
    <row r="636" customFormat="false" ht="12.75" hidden="false" customHeight="true" outlineLevel="0" collapsed="false">
      <c r="A636" s="121" t="str">
        <f aca="false">IF(B636="","",CONCATENATE(COUNTA(B$4:B636),"."))</f>
        <v/>
      </c>
      <c r="B636" s="126"/>
      <c r="C636" s="126"/>
      <c r="D636" s="126"/>
      <c r="E636" s="127"/>
      <c r="F636" s="127"/>
      <c r="G636" s="127"/>
      <c r="H636" s="130"/>
      <c r="I636" s="123" t="str">
        <f aca="false">IF(COUNTBLANK(E636:H636)&lt;1,ROUNDUP(SUM(F636:G636)*((100+H636*100)%),0),"")</f>
        <v/>
      </c>
      <c r="J636" s="129"/>
      <c r="K636" s="129"/>
    </row>
    <row r="637" customFormat="false" ht="12.75" hidden="false" customHeight="true" outlineLevel="0" collapsed="false">
      <c r="A637" s="121" t="str">
        <f aca="false">IF(B637="","",CONCATENATE(COUNTA(B$4:B637),"."))</f>
        <v/>
      </c>
      <c r="B637" s="126"/>
      <c r="C637" s="126"/>
      <c r="D637" s="126"/>
      <c r="E637" s="127"/>
      <c r="F637" s="127"/>
      <c r="G637" s="127"/>
      <c r="H637" s="130"/>
      <c r="I637" s="123" t="str">
        <f aca="false">IF(COUNTBLANK(E637:H637)&lt;1,ROUNDUP(SUM(F637:G637)*((100+H637*100)%),0),"")</f>
        <v/>
      </c>
      <c r="J637" s="129"/>
      <c r="K637" s="129"/>
    </row>
    <row r="638" customFormat="false" ht="12.75" hidden="false" customHeight="true" outlineLevel="0" collapsed="false">
      <c r="A638" s="121" t="str">
        <f aca="false">IF(B638="","",CONCATENATE(COUNTA(B$4:B638),"."))</f>
        <v/>
      </c>
      <c r="B638" s="126"/>
      <c r="C638" s="126"/>
      <c r="D638" s="126"/>
      <c r="E638" s="127"/>
      <c r="F638" s="127"/>
      <c r="G638" s="127"/>
      <c r="H638" s="130"/>
      <c r="I638" s="123" t="str">
        <f aca="false">IF(COUNTBLANK(E638:H638)&lt;1,ROUNDUP(SUM(F638:G638)*((100+H638*100)%),0),"")</f>
        <v/>
      </c>
      <c r="J638" s="129"/>
      <c r="K638" s="129"/>
    </row>
    <row r="639" customFormat="false" ht="12.75" hidden="false" customHeight="true" outlineLevel="0" collapsed="false">
      <c r="A639" s="121" t="str">
        <f aca="false">IF(B639="","",CONCATENATE(COUNTA(B$4:B639),"."))</f>
        <v/>
      </c>
      <c r="B639" s="126"/>
      <c r="C639" s="126"/>
      <c r="D639" s="126"/>
      <c r="E639" s="127"/>
      <c r="F639" s="127"/>
      <c r="G639" s="127"/>
      <c r="H639" s="130"/>
      <c r="I639" s="123" t="str">
        <f aca="false">IF(COUNTBLANK(E639:H639)&lt;1,ROUNDUP(SUM(F639:G639)*((100+H639*100)%),0),"")</f>
        <v/>
      </c>
      <c r="J639" s="129"/>
      <c r="K639" s="129"/>
    </row>
    <row r="640" customFormat="false" ht="12.75" hidden="false" customHeight="true" outlineLevel="0" collapsed="false">
      <c r="A640" s="121" t="str">
        <f aca="false">IF(B640="","",CONCATENATE(COUNTA(B$4:B640),"."))</f>
        <v/>
      </c>
      <c r="B640" s="126"/>
      <c r="C640" s="126"/>
      <c r="D640" s="126"/>
      <c r="E640" s="127"/>
      <c r="F640" s="127"/>
      <c r="G640" s="127"/>
      <c r="H640" s="130"/>
      <c r="I640" s="123" t="str">
        <f aca="false">IF(COUNTBLANK(E640:H640)&lt;1,ROUNDUP(SUM(F640:G640)*((100+H640*100)%),0),"")</f>
        <v/>
      </c>
      <c r="J640" s="129"/>
      <c r="K640" s="129"/>
    </row>
    <row r="641" customFormat="false" ht="12.75" hidden="false" customHeight="true" outlineLevel="0" collapsed="false">
      <c r="A641" s="121" t="str">
        <f aca="false">IF(B641="","",CONCATENATE(COUNTA(B$4:B641),"."))</f>
        <v/>
      </c>
      <c r="B641" s="126"/>
      <c r="C641" s="126"/>
      <c r="D641" s="126"/>
      <c r="E641" s="127"/>
      <c r="F641" s="127"/>
      <c r="G641" s="127"/>
      <c r="H641" s="130"/>
      <c r="I641" s="123" t="str">
        <f aca="false">IF(COUNTBLANK(E641:H641)&lt;1,ROUNDUP(SUM(F641:G641)*((100+H641*100)%),0),"")</f>
        <v/>
      </c>
      <c r="J641" s="129"/>
      <c r="K641" s="129"/>
    </row>
    <row r="642" customFormat="false" ht="12.75" hidden="false" customHeight="true" outlineLevel="0" collapsed="false">
      <c r="A642" s="121" t="str">
        <f aca="false">IF(B642="","",CONCATENATE(COUNTA(B$4:B642),"."))</f>
        <v/>
      </c>
      <c r="B642" s="126"/>
      <c r="C642" s="126"/>
      <c r="D642" s="126"/>
      <c r="E642" s="127"/>
      <c r="F642" s="127"/>
      <c r="G642" s="127"/>
      <c r="H642" s="130"/>
      <c r="I642" s="123" t="str">
        <f aca="false">IF(COUNTBLANK(E642:H642)&lt;1,ROUNDUP(SUM(F642:G642)*((100+H642*100)%),0),"")</f>
        <v/>
      </c>
      <c r="J642" s="129"/>
      <c r="K642" s="129"/>
    </row>
    <row r="643" customFormat="false" ht="12.75" hidden="false" customHeight="true" outlineLevel="0" collapsed="false">
      <c r="A643" s="121" t="str">
        <f aca="false">IF(B643="","",CONCATENATE(COUNTA(B$4:B643),"."))</f>
        <v/>
      </c>
      <c r="B643" s="126"/>
      <c r="C643" s="126"/>
      <c r="D643" s="126"/>
      <c r="E643" s="127"/>
      <c r="F643" s="127"/>
      <c r="G643" s="127"/>
      <c r="H643" s="130"/>
      <c r="I643" s="123" t="str">
        <f aca="false">IF(COUNTBLANK(E643:H643)&lt;1,ROUNDUP(SUM(F643:G643)*((100+H643*100)%),0),"")</f>
        <v/>
      </c>
      <c r="J643" s="129"/>
      <c r="K643" s="129"/>
    </row>
    <row r="644" customFormat="false" ht="12.75" hidden="false" customHeight="true" outlineLevel="0" collapsed="false">
      <c r="A644" s="121" t="str">
        <f aca="false">IF(B644="","",CONCATENATE(COUNTA(B$4:B644),"."))</f>
        <v/>
      </c>
      <c r="B644" s="126"/>
      <c r="C644" s="126"/>
      <c r="D644" s="126"/>
      <c r="E644" s="127"/>
      <c r="F644" s="127"/>
      <c r="G644" s="127"/>
      <c r="H644" s="130"/>
      <c r="I644" s="123" t="str">
        <f aca="false">IF(COUNTBLANK(E644:H644)&lt;1,ROUNDUP(SUM(F644:G644)*((100+H644*100)%),0),"")</f>
        <v/>
      </c>
      <c r="J644" s="129"/>
      <c r="K644" s="129"/>
    </row>
    <row r="645" customFormat="false" ht="12.75" hidden="false" customHeight="true" outlineLevel="0" collapsed="false">
      <c r="A645" s="121" t="str">
        <f aca="false">IF(B645="","",CONCATENATE(COUNTA(B$4:B645),"."))</f>
        <v/>
      </c>
      <c r="B645" s="126"/>
      <c r="C645" s="126"/>
      <c r="D645" s="126"/>
      <c r="E645" s="127"/>
      <c r="F645" s="127"/>
      <c r="G645" s="127"/>
      <c r="H645" s="130"/>
      <c r="I645" s="123" t="str">
        <f aca="false">IF(COUNTBLANK(E645:H645)&lt;1,ROUNDUP(SUM(F645:G645)*((100+H645*100)%),0),"")</f>
        <v/>
      </c>
      <c r="J645" s="129"/>
      <c r="K645" s="129"/>
    </row>
    <row r="646" customFormat="false" ht="12.75" hidden="false" customHeight="true" outlineLevel="0" collapsed="false">
      <c r="A646" s="121" t="str">
        <f aca="false">IF(B646="","",CONCATENATE(COUNTA(B$4:B646),"."))</f>
        <v/>
      </c>
      <c r="B646" s="126"/>
      <c r="C646" s="126"/>
      <c r="D646" s="126"/>
      <c r="E646" s="127"/>
      <c r="F646" s="127"/>
      <c r="G646" s="127"/>
      <c r="H646" s="130"/>
      <c r="I646" s="123" t="str">
        <f aca="false">IF(COUNTBLANK(E646:H646)&lt;1,ROUNDUP(SUM(F646:G646)*((100+H646*100)%),0),"")</f>
        <v/>
      </c>
      <c r="J646" s="129"/>
      <c r="K646" s="129"/>
    </row>
    <row r="647" customFormat="false" ht="12.75" hidden="false" customHeight="true" outlineLevel="0" collapsed="false">
      <c r="A647" s="121" t="str">
        <f aca="false">IF(B647="","",CONCATENATE(COUNTA(B$4:B647),"."))</f>
        <v/>
      </c>
      <c r="B647" s="126"/>
      <c r="C647" s="126"/>
      <c r="D647" s="126"/>
      <c r="E647" s="127"/>
      <c r="F647" s="127"/>
      <c r="G647" s="127"/>
      <c r="H647" s="130"/>
      <c r="I647" s="123" t="str">
        <f aca="false">IF(COUNTBLANK(E647:H647)&lt;1,ROUNDUP(SUM(F647:G647)*((100+H647*100)%),0),"")</f>
        <v/>
      </c>
      <c r="J647" s="129"/>
      <c r="K647" s="129"/>
    </row>
    <row r="648" customFormat="false" ht="12.75" hidden="false" customHeight="true" outlineLevel="0" collapsed="false">
      <c r="A648" s="121" t="str">
        <f aca="false">IF(B648="","",CONCATENATE(COUNTA(B$4:B648),"."))</f>
        <v/>
      </c>
      <c r="B648" s="126"/>
      <c r="C648" s="126"/>
      <c r="D648" s="126"/>
      <c r="E648" s="127"/>
      <c r="F648" s="127"/>
      <c r="G648" s="127"/>
      <c r="H648" s="130"/>
      <c r="I648" s="123" t="str">
        <f aca="false">IF(COUNTBLANK(E648:H648)&lt;1,ROUNDUP(SUM(F648:G648)*((100+H648*100)%),0),"")</f>
        <v/>
      </c>
      <c r="J648" s="129"/>
      <c r="K648" s="129"/>
    </row>
    <row r="649" customFormat="false" ht="12.75" hidden="false" customHeight="true" outlineLevel="0" collapsed="false">
      <c r="A649" s="121" t="str">
        <f aca="false">IF(B649="","",CONCATENATE(COUNTA(B$4:B649),"."))</f>
        <v/>
      </c>
      <c r="B649" s="126"/>
      <c r="C649" s="126"/>
      <c r="D649" s="126"/>
      <c r="E649" s="127"/>
      <c r="F649" s="127"/>
      <c r="G649" s="127"/>
      <c r="H649" s="130"/>
      <c r="I649" s="123" t="str">
        <f aca="false">IF(COUNTBLANK(E649:H649)&lt;1,ROUNDUP(SUM(F649:G649)*((100+H649*100)%),0),"")</f>
        <v/>
      </c>
      <c r="J649" s="129"/>
      <c r="K649" s="129"/>
    </row>
    <row r="650" customFormat="false" ht="12.75" hidden="false" customHeight="true" outlineLevel="0" collapsed="false">
      <c r="A650" s="121" t="str">
        <f aca="false">IF(B650="","",CONCATENATE(COUNTA(B$4:B650),"."))</f>
        <v/>
      </c>
      <c r="B650" s="126"/>
      <c r="C650" s="126"/>
      <c r="D650" s="126"/>
      <c r="E650" s="127"/>
      <c r="F650" s="127"/>
      <c r="G650" s="127"/>
      <c r="H650" s="130"/>
      <c r="I650" s="123" t="str">
        <f aca="false">IF(COUNTBLANK(E650:H650)&lt;1,ROUNDUP(SUM(F650:G650)*((100+H650*100)%),0),"")</f>
        <v/>
      </c>
      <c r="J650" s="129"/>
      <c r="K650" s="129"/>
    </row>
    <row r="651" customFormat="false" ht="12.75" hidden="false" customHeight="true" outlineLevel="0" collapsed="false">
      <c r="A651" s="121" t="str">
        <f aca="false">IF(B651="","",CONCATENATE(COUNTA(B$4:B651),"."))</f>
        <v/>
      </c>
      <c r="B651" s="126"/>
      <c r="C651" s="126"/>
      <c r="D651" s="126"/>
      <c r="E651" s="127"/>
      <c r="F651" s="127"/>
      <c r="G651" s="127"/>
      <c r="H651" s="130"/>
      <c r="I651" s="123" t="str">
        <f aca="false">IF(COUNTBLANK(E651:H651)&lt;1,ROUNDUP(SUM(F651:G651)*((100+H651*100)%),0),"")</f>
        <v/>
      </c>
      <c r="J651" s="129"/>
      <c r="K651" s="129"/>
    </row>
    <row r="652" customFormat="false" ht="12.75" hidden="false" customHeight="true" outlineLevel="0" collapsed="false">
      <c r="A652" s="121" t="str">
        <f aca="false">IF(B652="","",CONCATENATE(COUNTA(B$4:B652),"."))</f>
        <v/>
      </c>
      <c r="B652" s="126"/>
      <c r="C652" s="126"/>
      <c r="D652" s="126"/>
      <c r="E652" s="127"/>
      <c r="F652" s="127"/>
      <c r="G652" s="127"/>
      <c r="H652" s="130"/>
      <c r="I652" s="123" t="str">
        <f aca="false">IF(COUNTBLANK(E652:H652)&lt;1,ROUNDUP(SUM(F652:G652)*((100+H652*100)%),0),"")</f>
        <v/>
      </c>
      <c r="J652" s="129"/>
      <c r="K652" s="129"/>
    </row>
    <row r="653" customFormat="false" ht="12.75" hidden="false" customHeight="true" outlineLevel="0" collapsed="false">
      <c r="A653" s="121" t="str">
        <f aca="false">IF(B653="","",CONCATENATE(COUNTA(B$4:B653),"."))</f>
        <v/>
      </c>
      <c r="B653" s="126"/>
      <c r="C653" s="126"/>
      <c r="D653" s="126"/>
      <c r="E653" s="127"/>
      <c r="F653" s="127"/>
      <c r="G653" s="127"/>
      <c r="H653" s="130"/>
      <c r="I653" s="123" t="str">
        <f aca="false">IF(COUNTBLANK(E653:H653)&lt;1,ROUNDUP(SUM(F653:G653)*((100+H653*100)%),0),"")</f>
        <v/>
      </c>
      <c r="J653" s="129"/>
      <c r="K653" s="129"/>
    </row>
    <row r="654" customFormat="false" ht="12.75" hidden="false" customHeight="true" outlineLevel="0" collapsed="false">
      <c r="A654" s="121" t="str">
        <f aca="false">IF(B654="","",CONCATENATE(COUNTA(B$4:B654),"."))</f>
        <v/>
      </c>
      <c r="B654" s="126"/>
      <c r="C654" s="126"/>
      <c r="D654" s="126"/>
      <c r="E654" s="127"/>
      <c r="F654" s="127"/>
      <c r="G654" s="127"/>
      <c r="H654" s="130"/>
      <c r="I654" s="123" t="str">
        <f aca="false">IF(COUNTBLANK(E654:H654)&lt;1,ROUNDUP(SUM(F654:G654)*((100+H654*100)%),0),"")</f>
        <v/>
      </c>
      <c r="J654" s="129"/>
      <c r="K654" s="129"/>
    </row>
    <row r="655" customFormat="false" ht="12.75" hidden="false" customHeight="true" outlineLevel="0" collapsed="false">
      <c r="A655" s="121" t="str">
        <f aca="false">IF(B655="","",CONCATENATE(COUNTA(B$4:B655),"."))</f>
        <v/>
      </c>
      <c r="B655" s="126"/>
      <c r="C655" s="126"/>
      <c r="D655" s="126"/>
      <c r="E655" s="127"/>
      <c r="F655" s="127"/>
      <c r="G655" s="127"/>
      <c r="H655" s="130"/>
      <c r="I655" s="123" t="str">
        <f aca="false">IF(COUNTBLANK(E655:H655)&lt;1,ROUNDUP(SUM(F655:G655)*((100+H655*100)%),0),"")</f>
        <v/>
      </c>
      <c r="J655" s="129"/>
      <c r="K655" s="129"/>
    </row>
    <row r="656" customFormat="false" ht="12.75" hidden="false" customHeight="true" outlineLevel="0" collapsed="false">
      <c r="A656" s="121" t="str">
        <f aca="false">IF(B656="","",CONCATENATE(COUNTA(B$4:B656),"."))</f>
        <v/>
      </c>
      <c r="B656" s="126"/>
      <c r="C656" s="126"/>
      <c r="D656" s="126"/>
      <c r="E656" s="127"/>
      <c r="F656" s="127"/>
      <c r="G656" s="127"/>
      <c r="H656" s="130"/>
      <c r="I656" s="123" t="str">
        <f aca="false">IF(COUNTBLANK(E656:H656)&lt;1,ROUNDUP(SUM(F656:G656)*((100+H656*100)%),0),"")</f>
        <v/>
      </c>
      <c r="J656" s="129"/>
      <c r="K656" s="129"/>
    </row>
    <row r="657" customFormat="false" ht="12.75" hidden="false" customHeight="true" outlineLevel="0" collapsed="false">
      <c r="A657" s="121" t="str">
        <f aca="false">IF(B657="","",CONCATENATE(COUNTA(B$4:B657),"."))</f>
        <v/>
      </c>
      <c r="B657" s="126"/>
      <c r="C657" s="126"/>
      <c r="D657" s="126"/>
      <c r="E657" s="127"/>
      <c r="F657" s="127"/>
      <c r="G657" s="127"/>
      <c r="H657" s="130"/>
      <c r="I657" s="123" t="str">
        <f aca="false">IF(COUNTBLANK(E657:H657)&lt;1,ROUNDUP(SUM(F657:G657)*((100+H657*100)%),0),"")</f>
        <v/>
      </c>
      <c r="J657" s="129"/>
      <c r="K657" s="129"/>
    </row>
    <row r="658" customFormat="false" ht="12.75" hidden="false" customHeight="true" outlineLevel="0" collapsed="false">
      <c r="A658" s="121" t="str">
        <f aca="false">IF(B658="","",CONCATENATE(COUNTA(B$4:B658),"."))</f>
        <v/>
      </c>
      <c r="B658" s="126"/>
      <c r="C658" s="126"/>
      <c r="D658" s="126"/>
      <c r="E658" s="127"/>
      <c r="F658" s="127"/>
      <c r="G658" s="127"/>
      <c r="H658" s="130"/>
      <c r="I658" s="123" t="str">
        <f aca="false">IF(COUNTBLANK(E658:H658)&lt;1,ROUNDUP(SUM(F658:G658)*((100+H658*100)%),0),"")</f>
        <v/>
      </c>
      <c r="J658" s="129"/>
      <c r="K658" s="129"/>
    </row>
    <row r="659" customFormat="false" ht="12.75" hidden="false" customHeight="true" outlineLevel="0" collapsed="false">
      <c r="A659" s="121" t="str">
        <f aca="false">IF(B659="","",CONCATENATE(COUNTA(B$4:B659),"."))</f>
        <v/>
      </c>
      <c r="B659" s="126"/>
      <c r="C659" s="126"/>
      <c r="D659" s="126"/>
      <c r="E659" s="127"/>
      <c r="F659" s="127"/>
      <c r="G659" s="127"/>
      <c r="H659" s="130"/>
      <c r="I659" s="123" t="str">
        <f aca="false">IF(COUNTBLANK(E659:H659)&lt;1,ROUNDUP(SUM(F659:G659)*((100+H659*100)%),0),"")</f>
        <v/>
      </c>
      <c r="J659" s="129"/>
      <c r="K659" s="129"/>
    </row>
    <row r="660" customFormat="false" ht="12.75" hidden="false" customHeight="true" outlineLevel="0" collapsed="false">
      <c r="A660" s="121" t="str">
        <f aca="false">IF(B660="","",CONCATENATE(COUNTA(B$4:B660),"."))</f>
        <v/>
      </c>
      <c r="B660" s="126"/>
      <c r="C660" s="126"/>
      <c r="D660" s="126"/>
      <c r="E660" s="127"/>
      <c r="F660" s="127"/>
      <c r="G660" s="127"/>
      <c r="H660" s="130"/>
      <c r="I660" s="123" t="str">
        <f aca="false">IF(COUNTBLANK(E660:H660)&lt;1,ROUNDUP(SUM(F660:G660)*((100+H660*100)%),0),"")</f>
        <v/>
      </c>
      <c r="J660" s="129"/>
      <c r="K660" s="129"/>
    </row>
    <row r="661" customFormat="false" ht="12.75" hidden="false" customHeight="true" outlineLevel="0" collapsed="false">
      <c r="A661" s="121" t="str">
        <f aca="false">IF(B661="","",CONCATENATE(COUNTA(B$4:B661),"."))</f>
        <v/>
      </c>
      <c r="B661" s="126"/>
      <c r="C661" s="126"/>
      <c r="D661" s="126"/>
      <c r="E661" s="127"/>
      <c r="F661" s="127"/>
      <c r="G661" s="127"/>
      <c r="H661" s="130"/>
      <c r="I661" s="123" t="str">
        <f aca="false">IF(COUNTBLANK(E661:H661)&lt;1,ROUNDUP(SUM(F661:G661)*((100+H661*100)%),0),"")</f>
        <v/>
      </c>
      <c r="J661" s="129"/>
      <c r="K661" s="129"/>
    </row>
    <row r="662" customFormat="false" ht="12.75" hidden="false" customHeight="true" outlineLevel="0" collapsed="false">
      <c r="A662" s="121" t="str">
        <f aca="false">IF(B662="","",CONCATENATE(COUNTA(B$4:B662),"."))</f>
        <v/>
      </c>
      <c r="B662" s="126"/>
      <c r="C662" s="126"/>
      <c r="D662" s="126"/>
      <c r="E662" s="127"/>
      <c r="F662" s="127"/>
      <c r="G662" s="127"/>
      <c r="H662" s="130"/>
      <c r="I662" s="123" t="str">
        <f aca="false">IF(COUNTBLANK(E662:H662)&lt;1,ROUNDUP(SUM(F662:G662)*((100+H662*100)%),0),"")</f>
        <v/>
      </c>
      <c r="J662" s="129"/>
      <c r="K662" s="129"/>
    </row>
    <row r="663" customFormat="false" ht="12.75" hidden="false" customHeight="true" outlineLevel="0" collapsed="false">
      <c r="A663" s="121" t="str">
        <f aca="false">IF(B663="","",CONCATENATE(COUNTA(B$4:B663),"."))</f>
        <v/>
      </c>
      <c r="B663" s="126"/>
      <c r="C663" s="126"/>
      <c r="D663" s="126"/>
      <c r="E663" s="127"/>
      <c r="F663" s="127"/>
      <c r="G663" s="127"/>
      <c r="H663" s="130"/>
      <c r="I663" s="123" t="str">
        <f aca="false">IF(COUNTBLANK(E663:H663)&lt;1,ROUNDUP(SUM(F663:G663)*((100+H663*100)%),0),"")</f>
        <v/>
      </c>
      <c r="J663" s="129"/>
      <c r="K663" s="129"/>
    </row>
    <row r="664" customFormat="false" ht="12.75" hidden="false" customHeight="true" outlineLevel="0" collapsed="false">
      <c r="A664" s="121" t="str">
        <f aca="false">IF(B664="","",CONCATENATE(COUNTA(B$4:B664),"."))</f>
        <v/>
      </c>
      <c r="B664" s="126"/>
      <c r="C664" s="126"/>
      <c r="D664" s="126"/>
      <c r="E664" s="127"/>
      <c r="F664" s="127"/>
      <c r="G664" s="127"/>
      <c r="H664" s="130"/>
      <c r="I664" s="123" t="str">
        <f aca="false">IF(COUNTBLANK(E664:H664)&lt;1,ROUNDUP(SUM(F664:G664)*((100+H664*100)%),0),"")</f>
        <v/>
      </c>
      <c r="J664" s="129"/>
      <c r="K664" s="129"/>
    </row>
    <row r="665" customFormat="false" ht="12.75" hidden="false" customHeight="true" outlineLevel="0" collapsed="false">
      <c r="A665" s="121" t="str">
        <f aca="false">IF(B665="","",CONCATENATE(COUNTA(B$4:B665),"."))</f>
        <v/>
      </c>
      <c r="B665" s="126"/>
      <c r="C665" s="126"/>
      <c r="D665" s="126"/>
      <c r="E665" s="127"/>
      <c r="F665" s="127"/>
      <c r="G665" s="127"/>
      <c r="H665" s="130"/>
      <c r="I665" s="123" t="str">
        <f aca="false">IF(COUNTBLANK(E665:H665)&lt;1,ROUNDUP(SUM(F665:G665)*((100+H665*100)%),0),"")</f>
        <v/>
      </c>
      <c r="J665" s="129"/>
      <c r="K665" s="129"/>
    </row>
    <row r="666" customFormat="false" ht="12.75" hidden="false" customHeight="true" outlineLevel="0" collapsed="false">
      <c r="A666" s="121" t="str">
        <f aca="false">IF(B666="","",CONCATENATE(COUNTA(B$4:B666),"."))</f>
        <v/>
      </c>
      <c r="B666" s="126"/>
      <c r="C666" s="126"/>
      <c r="D666" s="126"/>
      <c r="E666" s="127"/>
      <c r="F666" s="127"/>
      <c r="G666" s="127"/>
      <c r="H666" s="130"/>
      <c r="I666" s="123" t="str">
        <f aca="false">IF(COUNTBLANK(E666:H666)&lt;1,ROUNDUP(SUM(F666:G666)*((100+H666*100)%),0),"")</f>
        <v/>
      </c>
      <c r="J666" s="129"/>
      <c r="K666" s="129"/>
    </row>
    <row r="667" customFormat="false" ht="12.75" hidden="false" customHeight="true" outlineLevel="0" collapsed="false">
      <c r="A667" s="121" t="str">
        <f aca="false">IF(B667="","",CONCATENATE(COUNTA(B$4:B667),"."))</f>
        <v/>
      </c>
      <c r="B667" s="126"/>
      <c r="C667" s="126"/>
      <c r="D667" s="126"/>
      <c r="E667" s="127"/>
      <c r="F667" s="127"/>
      <c r="G667" s="127"/>
      <c r="H667" s="130"/>
      <c r="I667" s="123" t="str">
        <f aca="false">IF(COUNTBLANK(E667:H667)&lt;1,ROUNDUP(SUM(F667:G667)*((100+H667*100)%),0),"")</f>
        <v/>
      </c>
      <c r="J667" s="129"/>
      <c r="K667" s="129"/>
    </row>
    <row r="668" customFormat="false" ht="12.75" hidden="false" customHeight="true" outlineLevel="0" collapsed="false">
      <c r="A668" s="121" t="str">
        <f aca="false">IF(B668="","",CONCATENATE(COUNTA(B$4:B668),"."))</f>
        <v/>
      </c>
      <c r="B668" s="126"/>
      <c r="C668" s="126"/>
      <c r="D668" s="126"/>
      <c r="E668" s="127"/>
      <c r="F668" s="127"/>
      <c r="G668" s="127"/>
      <c r="H668" s="130"/>
      <c r="I668" s="123" t="str">
        <f aca="false">IF(COUNTBLANK(E668:H668)&lt;1,ROUNDUP(SUM(F668:G668)*((100+H668*100)%),0),"")</f>
        <v/>
      </c>
      <c r="J668" s="129"/>
      <c r="K668" s="129"/>
    </row>
    <row r="669" customFormat="false" ht="12.75" hidden="false" customHeight="true" outlineLevel="0" collapsed="false">
      <c r="A669" s="121" t="str">
        <f aca="false">IF(B669="","",CONCATENATE(COUNTA(B$4:B669),"."))</f>
        <v/>
      </c>
      <c r="B669" s="126"/>
      <c r="C669" s="126"/>
      <c r="D669" s="126"/>
      <c r="E669" s="127"/>
      <c r="F669" s="127"/>
      <c r="G669" s="127"/>
      <c r="H669" s="130"/>
      <c r="I669" s="123" t="str">
        <f aca="false">IF(COUNTBLANK(E669:H669)&lt;1,ROUNDUP(SUM(F669:G669)*((100+H669*100)%),0),"")</f>
        <v/>
      </c>
      <c r="J669" s="129"/>
      <c r="K669" s="129"/>
    </row>
    <row r="670" customFormat="false" ht="12.75" hidden="false" customHeight="true" outlineLevel="0" collapsed="false">
      <c r="A670" s="121" t="str">
        <f aca="false">IF(B670="","",CONCATENATE(COUNTA(B$4:B670),"."))</f>
        <v/>
      </c>
      <c r="B670" s="126"/>
      <c r="C670" s="126"/>
      <c r="D670" s="126"/>
      <c r="E670" s="127"/>
      <c r="F670" s="127"/>
      <c r="G670" s="127"/>
      <c r="H670" s="130"/>
      <c r="I670" s="123" t="str">
        <f aca="false">IF(COUNTBLANK(E670:H670)&lt;1,ROUNDUP(SUM(F670:G670)*((100+H670*100)%),0),"")</f>
        <v/>
      </c>
      <c r="J670" s="129"/>
      <c r="K670" s="129"/>
    </row>
    <row r="671" customFormat="false" ht="12.75" hidden="false" customHeight="true" outlineLevel="0" collapsed="false">
      <c r="A671" s="121" t="str">
        <f aca="false">IF(B671="","",CONCATENATE(COUNTA(B$4:B671),"."))</f>
        <v/>
      </c>
      <c r="B671" s="126"/>
      <c r="C671" s="126"/>
      <c r="D671" s="126"/>
      <c r="E671" s="127"/>
      <c r="F671" s="127"/>
      <c r="G671" s="127"/>
      <c r="H671" s="130"/>
      <c r="I671" s="123" t="str">
        <f aca="false">IF(COUNTBLANK(E671:H671)&lt;1,ROUNDUP(SUM(F671:G671)*((100+H671*100)%),0),"")</f>
        <v/>
      </c>
      <c r="J671" s="129"/>
      <c r="K671" s="129"/>
    </row>
    <row r="672" customFormat="false" ht="12.75" hidden="false" customHeight="true" outlineLevel="0" collapsed="false">
      <c r="A672" s="121" t="str">
        <f aca="false">IF(B672="","",CONCATENATE(COUNTA(B$4:B672),"."))</f>
        <v/>
      </c>
      <c r="B672" s="126"/>
      <c r="C672" s="126"/>
      <c r="D672" s="126"/>
      <c r="E672" s="127"/>
      <c r="F672" s="127"/>
      <c r="G672" s="127"/>
      <c r="H672" s="130"/>
      <c r="I672" s="123" t="str">
        <f aca="false">IF(COUNTBLANK(E672:H672)&lt;1,ROUNDUP(SUM(F672:G672)*((100+H672*100)%),0),"")</f>
        <v/>
      </c>
      <c r="J672" s="129"/>
      <c r="K672" s="129"/>
    </row>
    <row r="673" customFormat="false" ht="12.75" hidden="false" customHeight="true" outlineLevel="0" collapsed="false">
      <c r="A673" s="121" t="str">
        <f aca="false">IF(B673="","",CONCATENATE(COUNTA(B$4:B673),"."))</f>
        <v/>
      </c>
      <c r="B673" s="126"/>
      <c r="C673" s="126"/>
      <c r="D673" s="126"/>
      <c r="E673" s="127"/>
      <c r="F673" s="127"/>
      <c r="G673" s="127"/>
      <c r="H673" s="130"/>
      <c r="I673" s="123" t="str">
        <f aca="false">IF(COUNTBLANK(E673:H673)&lt;1,ROUNDUP(SUM(F673:G673)*((100+H673*100)%),0),"")</f>
        <v/>
      </c>
      <c r="J673" s="129"/>
      <c r="K673" s="129"/>
    </row>
    <row r="674" customFormat="false" ht="12.75" hidden="false" customHeight="true" outlineLevel="0" collapsed="false">
      <c r="A674" s="121" t="str">
        <f aca="false">IF(B674="","",CONCATENATE(COUNTA(B$4:B674),"."))</f>
        <v/>
      </c>
      <c r="B674" s="126"/>
      <c r="C674" s="126"/>
      <c r="D674" s="126"/>
      <c r="E674" s="127"/>
      <c r="F674" s="127"/>
      <c r="G674" s="127"/>
      <c r="H674" s="130"/>
      <c r="I674" s="123" t="str">
        <f aca="false">IF(COUNTBLANK(E674:H674)&lt;1,ROUNDUP(SUM(F674:G674)*((100+H674*100)%),0),"")</f>
        <v/>
      </c>
      <c r="J674" s="129"/>
      <c r="K674" s="129"/>
    </row>
    <row r="675" customFormat="false" ht="12.75" hidden="false" customHeight="true" outlineLevel="0" collapsed="false">
      <c r="A675" s="121" t="str">
        <f aca="false">IF(B675="","",CONCATENATE(COUNTA(B$4:B675),"."))</f>
        <v/>
      </c>
      <c r="B675" s="126"/>
      <c r="C675" s="126"/>
      <c r="D675" s="126"/>
      <c r="E675" s="127"/>
      <c r="F675" s="127"/>
      <c r="G675" s="127"/>
      <c r="H675" s="130"/>
      <c r="I675" s="123" t="str">
        <f aca="false">IF(COUNTBLANK(E675:H675)&lt;1,ROUNDUP(SUM(F675:G675)*((100+H675*100)%),0),"")</f>
        <v/>
      </c>
      <c r="J675" s="129"/>
      <c r="K675" s="129"/>
    </row>
    <row r="676" customFormat="false" ht="12.75" hidden="false" customHeight="true" outlineLevel="0" collapsed="false">
      <c r="A676" s="121" t="str">
        <f aca="false">IF(B676="","",CONCATENATE(COUNTA(B$4:B676),"."))</f>
        <v/>
      </c>
      <c r="B676" s="126"/>
      <c r="C676" s="126"/>
      <c r="D676" s="126"/>
      <c r="E676" s="127"/>
      <c r="F676" s="127"/>
      <c r="G676" s="127"/>
      <c r="H676" s="130"/>
      <c r="I676" s="123" t="str">
        <f aca="false">IF(COUNTBLANK(E676:H676)&lt;1,ROUNDUP(SUM(F676:G676)*((100+H676*100)%),0),"")</f>
        <v/>
      </c>
      <c r="J676" s="129"/>
      <c r="K676" s="129"/>
    </row>
    <row r="677" customFormat="false" ht="12.75" hidden="false" customHeight="true" outlineLevel="0" collapsed="false">
      <c r="A677" s="121" t="str">
        <f aca="false">IF(B677="","",CONCATENATE(COUNTA(B$4:B677),"."))</f>
        <v/>
      </c>
      <c r="B677" s="126"/>
      <c r="C677" s="126"/>
      <c r="D677" s="126"/>
      <c r="E677" s="127"/>
      <c r="F677" s="127"/>
      <c r="G677" s="127"/>
      <c r="H677" s="130"/>
      <c r="I677" s="123" t="str">
        <f aca="false">IF(COUNTBLANK(E677:H677)&lt;1,ROUNDUP(SUM(F677:G677)*((100+H677*100)%),0),"")</f>
        <v/>
      </c>
      <c r="J677" s="129"/>
      <c r="K677" s="129"/>
    </row>
    <row r="678" customFormat="false" ht="12.75" hidden="false" customHeight="true" outlineLevel="0" collapsed="false">
      <c r="A678" s="121" t="str">
        <f aca="false">IF(B678="","",CONCATENATE(COUNTA(B$4:B678),"."))</f>
        <v/>
      </c>
      <c r="B678" s="126"/>
      <c r="C678" s="126"/>
      <c r="D678" s="126"/>
      <c r="E678" s="127"/>
      <c r="F678" s="127"/>
      <c r="G678" s="127"/>
      <c r="H678" s="130"/>
      <c r="I678" s="123" t="str">
        <f aca="false">IF(COUNTBLANK(E678:H678)&lt;1,ROUNDUP(SUM(F678:G678)*((100+H678*100)%),0),"")</f>
        <v/>
      </c>
      <c r="J678" s="129"/>
      <c r="K678" s="129"/>
    </row>
    <row r="679" customFormat="false" ht="12.75" hidden="false" customHeight="true" outlineLevel="0" collapsed="false">
      <c r="A679" s="121" t="str">
        <f aca="false">IF(B679="","",CONCATENATE(COUNTA(B$4:B679),"."))</f>
        <v/>
      </c>
      <c r="B679" s="126"/>
      <c r="C679" s="126"/>
      <c r="D679" s="126"/>
      <c r="E679" s="127"/>
      <c r="F679" s="127"/>
      <c r="G679" s="127"/>
      <c r="H679" s="130"/>
      <c r="I679" s="123" t="str">
        <f aca="false">IF(COUNTBLANK(E679:H679)&lt;1,ROUNDUP(SUM(F679:G679)*((100+H679*100)%),0),"")</f>
        <v/>
      </c>
      <c r="J679" s="129"/>
      <c r="K679" s="129"/>
    </row>
    <row r="680" customFormat="false" ht="12.75" hidden="false" customHeight="true" outlineLevel="0" collapsed="false">
      <c r="A680" s="121" t="str">
        <f aca="false">IF(B680="","",CONCATENATE(COUNTA(B$4:B680),"."))</f>
        <v/>
      </c>
      <c r="B680" s="126"/>
      <c r="C680" s="126"/>
      <c r="D680" s="126"/>
      <c r="E680" s="127"/>
      <c r="F680" s="127"/>
      <c r="G680" s="127"/>
      <c r="H680" s="130"/>
      <c r="I680" s="123" t="str">
        <f aca="false">IF(COUNTBLANK(E680:H680)&lt;1,ROUNDUP(SUM(F680:G680)*((100+H680*100)%),0),"")</f>
        <v/>
      </c>
      <c r="J680" s="129"/>
      <c r="K680" s="129"/>
    </row>
    <row r="681" customFormat="false" ht="12.75" hidden="false" customHeight="true" outlineLevel="0" collapsed="false">
      <c r="A681" s="121" t="str">
        <f aca="false">IF(B681="","",CONCATENATE(COUNTA(B$4:B681),"."))</f>
        <v/>
      </c>
      <c r="B681" s="126"/>
      <c r="C681" s="126"/>
      <c r="D681" s="126"/>
      <c r="E681" s="127"/>
      <c r="F681" s="127"/>
      <c r="G681" s="127"/>
      <c r="H681" s="130"/>
      <c r="I681" s="123" t="str">
        <f aca="false">IF(COUNTBLANK(E681:H681)&lt;1,ROUNDUP(SUM(F681:G681)*((100+H681*100)%),0),"")</f>
        <v/>
      </c>
      <c r="J681" s="129"/>
      <c r="K681" s="129"/>
    </row>
    <row r="682" customFormat="false" ht="12.75" hidden="false" customHeight="true" outlineLevel="0" collapsed="false">
      <c r="A682" s="121" t="str">
        <f aca="false">IF(B682="","",CONCATENATE(COUNTA(B$4:B682),"."))</f>
        <v/>
      </c>
      <c r="B682" s="126"/>
      <c r="C682" s="126"/>
      <c r="D682" s="126"/>
      <c r="E682" s="127"/>
      <c r="F682" s="127"/>
      <c r="G682" s="127"/>
      <c r="H682" s="130"/>
      <c r="I682" s="123" t="str">
        <f aca="false">IF(COUNTBLANK(E682:H682)&lt;1,ROUNDUP(SUM(F682:G682)*((100+H682*100)%),0),"")</f>
        <v/>
      </c>
      <c r="J682" s="129"/>
      <c r="K682" s="129"/>
    </row>
    <row r="683" customFormat="false" ht="12.75" hidden="false" customHeight="true" outlineLevel="0" collapsed="false">
      <c r="A683" s="121" t="str">
        <f aca="false">IF(B683="","",CONCATENATE(COUNTA(B$4:B683),"."))</f>
        <v/>
      </c>
      <c r="B683" s="126"/>
      <c r="C683" s="126"/>
      <c r="D683" s="126"/>
      <c r="E683" s="127"/>
      <c r="F683" s="127"/>
      <c r="G683" s="127"/>
      <c r="H683" s="130"/>
      <c r="I683" s="123" t="str">
        <f aca="false">IF(COUNTBLANK(E683:H683)&lt;1,ROUNDUP(SUM(F683:G683)*((100+H683*100)%),0),"")</f>
        <v/>
      </c>
      <c r="J683" s="129"/>
      <c r="K683" s="129"/>
    </row>
    <row r="684" customFormat="false" ht="12.75" hidden="false" customHeight="true" outlineLevel="0" collapsed="false">
      <c r="A684" s="121" t="str">
        <f aca="false">IF(B684="","",CONCATENATE(COUNTA(B$4:B684),"."))</f>
        <v/>
      </c>
      <c r="B684" s="126"/>
      <c r="C684" s="126"/>
      <c r="D684" s="126"/>
      <c r="E684" s="127"/>
      <c r="F684" s="127"/>
      <c r="G684" s="127"/>
      <c r="H684" s="130"/>
      <c r="I684" s="123" t="str">
        <f aca="false">IF(COUNTBLANK(E684:H684)&lt;1,ROUNDUP(SUM(F684:G684)*((100+H684*100)%),0),"")</f>
        <v/>
      </c>
      <c r="J684" s="129"/>
      <c r="K684" s="129"/>
    </row>
    <row r="685" customFormat="false" ht="12.75" hidden="false" customHeight="true" outlineLevel="0" collapsed="false">
      <c r="A685" s="121" t="str">
        <f aca="false">IF(B685="","",CONCATENATE(COUNTA(B$4:B685),"."))</f>
        <v/>
      </c>
      <c r="B685" s="126"/>
      <c r="C685" s="126"/>
      <c r="D685" s="126"/>
      <c r="E685" s="127"/>
      <c r="F685" s="127"/>
      <c r="G685" s="127"/>
      <c r="H685" s="130"/>
      <c r="I685" s="123" t="str">
        <f aca="false">IF(COUNTBLANK(E685:H685)&lt;1,ROUNDUP(SUM(F685:G685)*((100+H685*100)%),0),"")</f>
        <v/>
      </c>
      <c r="J685" s="129"/>
      <c r="K685" s="129"/>
    </row>
    <row r="686" customFormat="false" ht="12.75" hidden="false" customHeight="true" outlineLevel="0" collapsed="false">
      <c r="A686" s="121" t="str">
        <f aca="false">IF(B686="","",CONCATENATE(COUNTA(B$4:B686),"."))</f>
        <v/>
      </c>
      <c r="B686" s="126"/>
      <c r="C686" s="126"/>
      <c r="D686" s="126"/>
      <c r="E686" s="127"/>
      <c r="F686" s="127"/>
      <c r="G686" s="127"/>
      <c r="H686" s="130"/>
      <c r="I686" s="123" t="str">
        <f aca="false">IF(COUNTBLANK(E686:H686)&lt;1,ROUNDUP(SUM(F686:G686)*((100+H686*100)%),0),"")</f>
        <v/>
      </c>
      <c r="J686" s="129"/>
      <c r="K686" s="129"/>
    </row>
    <row r="687" customFormat="false" ht="12.75" hidden="false" customHeight="true" outlineLevel="0" collapsed="false">
      <c r="A687" s="121" t="str">
        <f aca="false">IF(B687="","",CONCATENATE(COUNTA(B$4:B687),"."))</f>
        <v/>
      </c>
      <c r="B687" s="126"/>
      <c r="C687" s="126"/>
      <c r="D687" s="126"/>
      <c r="E687" s="127"/>
      <c r="F687" s="127"/>
      <c r="G687" s="127"/>
      <c r="H687" s="130"/>
      <c r="I687" s="123" t="str">
        <f aca="false">IF(COUNTBLANK(E687:H687)&lt;1,ROUNDUP(SUM(F687:G687)*((100+H687*100)%),0),"")</f>
        <v/>
      </c>
      <c r="J687" s="129"/>
      <c r="K687" s="129"/>
    </row>
    <row r="688" customFormat="false" ht="12.75" hidden="false" customHeight="true" outlineLevel="0" collapsed="false">
      <c r="A688" s="121" t="str">
        <f aca="false">IF(B688="","",CONCATENATE(COUNTA(B$4:B688),"."))</f>
        <v/>
      </c>
      <c r="B688" s="126"/>
      <c r="C688" s="126"/>
      <c r="D688" s="126"/>
      <c r="E688" s="127"/>
      <c r="F688" s="127"/>
      <c r="G688" s="127"/>
      <c r="H688" s="130"/>
      <c r="I688" s="123" t="str">
        <f aca="false">IF(COUNTBLANK(E688:H688)&lt;1,ROUNDUP(SUM(F688:G688)*((100+H688*100)%),0),"")</f>
        <v/>
      </c>
      <c r="J688" s="129"/>
      <c r="K688" s="129"/>
    </row>
    <row r="689" customFormat="false" ht="12.75" hidden="false" customHeight="true" outlineLevel="0" collapsed="false">
      <c r="A689" s="121" t="str">
        <f aca="false">IF(B689="","",CONCATENATE(COUNTA(B$4:B689),"."))</f>
        <v/>
      </c>
      <c r="B689" s="126"/>
      <c r="C689" s="126"/>
      <c r="D689" s="126"/>
      <c r="E689" s="127"/>
      <c r="F689" s="127"/>
      <c r="G689" s="127"/>
      <c r="H689" s="130"/>
      <c r="I689" s="123" t="str">
        <f aca="false">IF(COUNTBLANK(E689:H689)&lt;1,ROUNDUP(SUM(F689:G689)*((100+H689*100)%),0),"")</f>
        <v/>
      </c>
      <c r="J689" s="129"/>
      <c r="K689" s="129"/>
    </row>
    <row r="690" customFormat="false" ht="12.75" hidden="false" customHeight="true" outlineLevel="0" collapsed="false">
      <c r="A690" s="121" t="str">
        <f aca="false">IF(B690="","",CONCATENATE(COUNTA(B$4:B690),"."))</f>
        <v/>
      </c>
      <c r="B690" s="126"/>
      <c r="C690" s="126"/>
      <c r="D690" s="126"/>
      <c r="E690" s="127"/>
      <c r="F690" s="127"/>
      <c r="G690" s="127"/>
      <c r="H690" s="130"/>
      <c r="I690" s="123" t="str">
        <f aca="false">IF(COUNTBLANK(E690:H690)&lt;1,ROUNDUP(SUM(F690:G690)*((100+H690*100)%),0),"")</f>
        <v/>
      </c>
      <c r="J690" s="129"/>
      <c r="K690" s="129"/>
    </row>
    <row r="691" customFormat="false" ht="12.75" hidden="false" customHeight="true" outlineLevel="0" collapsed="false">
      <c r="A691" s="121" t="str">
        <f aca="false">IF(B691="","",CONCATENATE(COUNTA(B$4:B691),"."))</f>
        <v/>
      </c>
      <c r="B691" s="126"/>
      <c r="C691" s="126"/>
      <c r="D691" s="126"/>
      <c r="E691" s="127"/>
      <c r="F691" s="127"/>
      <c r="G691" s="127"/>
      <c r="H691" s="130"/>
      <c r="I691" s="123" t="str">
        <f aca="false">IF(COUNTBLANK(E691:H691)&lt;1,ROUNDUP(SUM(F691:G691)*((100+H691*100)%),0),"")</f>
        <v/>
      </c>
      <c r="J691" s="129"/>
      <c r="K691" s="129"/>
    </row>
    <row r="692" customFormat="false" ht="12.75" hidden="false" customHeight="true" outlineLevel="0" collapsed="false">
      <c r="A692" s="121" t="str">
        <f aca="false">IF(B692="","",CONCATENATE(COUNTA(B$4:B692),"."))</f>
        <v/>
      </c>
      <c r="B692" s="126"/>
      <c r="C692" s="126"/>
      <c r="D692" s="126"/>
      <c r="E692" s="127"/>
      <c r="F692" s="127"/>
      <c r="G692" s="127"/>
      <c r="H692" s="130"/>
      <c r="I692" s="123" t="str">
        <f aca="false">IF(COUNTBLANK(E692:H692)&lt;1,ROUNDUP(SUM(F692:G692)*((100+H692*100)%),0),"")</f>
        <v/>
      </c>
      <c r="J692" s="129"/>
      <c r="K692" s="129"/>
    </row>
    <row r="693" customFormat="false" ht="12.75" hidden="false" customHeight="true" outlineLevel="0" collapsed="false">
      <c r="A693" s="121" t="str">
        <f aca="false">IF(B693="","",CONCATENATE(COUNTA(B$4:B693),"."))</f>
        <v/>
      </c>
      <c r="B693" s="126"/>
      <c r="C693" s="126"/>
      <c r="D693" s="126"/>
      <c r="E693" s="127"/>
      <c r="F693" s="127"/>
      <c r="G693" s="127"/>
      <c r="H693" s="130"/>
      <c r="I693" s="123" t="str">
        <f aca="false">IF(COUNTBLANK(E693:H693)&lt;1,ROUNDUP(SUM(F693:G693)*((100+H693*100)%),0),"")</f>
        <v/>
      </c>
      <c r="J693" s="129"/>
      <c r="K693" s="129"/>
    </row>
    <row r="694" customFormat="false" ht="12.75" hidden="false" customHeight="true" outlineLevel="0" collapsed="false">
      <c r="A694" s="121" t="str">
        <f aca="false">IF(B694="","",CONCATENATE(COUNTA(B$4:B694),"."))</f>
        <v/>
      </c>
      <c r="B694" s="126"/>
      <c r="C694" s="126"/>
      <c r="D694" s="126"/>
      <c r="E694" s="127"/>
      <c r="F694" s="127"/>
      <c r="G694" s="127"/>
      <c r="H694" s="130"/>
      <c r="I694" s="123" t="str">
        <f aca="false">IF(COUNTBLANK(E694:H694)&lt;1,ROUNDUP(SUM(F694:G694)*((100+H694*100)%),0),"")</f>
        <v/>
      </c>
      <c r="J694" s="129"/>
      <c r="K694" s="129"/>
    </row>
    <row r="695" customFormat="false" ht="12.75" hidden="false" customHeight="true" outlineLevel="0" collapsed="false">
      <c r="A695" s="121" t="str">
        <f aca="false">IF(B695="","",CONCATENATE(COUNTA(B$4:B695),"."))</f>
        <v/>
      </c>
      <c r="B695" s="126"/>
      <c r="C695" s="126"/>
      <c r="D695" s="126"/>
      <c r="E695" s="127"/>
      <c r="F695" s="127"/>
      <c r="G695" s="127"/>
      <c r="H695" s="130"/>
      <c r="I695" s="123" t="str">
        <f aca="false">IF(COUNTBLANK(E695:H695)&lt;1,ROUNDUP(SUM(F695:G695)*((100+H695*100)%),0),"")</f>
        <v/>
      </c>
      <c r="J695" s="129"/>
      <c r="K695" s="129"/>
    </row>
    <row r="696" customFormat="false" ht="12.75" hidden="false" customHeight="true" outlineLevel="0" collapsed="false">
      <c r="A696" s="121" t="str">
        <f aca="false">IF(B696="","",CONCATENATE(COUNTA(B$4:B696),"."))</f>
        <v/>
      </c>
      <c r="B696" s="126"/>
      <c r="C696" s="126"/>
      <c r="D696" s="126"/>
      <c r="E696" s="127"/>
      <c r="F696" s="127"/>
      <c r="G696" s="127"/>
      <c r="H696" s="130"/>
      <c r="I696" s="123" t="str">
        <f aca="false">IF(COUNTBLANK(E696:H696)&lt;1,ROUNDUP(SUM(F696:G696)*((100+H696*100)%),0),"")</f>
        <v/>
      </c>
      <c r="J696" s="129"/>
      <c r="K696" s="129"/>
    </row>
    <row r="697" customFormat="false" ht="12.75" hidden="false" customHeight="true" outlineLevel="0" collapsed="false">
      <c r="A697" s="121" t="str">
        <f aca="false">IF(B697="","",CONCATENATE(COUNTA(B$4:B697),"."))</f>
        <v/>
      </c>
      <c r="B697" s="126"/>
      <c r="C697" s="126"/>
      <c r="D697" s="126"/>
      <c r="E697" s="127"/>
      <c r="F697" s="127"/>
      <c r="G697" s="127"/>
      <c r="H697" s="130"/>
      <c r="I697" s="123" t="str">
        <f aca="false">IF(COUNTBLANK(E697:H697)&lt;1,ROUNDUP(SUM(F697:G697)*((100+H697*100)%),0),"")</f>
        <v/>
      </c>
      <c r="J697" s="129"/>
      <c r="K697" s="129"/>
    </row>
    <row r="698" customFormat="false" ht="12.75" hidden="false" customHeight="true" outlineLevel="0" collapsed="false">
      <c r="A698" s="121" t="str">
        <f aca="false">IF(B698="","",CONCATENATE(COUNTA(B$4:B698),"."))</f>
        <v/>
      </c>
      <c r="B698" s="126"/>
      <c r="C698" s="126"/>
      <c r="D698" s="126"/>
      <c r="E698" s="127"/>
      <c r="F698" s="127"/>
      <c r="G698" s="127"/>
      <c r="H698" s="130"/>
      <c r="I698" s="123" t="str">
        <f aca="false">IF(COUNTBLANK(E698:H698)&lt;1,ROUNDUP(SUM(F698:G698)*((100+H698*100)%),0),"")</f>
        <v/>
      </c>
      <c r="J698" s="129"/>
      <c r="K698" s="129"/>
    </row>
    <row r="699" customFormat="false" ht="12.75" hidden="false" customHeight="true" outlineLevel="0" collapsed="false">
      <c r="A699" s="121" t="str">
        <f aca="false">IF(B699="","",CONCATENATE(COUNTA(B$4:B699),"."))</f>
        <v/>
      </c>
      <c r="B699" s="126"/>
      <c r="C699" s="126"/>
      <c r="D699" s="126"/>
      <c r="E699" s="127"/>
      <c r="F699" s="127"/>
      <c r="G699" s="127"/>
      <c r="H699" s="130"/>
      <c r="I699" s="123" t="str">
        <f aca="false">IF(COUNTBLANK(E699:H699)&lt;1,ROUNDUP(SUM(F699:G699)*((100+H699*100)%),0),"")</f>
        <v/>
      </c>
      <c r="J699" s="129"/>
      <c r="K699" s="129"/>
    </row>
    <row r="700" customFormat="false" ht="12.75" hidden="false" customHeight="true" outlineLevel="0" collapsed="false">
      <c r="A700" s="121" t="str">
        <f aca="false">IF(B700="","",CONCATENATE(COUNTA(B$4:B700),"."))</f>
        <v/>
      </c>
      <c r="B700" s="126"/>
      <c r="C700" s="126"/>
      <c r="D700" s="126"/>
      <c r="E700" s="127"/>
      <c r="F700" s="127"/>
      <c r="G700" s="127"/>
      <c r="H700" s="130"/>
      <c r="I700" s="123" t="str">
        <f aca="false">IF(COUNTBLANK(E700:H700)&lt;1,ROUNDUP(SUM(F700:G700)*((100+H700*100)%),0),"")</f>
        <v/>
      </c>
      <c r="J700" s="129"/>
      <c r="K700" s="129"/>
    </row>
    <row r="701" customFormat="false" ht="12.75" hidden="false" customHeight="true" outlineLevel="0" collapsed="false">
      <c r="A701" s="121" t="str">
        <f aca="false">IF(B701="","",CONCATENATE(COUNTA(B$4:B701),"."))</f>
        <v/>
      </c>
      <c r="B701" s="126"/>
      <c r="C701" s="126"/>
      <c r="D701" s="126"/>
      <c r="E701" s="127"/>
      <c r="F701" s="127"/>
      <c r="G701" s="127"/>
      <c r="H701" s="130"/>
      <c r="I701" s="123" t="str">
        <f aca="false">IF(COUNTBLANK(E701:H701)&lt;1,ROUNDUP(SUM(F701:G701)*((100+H701*100)%),0),"")</f>
        <v/>
      </c>
      <c r="J701" s="129"/>
      <c r="K701" s="129"/>
    </row>
    <row r="702" customFormat="false" ht="12.75" hidden="false" customHeight="true" outlineLevel="0" collapsed="false">
      <c r="A702" s="121" t="str">
        <f aca="false">IF(B702="","",CONCATENATE(COUNTA(B$4:B702),"."))</f>
        <v/>
      </c>
      <c r="B702" s="126"/>
      <c r="C702" s="126"/>
      <c r="D702" s="126"/>
      <c r="E702" s="127"/>
      <c r="F702" s="127"/>
      <c r="G702" s="127"/>
      <c r="H702" s="130"/>
      <c r="I702" s="123" t="str">
        <f aca="false">IF(COUNTBLANK(E702:H702)&lt;1,ROUNDUP(SUM(F702:G702)*((100+H702*100)%),0),"")</f>
        <v/>
      </c>
      <c r="J702" s="129"/>
      <c r="K702" s="129"/>
    </row>
    <row r="703" customFormat="false" ht="12.75" hidden="false" customHeight="true" outlineLevel="0" collapsed="false">
      <c r="A703" s="121" t="str">
        <f aca="false">IF(B703="","",CONCATENATE(COUNTA(B$4:B703),"."))</f>
        <v/>
      </c>
      <c r="B703" s="126"/>
      <c r="C703" s="126"/>
      <c r="D703" s="126"/>
      <c r="E703" s="127"/>
      <c r="F703" s="127"/>
      <c r="G703" s="127"/>
      <c r="H703" s="130"/>
      <c r="I703" s="123" t="str">
        <f aca="false">IF(COUNTBLANK(E703:H703)&lt;1,ROUNDUP(SUM(F703:G703)*((100+H703*100)%),0),"")</f>
        <v/>
      </c>
      <c r="J703" s="129"/>
      <c r="K703" s="129"/>
    </row>
    <row r="704" customFormat="false" ht="12.75" hidden="false" customHeight="true" outlineLevel="0" collapsed="false">
      <c r="A704" s="121" t="str">
        <f aca="false">IF(B704="","",CONCATENATE(COUNTA(B$4:B704),"."))</f>
        <v/>
      </c>
      <c r="B704" s="126"/>
      <c r="C704" s="126"/>
      <c r="D704" s="126"/>
      <c r="E704" s="127"/>
      <c r="F704" s="127"/>
      <c r="G704" s="127"/>
      <c r="H704" s="130"/>
      <c r="I704" s="123" t="str">
        <f aca="false">IF(COUNTBLANK(E704:H704)&lt;1,ROUNDUP(SUM(F704:G704)*((100+H704*100)%),0),"")</f>
        <v/>
      </c>
      <c r="J704" s="129"/>
      <c r="K704" s="129"/>
    </row>
    <row r="705" customFormat="false" ht="12.75" hidden="false" customHeight="true" outlineLevel="0" collapsed="false">
      <c r="A705" s="121" t="str">
        <f aca="false">IF(B705="","",CONCATENATE(COUNTA(B$4:B705),"."))</f>
        <v/>
      </c>
      <c r="B705" s="126"/>
      <c r="C705" s="126"/>
      <c r="D705" s="126"/>
      <c r="E705" s="127"/>
      <c r="F705" s="127"/>
      <c r="G705" s="127"/>
      <c r="H705" s="130"/>
      <c r="I705" s="123" t="str">
        <f aca="false">IF(COUNTBLANK(E705:H705)&lt;1,ROUNDUP(SUM(F705:G705)*((100+H705*100)%),0),"")</f>
        <v/>
      </c>
      <c r="J705" s="129"/>
      <c r="K705" s="129"/>
    </row>
    <row r="706" customFormat="false" ht="12.75" hidden="false" customHeight="true" outlineLevel="0" collapsed="false">
      <c r="A706" s="121" t="str">
        <f aca="false">IF(B706="","",CONCATENATE(COUNTA(B$4:B706),"."))</f>
        <v/>
      </c>
      <c r="B706" s="126"/>
      <c r="C706" s="126"/>
      <c r="D706" s="126"/>
      <c r="E706" s="127"/>
      <c r="F706" s="127"/>
      <c r="G706" s="127"/>
      <c r="H706" s="130"/>
      <c r="I706" s="123" t="str">
        <f aca="false">IF(COUNTBLANK(E706:H706)&lt;1,ROUNDUP(SUM(F706:G706)*((100+H706*100)%),0),"")</f>
        <v/>
      </c>
      <c r="J706" s="129"/>
      <c r="K706" s="129"/>
    </row>
    <row r="707" customFormat="false" ht="12.75" hidden="false" customHeight="true" outlineLevel="0" collapsed="false">
      <c r="A707" s="121" t="str">
        <f aca="false">IF(B707="","",CONCATENATE(COUNTA(B$4:B707),"."))</f>
        <v/>
      </c>
      <c r="B707" s="126"/>
      <c r="C707" s="126"/>
      <c r="D707" s="126"/>
      <c r="E707" s="127"/>
      <c r="F707" s="127"/>
      <c r="G707" s="127"/>
      <c r="H707" s="130"/>
      <c r="I707" s="123" t="str">
        <f aca="false">IF(COUNTBLANK(E707:H707)&lt;1,ROUNDUP(SUM(F707:G707)*((100+H707*100)%),0),"")</f>
        <v/>
      </c>
      <c r="J707" s="129"/>
      <c r="K707" s="129"/>
    </row>
    <row r="708" customFormat="false" ht="12.75" hidden="false" customHeight="true" outlineLevel="0" collapsed="false">
      <c r="A708" s="121" t="str">
        <f aca="false">IF(B708="","",CONCATENATE(COUNTA(B$4:B708),"."))</f>
        <v/>
      </c>
      <c r="B708" s="126"/>
      <c r="C708" s="126"/>
      <c r="D708" s="126"/>
      <c r="E708" s="127"/>
      <c r="F708" s="127"/>
      <c r="G708" s="127"/>
      <c r="H708" s="130"/>
      <c r="I708" s="123" t="str">
        <f aca="false">IF(COUNTBLANK(E708:H708)&lt;1,ROUNDUP(SUM(F708:G708)*((100+H708*100)%),0),"")</f>
        <v/>
      </c>
      <c r="J708" s="129"/>
      <c r="K708" s="129"/>
    </row>
    <row r="709" customFormat="false" ht="12.75" hidden="false" customHeight="true" outlineLevel="0" collapsed="false">
      <c r="A709" s="121" t="str">
        <f aca="false">IF(B709="","",CONCATENATE(COUNTA(B$4:B709),"."))</f>
        <v/>
      </c>
      <c r="B709" s="126"/>
      <c r="C709" s="126"/>
      <c r="D709" s="126"/>
      <c r="E709" s="127"/>
      <c r="F709" s="127"/>
      <c r="G709" s="127"/>
      <c r="H709" s="130"/>
      <c r="I709" s="123" t="str">
        <f aca="false">IF(COUNTBLANK(E709:H709)&lt;1,ROUNDUP(SUM(F709:G709)*((100+H709*100)%),0),"")</f>
        <v/>
      </c>
      <c r="J709" s="129"/>
      <c r="K709" s="129"/>
    </row>
    <row r="710" customFormat="false" ht="12.75" hidden="false" customHeight="true" outlineLevel="0" collapsed="false">
      <c r="A710" s="121" t="str">
        <f aca="false">IF(B710="","",CONCATENATE(COUNTA(B$4:B710),"."))</f>
        <v/>
      </c>
      <c r="B710" s="126"/>
      <c r="C710" s="126"/>
      <c r="D710" s="126"/>
      <c r="E710" s="127"/>
      <c r="F710" s="127"/>
      <c r="G710" s="127"/>
      <c r="H710" s="130"/>
      <c r="I710" s="123" t="str">
        <f aca="false">IF(COUNTBLANK(E710:H710)&lt;1,ROUNDUP(SUM(F710:G710)*((100+H710*100)%),0),"")</f>
        <v/>
      </c>
      <c r="J710" s="129"/>
      <c r="K710" s="129"/>
    </row>
    <row r="711" customFormat="false" ht="12.75" hidden="false" customHeight="true" outlineLevel="0" collapsed="false">
      <c r="A711" s="121" t="str">
        <f aca="false">IF(B711="","",CONCATENATE(COUNTA(B$4:B711),"."))</f>
        <v/>
      </c>
      <c r="B711" s="126"/>
      <c r="C711" s="126"/>
      <c r="D711" s="126"/>
      <c r="E711" s="127"/>
      <c r="F711" s="127"/>
      <c r="G711" s="127"/>
      <c r="H711" s="130"/>
      <c r="I711" s="123" t="str">
        <f aca="false">IF(COUNTBLANK(E711:H711)&lt;1,ROUNDUP(SUM(F711:G711)*((100+H711*100)%),0),"")</f>
        <v/>
      </c>
      <c r="J711" s="129"/>
      <c r="K711" s="129"/>
    </row>
    <row r="712" customFormat="false" ht="12.75" hidden="false" customHeight="true" outlineLevel="0" collapsed="false">
      <c r="A712" s="121" t="str">
        <f aca="false">IF(B712="","",CONCATENATE(COUNTA(B$4:B712),"."))</f>
        <v/>
      </c>
      <c r="B712" s="126"/>
      <c r="C712" s="126"/>
      <c r="D712" s="126"/>
      <c r="E712" s="127"/>
      <c r="F712" s="127"/>
      <c r="G712" s="127"/>
      <c r="H712" s="130"/>
      <c r="I712" s="123" t="str">
        <f aca="false">IF(COUNTBLANK(E712:H712)&lt;1,ROUNDUP(SUM(F712:G712)*((100+H712*100)%),0),"")</f>
        <v/>
      </c>
      <c r="J712" s="129"/>
      <c r="K712" s="129"/>
    </row>
    <row r="713" customFormat="false" ht="12.75" hidden="false" customHeight="true" outlineLevel="0" collapsed="false">
      <c r="A713" s="121" t="str">
        <f aca="false">IF(B713="","",CONCATENATE(COUNTA(B$4:B713),"."))</f>
        <v/>
      </c>
      <c r="B713" s="126"/>
      <c r="C713" s="126"/>
      <c r="D713" s="126"/>
      <c r="E713" s="127"/>
      <c r="F713" s="127"/>
      <c r="G713" s="127"/>
      <c r="H713" s="130"/>
      <c r="I713" s="123" t="str">
        <f aca="false">IF(COUNTBLANK(E713:H713)&lt;1,ROUNDUP(SUM(F713:G713)*((100+H713*100)%),0),"")</f>
        <v/>
      </c>
      <c r="J713" s="129"/>
      <c r="K713" s="129"/>
    </row>
    <row r="714" customFormat="false" ht="12.75" hidden="false" customHeight="true" outlineLevel="0" collapsed="false">
      <c r="A714" s="121" t="str">
        <f aca="false">IF(B714="","",CONCATENATE(COUNTA(B$4:B714),"."))</f>
        <v/>
      </c>
      <c r="B714" s="126"/>
      <c r="C714" s="126"/>
      <c r="D714" s="126"/>
      <c r="E714" s="127"/>
      <c r="F714" s="127"/>
      <c r="G714" s="127"/>
      <c r="H714" s="130"/>
      <c r="I714" s="123" t="str">
        <f aca="false">IF(COUNTBLANK(E714:H714)&lt;1,ROUNDUP(SUM(F714:G714)*((100+H714*100)%),0),"")</f>
        <v/>
      </c>
      <c r="J714" s="129"/>
      <c r="K714" s="129"/>
    </row>
    <row r="715" customFormat="false" ht="12.75" hidden="false" customHeight="true" outlineLevel="0" collapsed="false">
      <c r="A715" s="121" t="str">
        <f aca="false">IF(B715="","",CONCATENATE(COUNTA(B$4:B715),"."))</f>
        <v/>
      </c>
      <c r="B715" s="126"/>
      <c r="C715" s="126"/>
      <c r="D715" s="126"/>
      <c r="E715" s="127"/>
      <c r="F715" s="127"/>
      <c r="G715" s="127"/>
      <c r="H715" s="130"/>
      <c r="I715" s="123" t="str">
        <f aca="false">IF(COUNTBLANK(E715:H715)&lt;1,ROUNDUP(SUM(F715:G715)*((100+H715*100)%),0),"")</f>
        <v/>
      </c>
      <c r="J715" s="129"/>
      <c r="K715" s="129"/>
    </row>
    <row r="716" customFormat="false" ht="12.75" hidden="false" customHeight="true" outlineLevel="0" collapsed="false">
      <c r="A716" s="121" t="str">
        <f aca="false">IF(B716="","",CONCATENATE(COUNTA(B$4:B716),"."))</f>
        <v/>
      </c>
      <c r="B716" s="126"/>
      <c r="C716" s="126"/>
      <c r="D716" s="126"/>
      <c r="E716" s="127"/>
      <c r="F716" s="127"/>
      <c r="G716" s="127"/>
      <c r="H716" s="130"/>
      <c r="I716" s="123" t="str">
        <f aca="false">IF(COUNTBLANK(E716:H716)&lt;1,ROUNDUP(SUM(F716:G716)*((100+H716*100)%),0),"")</f>
        <v/>
      </c>
      <c r="J716" s="129"/>
      <c r="K716" s="129"/>
    </row>
    <row r="717" customFormat="false" ht="12.75" hidden="false" customHeight="true" outlineLevel="0" collapsed="false">
      <c r="A717" s="121" t="str">
        <f aca="false">IF(B717="","",CONCATENATE(COUNTA(B$4:B717),"."))</f>
        <v/>
      </c>
      <c r="B717" s="126"/>
      <c r="C717" s="126"/>
      <c r="D717" s="126"/>
      <c r="E717" s="127"/>
      <c r="F717" s="127"/>
      <c r="G717" s="127"/>
      <c r="H717" s="130"/>
      <c r="I717" s="123" t="str">
        <f aca="false">IF(COUNTBLANK(E717:H717)&lt;1,ROUNDUP(SUM(F717:G717)*((100+H717*100)%),0),"")</f>
        <v/>
      </c>
      <c r="J717" s="129"/>
      <c r="K717" s="129"/>
    </row>
    <row r="718" customFormat="false" ht="12.75" hidden="false" customHeight="true" outlineLevel="0" collapsed="false">
      <c r="A718" s="121" t="str">
        <f aca="false">IF(B718="","",CONCATENATE(COUNTA(B$4:B718),"."))</f>
        <v/>
      </c>
      <c r="B718" s="126"/>
      <c r="C718" s="126"/>
      <c r="D718" s="126"/>
      <c r="E718" s="127"/>
      <c r="F718" s="127"/>
      <c r="G718" s="127"/>
      <c r="H718" s="130"/>
      <c r="I718" s="123" t="str">
        <f aca="false">IF(COUNTBLANK(E718:H718)&lt;1,ROUNDUP(SUM(F718:G718)*((100+H718*100)%),0),"")</f>
        <v/>
      </c>
      <c r="J718" s="129"/>
      <c r="K718" s="129"/>
    </row>
    <row r="719" customFormat="false" ht="12.75" hidden="false" customHeight="true" outlineLevel="0" collapsed="false">
      <c r="A719" s="121" t="str">
        <f aca="false">IF(B719="","",CONCATENATE(COUNTA(B$4:B719),"."))</f>
        <v/>
      </c>
      <c r="B719" s="126"/>
      <c r="C719" s="126"/>
      <c r="D719" s="126"/>
      <c r="E719" s="127"/>
      <c r="F719" s="127"/>
      <c r="G719" s="127"/>
      <c r="H719" s="130"/>
      <c r="I719" s="123" t="str">
        <f aca="false">IF(COUNTBLANK(E719:H719)&lt;1,ROUNDUP(SUM(F719:G719)*((100+H719*100)%),0),"")</f>
        <v/>
      </c>
      <c r="J719" s="129"/>
      <c r="K719" s="129"/>
    </row>
    <row r="720" customFormat="false" ht="12.75" hidden="false" customHeight="true" outlineLevel="0" collapsed="false">
      <c r="A720" s="121" t="str">
        <f aca="false">IF(B720="","",CONCATENATE(COUNTA(B$4:B720),"."))</f>
        <v/>
      </c>
      <c r="B720" s="126"/>
      <c r="C720" s="126"/>
      <c r="D720" s="126"/>
      <c r="E720" s="127"/>
      <c r="F720" s="127"/>
      <c r="G720" s="127"/>
      <c r="H720" s="130"/>
      <c r="I720" s="123" t="str">
        <f aca="false">IF(COUNTBLANK(E720:H720)&lt;1,ROUNDUP(SUM(F720:G720)*((100+H720*100)%),0),"")</f>
        <v/>
      </c>
      <c r="J720" s="129"/>
      <c r="K720" s="129"/>
    </row>
    <row r="721" customFormat="false" ht="12.75" hidden="false" customHeight="true" outlineLevel="0" collapsed="false">
      <c r="A721" s="121" t="str">
        <f aca="false">IF(B721="","",CONCATENATE(COUNTA(B$4:B721),"."))</f>
        <v/>
      </c>
      <c r="B721" s="126"/>
      <c r="C721" s="126"/>
      <c r="D721" s="126"/>
      <c r="E721" s="127"/>
      <c r="F721" s="127"/>
      <c r="G721" s="127"/>
      <c r="H721" s="130"/>
      <c r="I721" s="123" t="str">
        <f aca="false">IF(COUNTBLANK(E721:H721)&lt;1,ROUNDUP(SUM(F721:G721)*((100+H721*100)%),0),"")</f>
        <v/>
      </c>
      <c r="J721" s="129"/>
      <c r="K721" s="129"/>
    </row>
    <row r="722" customFormat="false" ht="12.75" hidden="false" customHeight="true" outlineLevel="0" collapsed="false">
      <c r="A722" s="121" t="str">
        <f aca="false">IF(B722="","",CONCATENATE(COUNTA(B$4:B722),"."))</f>
        <v/>
      </c>
      <c r="B722" s="126"/>
      <c r="C722" s="126"/>
      <c r="D722" s="126"/>
      <c r="E722" s="127"/>
      <c r="F722" s="127"/>
      <c r="G722" s="127"/>
      <c r="H722" s="130"/>
      <c r="I722" s="123" t="str">
        <f aca="false">IF(COUNTBLANK(E722:H722)&lt;1,ROUNDUP(SUM(F722:G722)*((100+H722*100)%),0),"")</f>
        <v/>
      </c>
      <c r="J722" s="129"/>
      <c r="K722" s="129"/>
    </row>
    <row r="723" customFormat="false" ht="12.75" hidden="false" customHeight="true" outlineLevel="0" collapsed="false">
      <c r="A723" s="121" t="str">
        <f aca="false">IF(B723="","",CONCATENATE(COUNTA(B$4:B723),"."))</f>
        <v/>
      </c>
      <c r="B723" s="126"/>
      <c r="C723" s="126"/>
      <c r="D723" s="126"/>
      <c r="E723" s="127"/>
      <c r="F723" s="127"/>
      <c r="G723" s="127"/>
      <c r="H723" s="130"/>
      <c r="I723" s="123" t="str">
        <f aca="false">IF(COUNTBLANK(E723:H723)&lt;1,ROUNDUP(SUM(F723:G723)*((100+H723*100)%),0),"")</f>
        <v/>
      </c>
      <c r="J723" s="129"/>
      <c r="K723" s="129"/>
    </row>
    <row r="724" customFormat="false" ht="12.75" hidden="false" customHeight="true" outlineLevel="0" collapsed="false">
      <c r="A724" s="121" t="str">
        <f aca="false">IF(B724="","",CONCATENATE(COUNTA(B$4:B724),"."))</f>
        <v/>
      </c>
      <c r="B724" s="126"/>
      <c r="C724" s="126"/>
      <c r="D724" s="126"/>
      <c r="E724" s="127"/>
      <c r="F724" s="127"/>
      <c r="G724" s="127"/>
      <c r="H724" s="130"/>
      <c r="I724" s="123" t="str">
        <f aca="false">IF(COUNTBLANK(E724:H724)&lt;1,ROUNDUP(SUM(F724:G724)*((100+H724*100)%),0),"")</f>
        <v/>
      </c>
      <c r="J724" s="129"/>
      <c r="K724" s="129"/>
    </row>
    <row r="725" customFormat="false" ht="12.75" hidden="false" customHeight="true" outlineLevel="0" collapsed="false">
      <c r="A725" s="121" t="str">
        <f aca="false">IF(B725="","",CONCATENATE(COUNTA(B$4:B725),"."))</f>
        <v/>
      </c>
      <c r="B725" s="126"/>
      <c r="C725" s="126"/>
      <c r="D725" s="126"/>
      <c r="E725" s="127"/>
      <c r="F725" s="127"/>
      <c r="G725" s="127"/>
      <c r="H725" s="130"/>
      <c r="I725" s="123" t="str">
        <f aca="false">IF(COUNTBLANK(E725:H725)&lt;1,ROUNDUP(SUM(F725:G725)*((100+H725*100)%),0),"")</f>
        <v/>
      </c>
      <c r="J725" s="129"/>
      <c r="K725" s="129"/>
    </row>
    <row r="726" customFormat="false" ht="12.75" hidden="false" customHeight="true" outlineLevel="0" collapsed="false">
      <c r="A726" s="121" t="str">
        <f aca="false">IF(B726="","",CONCATENATE(COUNTA(B$4:B726),"."))</f>
        <v/>
      </c>
      <c r="B726" s="126"/>
      <c r="C726" s="126"/>
      <c r="D726" s="126"/>
      <c r="E726" s="127"/>
      <c r="F726" s="127"/>
      <c r="G726" s="127"/>
      <c r="H726" s="130"/>
      <c r="I726" s="123" t="str">
        <f aca="false">IF(COUNTBLANK(E726:H726)&lt;1,ROUNDUP(SUM(F726:G726)*((100+H726*100)%),0),"")</f>
        <v/>
      </c>
      <c r="J726" s="129"/>
      <c r="K726" s="129"/>
    </row>
    <row r="727" customFormat="false" ht="12.75" hidden="false" customHeight="true" outlineLevel="0" collapsed="false">
      <c r="A727" s="121" t="str">
        <f aca="false">IF(B727="","",CONCATENATE(COUNTA(B$4:B727),"."))</f>
        <v/>
      </c>
      <c r="B727" s="126"/>
      <c r="C727" s="126"/>
      <c r="D727" s="126"/>
      <c r="E727" s="127"/>
      <c r="F727" s="127"/>
      <c r="G727" s="127"/>
      <c r="H727" s="130"/>
      <c r="I727" s="123" t="str">
        <f aca="false">IF(COUNTBLANK(E727:H727)&lt;1,ROUNDUP(SUM(F727:G727)*((100+H727*100)%),0),"")</f>
        <v/>
      </c>
      <c r="J727" s="129"/>
      <c r="K727" s="129"/>
    </row>
    <row r="728" customFormat="false" ht="12.75" hidden="false" customHeight="true" outlineLevel="0" collapsed="false">
      <c r="A728" s="121" t="str">
        <f aca="false">IF(B728="","",CONCATENATE(COUNTA(B$4:B728),"."))</f>
        <v/>
      </c>
      <c r="B728" s="126"/>
      <c r="C728" s="126"/>
      <c r="D728" s="126"/>
      <c r="E728" s="127"/>
      <c r="F728" s="127"/>
      <c r="G728" s="127"/>
      <c r="H728" s="130"/>
      <c r="I728" s="123" t="str">
        <f aca="false">IF(COUNTBLANK(E728:H728)&lt;1,ROUNDUP(SUM(F728:G728)*((100+H728*100)%),0),"")</f>
        <v/>
      </c>
      <c r="J728" s="129"/>
      <c r="K728" s="129"/>
    </row>
    <row r="729" customFormat="false" ht="12.75" hidden="false" customHeight="true" outlineLevel="0" collapsed="false">
      <c r="A729" s="121" t="str">
        <f aca="false">IF(B729="","",CONCATENATE(COUNTA(B$4:B729),"."))</f>
        <v/>
      </c>
      <c r="B729" s="126"/>
      <c r="C729" s="126"/>
      <c r="D729" s="126"/>
      <c r="E729" s="127"/>
      <c r="F729" s="127"/>
      <c r="G729" s="127"/>
      <c r="H729" s="130"/>
      <c r="I729" s="123" t="str">
        <f aca="false">IF(COUNTBLANK(E729:H729)&lt;1,ROUNDUP(SUM(F729:G729)*((100+H729*100)%),0),"")</f>
        <v/>
      </c>
      <c r="J729" s="129"/>
      <c r="K729" s="129"/>
    </row>
    <row r="730" customFormat="false" ht="12.75" hidden="false" customHeight="true" outlineLevel="0" collapsed="false">
      <c r="A730" s="121" t="str">
        <f aca="false">IF(B730="","",CONCATENATE(COUNTA(B$4:B730),"."))</f>
        <v/>
      </c>
      <c r="B730" s="126"/>
      <c r="C730" s="126"/>
      <c r="D730" s="126"/>
      <c r="E730" s="127"/>
      <c r="F730" s="127"/>
      <c r="G730" s="127"/>
      <c r="H730" s="130"/>
      <c r="I730" s="123" t="str">
        <f aca="false">IF(COUNTBLANK(E730:H730)&lt;1,ROUNDUP(SUM(F730:G730)*((100+H730*100)%),0),"")</f>
        <v/>
      </c>
      <c r="J730" s="129"/>
      <c r="K730" s="129"/>
    </row>
    <row r="731" customFormat="false" ht="12.75" hidden="false" customHeight="true" outlineLevel="0" collapsed="false">
      <c r="A731" s="121" t="str">
        <f aca="false">IF(B731="","",CONCATENATE(COUNTA(B$4:B731),"."))</f>
        <v/>
      </c>
      <c r="B731" s="126"/>
      <c r="C731" s="126"/>
      <c r="D731" s="126"/>
      <c r="E731" s="127"/>
      <c r="F731" s="127"/>
      <c r="G731" s="127"/>
      <c r="H731" s="130"/>
      <c r="I731" s="123" t="str">
        <f aca="false">IF(COUNTBLANK(E731:H731)&lt;1,ROUNDUP(SUM(F731:G731)*((100+H731*100)%),0),"")</f>
        <v/>
      </c>
      <c r="J731" s="129"/>
      <c r="K731" s="129"/>
    </row>
    <row r="732" customFormat="false" ht="12.75" hidden="false" customHeight="true" outlineLevel="0" collapsed="false">
      <c r="A732" s="121" t="str">
        <f aca="false">IF(B732="","",CONCATENATE(COUNTA(B$4:B732),"."))</f>
        <v/>
      </c>
      <c r="B732" s="126"/>
      <c r="C732" s="126"/>
      <c r="D732" s="126"/>
      <c r="E732" s="127"/>
      <c r="F732" s="127"/>
      <c r="G732" s="127"/>
      <c r="H732" s="130"/>
      <c r="I732" s="123" t="str">
        <f aca="false">IF(COUNTBLANK(E732:H732)&lt;1,ROUNDUP(SUM(F732:G732)*((100+H732*100)%),0),"")</f>
        <v/>
      </c>
      <c r="J732" s="129"/>
      <c r="K732" s="129"/>
    </row>
    <row r="733" customFormat="false" ht="12.75" hidden="false" customHeight="true" outlineLevel="0" collapsed="false">
      <c r="A733" s="121" t="str">
        <f aca="false">IF(B733="","",CONCATENATE(COUNTA(B$4:B733),"."))</f>
        <v/>
      </c>
      <c r="B733" s="126"/>
      <c r="C733" s="126"/>
      <c r="D733" s="126"/>
      <c r="E733" s="127"/>
      <c r="F733" s="127"/>
      <c r="G733" s="127"/>
      <c r="H733" s="130"/>
      <c r="I733" s="123" t="str">
        <f aca="false">IF(COUNTBLANK(E733:H733)&lt;1,ROUNDUP(SUM(F733:G733)*((100+H733*100)%),0),"")</f>
        <v/>
      </c>
      <c r="J733" s="129"/>
      <c r="K733" s="129"/>
    </row>
    <row r="734" customFormat="false" ht="12.75" hidden="false" customHeight="true" outlineLevel="0" collapsed="false">
      <c r="A734" s="121" t="str">
        <f aca="false">IF(B734="","",CONCATENATE(COUNTA(B$4:B734),"."))</f>
        <v/>
      </c>
      <c r="B734" s="126"/>
      <c r="C734" s="126"/>
      <c r="D734" s="126"/>
      <c r="E734" s="127"/>
      <c r="F734" s="127"/>
      <c r="G734" s="127"/>
      <c r="H734" s="130"/>
      <c r="I734" s="123" t="str">
        <f aca="false">IF(COUNTBLANK(E734:H734)&lt;1,ROUNDUP(SUM(F734:G734)*((100+H734*100)%),0),"")</f>
        <v/>
      </c>
      <c r="J734" s="129"/>
      <c r="K734" s="129"/>
    </row>
    <row r="735" customFormat="false" ht="12.75" hidden="false" customHeight="true" outlineLevel="0" collapsed="false">
      <c r="A735" s="121" t="str">
        <f aca="false">IF(B735="","",CONCATENATE(COUNTA(B$4:B735),"."))</f>
        <v/>
      </c>
      <c r="B735" s="126"/>
      <c r="C735" s="126"/>
      <c r="D735" s="126"/>
      <c r="E735" s="127"/>
      <c r="F735" s="127"/>
      <c r="G735" s="127"/>
      <c r="H735" s="130"/>
      <c r="I735" s="123" t="str">
        <f aca="false">IF(COUNTBLANK(E735:H735)&lt;1,ROUNDUP(SUM(F735:G735)*((100+H735*100)%),0),"")</f>
        <v/>
      </c>
      <c r="J735" s="129"/>
      <c r="K735" s="129"/>
    </row>
    <row r="736" customFormat="false" ht="12.75" hidden="false" customHeight="true" outlineLevel="0" collapsed="false">
      <c r="A736" s="121" t="str">
        <f aca="false">IF(B736="","",CONCATENATE(COUNTA(B$4:B736),"."))</f>
        <v/>
      </c>
      <c r="B736" s="126"/>
      <c r="C736" s="126"/>
      <c r="D736" s="126"/>
      <c r="E736" s="127"/>
      <c r="F736" s="127"/>
      <c r="G736" s="127"/>
      <c r="H736" s="130"/>
      <c r="I736" s="123" t="str">
        <f aca="false">IF(COUNTBLANK(E736:H736)&lt;1,ROUNDUP(SUM(F736:G736)*((100+H736*100)%),0),"")</f>
        <v/>
      </c>
      <c r="J736" s="129"/>
      <c r="K736" s="129"/>
    </row>
    <row r="737" customFormat="false" ht="12.75" hidden="false" customHeight="true" outlineLevel="0" collapsed="false">
      <c r="A737" s="121" t="str">
        <f aca="false">IF(B737="","",CONCATENATE(COUNTA(B$4:B737),"."))</f>
        <v/>
      </c>
      <c r="B737" s="126"/>
      <c r="C737" s="126"/>
      <c r="D737" s="126"/>
      <c r="E737" s="127"/>
      <c r="F737" s="127"/>
      <c r="G737" s="127"/>
      <c r="H737" s="130"/>
      <c r="I737" s="123" t="str">
        <f aca="false">IF(COUNTBLANK(E737:H737)&lt;1,ROUNDUP(SUM(F737:G737)*((100+H737*100)%),0),"")</f>
        <v/>
      </c>
      <c r="J737" s="129"/>
      <c r="K737" s="129"/>
    </row>
    <row r="738" customFormat="false" ht="12.75" hidden="false" customHeight="true" outlineLevel="0" collapsed="false">
      <c r="A738" s="121" t="str">
        <f aca="false">IF(B738="","",CONCATENATE(COUNTA(B$4:B738),"."))</f>
        <v/>
      </c>
      <c r="B738" s="126"/>
      <c r="C738" s="126"/>
      <c r="D738" s="126"/>
      <c r="E738" s="127"/>
      <c r="F738" s="127"/>
      <c r="G738" s="127"/>
      <c r="H738" s="130"/>
      <c r="I738" s="123" t="str">
        <f aca="false">IF(COUNTBLANK(E738:H738)&lt;1,ROUNDUP(SUM(F738:G738)*((100+H738*100)%),0),"")</f>
        <v/>
      </c>
      <c r="J738" s="129"/>
      <c r="K738" s="129"/>
    </row>
    <row r="739" customFormat="false" ht="12.75" hidden="false" customHeight="true" outlineLevel="0" collapsed="false">
      <c r="A739" s="121" t="str">
        <f aca="false">IF(B739="","",CONCATENATE(COUNTA(B$4:B739),"."))</f>
        <v/>
      </c>
      <c r="B739" s="126"/>
      <c r="C739" s="126"/>
      <c r="D739" s="126"/>
      <c r="E739" s="127"/>
      <c r="F739" s="127"/>
      <c r="G739" s="127"/>
      <c r="H739" s="130"/>
      <c r="I739" s="123" t="str">
        <f aca="false">IF(COUNTBLANK(E739:H739)&lt;1,ROUNDUP(SUM(F739:G739)*((100+H739*100)%),0),"")</f>
        <v/>
      </c>
      <c r="J739" s="129"/>
      <c r="K739" s="129"/>
    </row>
    <row r="740" customFormat="false" ht="12.75" hidden="false" customHeight="true" outlineLevel="0" collapsed="false">
      <c r="A740" s="121" t="str">
        <f aca="false">IF(B740="","",CONCATENATE(COUNTA(B$4:B740),"."))</f>
        <v/>
      </c>
      <c r="B740" s="126"/>
      <c r="C740" s="126"/>
      <c r="D740" s="126"/>
      <c r="E740" s="127"/>
      <c r="F740" s="127"/>
      <c r="G740" s="127"/>
      <c r="H740" s="130"/>
      <c r="I740" s="123" t="str">
        <f aca="false">IF(COUNTBLANK(E740:H740)&lt;1,ROUNDUP(SUM(F740:G740)*((100+H740*100)%),0),"")</f>
        <v/>
      </c>
      <c r="J740" s="129"/>
      <c r="K740" s="129"/>
    </row>
    <row r="741" customFormat="false" ht="12.75" hidden="false" customHeight="true" outlineLevel="0" collapsed="false">
      <c r="A741" s="121" t="str">
        <f aca="false">IF(B741="","",CONCATENATE(COUNTA(B$4:B741),"."))</f>
        <v/>
      </c>
      <c r="B741" s="126"/>
      <c r="C741" s="126"/>
      <c r="D741" s="126"/>
      <c r="E741" s="127"/>
      <c r="F741" s="127"/>
      <c r="G741" s="127"/>
      <c r="H741" s="130"/>
      <c r="I741" s="123" t="str">
        <f aca="false">IF(COUNTBLANK(E741:H741)&lt;1,ROUNDUP(SUM(F741:G741)*((100+H741*100)%),0),"")</f>
        <v/>
      </c>
      <c r="J741" s="129"/>
      <c r="K741" s="129"/>
    </row>
    <row r="742" customFormat="false" ht="12.75" hidden="false" customHeight="true" outlineLevel="0" collapsed="false">
      <c r="A742" s="121" t="str">
        <f aca="false">IF(B742="","",CONCATENATE(COUNTA(B$4:B742),"."))</f>
        <v/>
      </c>
      <c r="B742" s="126"/>
      <c r="C742" s="126"/>
      <c r="D742" s="126"/>
      <c r="E742" s="127"/>
      <c r="F742" s="127"/>
      <c r="G742" s="127"/>
      <c r="H742" s="130"/>
      <c r="I742" s="123" t="str">
        <f aca="false">IF(COUNTBLANK(E742:H742)&lt;1,ROUNDUP(SUM(F742:G742)*((100+H742*100)%),0),"")</f>
        <v/>
      </c>
      <c r="J742" s="129"/>
      <c r="K742" s="129"/>
    </row>
    <row r="743" customFormat="false" ht="12.75" hidden="false" customHeight="true" outlineLevel="0" collapsed="false">
      <c r="A743" s="121" t="str">
        <f aca="false">IF(B743="","",CONCATENATE(COUNTA(B$4:B743),"."))</f>
        <v/>
      </c>
      <c r="B743" s="126"/>
      <c r="C743" s="126"/>
      <c r="D743" s="126"/>
      <c r="E743" s="127"/>
      <c r="F743" s="127"/>
      <c r="G743" s="127"/>
      <c r="H743" s="130"/>
      <c r="I743" s="123" t="str">
        <f aca="false">IF(COUNTBLANK(E743:H743)&lt;1,ROUNDUP(SUM(F743:G743)*((100+H743*100)%),0),"")</f>
        <v/>
      </c>
      <c r="J743" s="129"/>
      <c r="K743" s="129"/>
    </row>
    <row r="744" customFormat="false" ht="12.75" hidden="false" customHeight="true" outlineLevel="0" collapsed="false">
      <c r="A744" s="121" t="str">
        <f aca="false">IF(B744="","",CONCATENATE(COUNTA(B$4:B744),"."))</f>
        <v/>
      </c>
      <c r="B744" s="126"/>
      <c r="C744" s="126"/>
      <c r="D744" s="126"/>
      <c r="E744" s="127"/>
      <c r="F744" s="127"/>
      <c r="G744" s="127"/>
      <c r="H744" s="130"/>
      <c r="I744" s="123" t="str">
        <f aca="false">IF(COUNTBLANK(E744:H744)&lt;1,ROUNDUP(SUM(F744:G744)*((100+H744*100)%),0),"")</f>
        <v/>
      </c>
      <c r="J744" s="129"/>
      <c r="K744" s="129"/>
    </row>
    <row r="745" customFormat="false" ht="12.75" hidden="false" customHeight="true" outlineLevel="0" collapsed="false">
      <c r="A745" s="121" t="str">
        <f aca="false">IF(B745="","",CONCATENATE(COUNTA(B$4:B745),"."))</f>
        <v/>
      </c>
      <c r="B745" s="126"/>
      <c r="C745" s="126"/>
      <c r="D745" s="126"/>
      <c r="E745" s="127"/>
      <c r="F745" s="127"/>
      <c r="G745" s="127"/>
      <c r="H745" s="130"/>
      <c r="I745" s="123" t="str">
        <f aca="false">IF(COUNTBLANK(E745:H745)&lt;1,ROUNDUP(SUM(F745:G745)*((100+H745*100)%),0),"")</f>
        <v/>
      </c>
      <c r="J745" s="129"/>
      <c r="K745" s="129"/>
    </row>
    <row r="746" customFormat="false" ht="12.75" hidden="false" customHeight="true" outlineLevel="0" collapsed="false">
      <c r="A746" s="121" t="str">
        <f aca="false">IF(B746="","",CONCATENATE(COUNTA(B$4:B746),"."))</f>
        <v/>
      </c>
      <c r="B746" s="126"/>
      <c r="C746" s="126"/>
      <c r="D746" s="126"/>
      <c r="E746" s="127"/>
      <c r="F746" s="127"/>
      <c r="G746" s="127"/>
      <c r="H746" s="130"/>
      <c r="I746" s="123" t="str">
        <f aca="false">IF(COUNTBLANK(E746:H746)&lt;1,ROUNDUP(SUM(F746:G746)*((100+H746*100)%),0),"")</f>
        <v/>
      </c>
      <c r="J746" s="129"/>
      <c r="K746" s="129"/>
    </row>
    <row r="747" customFormat="false" ht="12.75" hidden="false" customHeight="true" outlineLevel="0" collapsed="false">
      <c r="A747" s="121" t="str">
        <f aca="false">IF(B747="","",CONCATENATE(COUNTA(B$4:B747),"."))</f>
        <v/>
      </c>
      <c r="B747" s="126"/>
      <c r="C747" s="126"/>
      <c r="D747" s="126"/>
      <c r="E747" s="127"/>
      <c r="F747" s="127"/>
      <c r="G747" s="127"/>
      <c r="H747" s="130"/>
      <c r="I747" s="123" t="str">
        <f aca="false">IF(COUNTBLANK(E747:H747)&lt;1,ROUNDUP(SUM(F747:G747)*((100+H747*100)%),0),"")</f>
        <v/>
      </c>
      <c r="J747" s="129"/>
      <c r="K747" s="129"/>
    </row>
    <row r="748" customFormat="false" ht="12.75" hidden="false" customHeight="true" outlineLevel="0" collapsed="false">
      <c r="A748" s="121" t="str">
        <f aca="false">IF(B748="","",CONCATENATE(COUNTA(B$4:B748),"."))</f>
        <v/>
      </c>
      <c r="B748" s="126"/>
      <c r="C748" s="126"/>
      <c r="D748" s="126"/>
      <c r="E748" s="127"/>
      <c r="F748" s="127"/>
      <c r="G748" s="127"/>
      <c r="H748" s="130"/>
      <c r="I748" s="123" t="str">
        <f aca="false">IF(COUNTBLANK(E748:H748)&lt;1,ROUNDUP(SUM(F748:G748)*((100+H748*100)%),0),"")</f>
        <v/>
      </c>
      <c r="J748" s="129"/>
      <c r="K748" s="129"/>
    </row>
    <row r="749" customFormat="false" ht="12.75" hidden="false" customHeight="true" outlineLevel="0" collapsed="false">
      <c r="A749" s="121" t="str">
        <f aca="false">IF(B749="","",CONCATENATE(COUNTA(B$4:B749),"."))</f>
        <v/>
      </c>
      <c r="B749" s="126"/>
      <c r="C749" s="126"/>
      <c r="D749" s="126"/>
      <c r="E749" s="127"/>
      <c r="F749" s="127"/>
      <c r="G749" s="127"/>
      <c r="H749" s="130"/>
      <c r="I749" s="123" t="str">
        <f aca="false">IF(COUNTBLANK(E749:H749)&lt;1,ROUNDUP(SUM(F749:G749)*((100+H749*100)%),0),"")</f>
        <v/>
      </c>
      <c r="J749" s="129"/>
      <c r="K749" s="129"/>
    </row>
    <row r="750" customFormat="false" ht="12.75" hidden="false" customHeight="true" outlineLevel="0" collapsed="false">
      <c r="A750" s="121" t="str">
        <f aca="false">IF(B750="","",CONCATENATE(COUNTA(B$4:B750),"."))</f>
        <v/>
      </c>
      <c r="B750" s="126"/>
      <c r="C750" s="126"/>
      <c r="D750" s="126"/>
      <c r="E750" s="127"/>
      <c r="F750" s="127"/>
      <c r="G750" s="127"/>
      <c r="H750" s="130"/>
      <c r="I750" s="123" t="str">
        <f aca="false">IF(COUNTBLANK(E750:H750)&lt;1,ROUNDUP(SUM(F750:G750)*((100+H750*100)%),0),"")</f>
        <v/>
      </c>
      <c r="J750" s="129"/>
      <c r="K750" s="129"/>
    </row>
    <row r="751" customFormat="false" ht="12.75" hidden="false" customHeight="true" outlineLevel="0" collapsed="false">
      <c r="A751" s="121" t="str">
        <f aca="false">IF(B751="","",CONCATENATE(COUNTA(B$4:B751),"."))</f>
        <v/>
      </c>
      <c r="B751" s="126"/>
      <c r="C751" s="126"/>
      <c r="D751" s="126"/>
      <c r="E751" s="127"/>
      <c r="F751" s="127"/>
      <c r="G751" s="127"/>
      <c r="H751" s="130"/>
      <c r="I751" s="123" t="str">
        <f aca="false">IF(COUNTBLANK(E751:H751)&lt;1,ROUNDUP(SUM(F751:G751)*((100+H751*100)%),0),"")</f>
        <v/>
      </c>
      <c r="J751" s="129"/>
      <c r="K751" s="129"/>
    </row>
    <row r="752" customFormat="false" ht="12.75" hidden="false" customHeight="true" outlineLevel="0" collapsed="false">
      <c r="A752" s="121" t="str">
        <f aca="false">IF(B752="","",CONCATENATE(COUNTA(B$4:B752),"."))</f>
        <v/>
      </c>
      <c r="B752" s="126"/>
      <c r="C752" s="126"/>
      <c r="D752" s="126"/>
      <c r="E752" s="127"/>
      <c r="F752" s="127"/>
      <c r="G752" s="127"/>
      <c r="H752" s="130"/>
      <c r="I752" s="123" t="str">
        <f aca="false">IF(COUNTBLANK(E752:H752)&lt;1,ROUNDUP(SUM(F752:G752)*((100+H752*100)%),0),"")</f>
        <v/>
      </c>
      <c r="J752" s="129"/>
      <c r="K752" s="129"/>
    </row>
    <row r="753" customFormat="false" ht="12.75" hidden="false" customHeight="true" outlineLevel="0" collapsed="false">
      <c r="A753" s="121" t="str">
        <f aca="false">IF(B753="","",CONCATENATE(COUNTA(B$4:B753),"."))</f>
        <v/>
      </c>
      <c r="B753" s="126"/>
      <c r="C753" s="126"/>
      <c r="D753" s="126"/>
      <c r="E753" s="127"/>
      <c r="F753" s="127"/>
      <c r="G753" s="127"/>
      <c r="H753" s="130"/>
      <c r="I753" s="123" t="str">
        <f aca="false">IF(COUNTBLANK(E753:H753)&lt;1,ROUNDUP(SUM(F753:G753)*((100+H753*100)%),0),"")</f>
        <v/>
      </c>
      <c r="J753" s="129"/>
      <c r="K753" s="129"/>
    </row>
    <row r="754" customFormat="false" ht="12.75" hidden="false" customHeight="true" outlineLevel="0" collapsed="false">
      <c r="A754" s="121" t="str">
        <f aca="false">IF(B754="","",CONCATENATE(COUNTA(B$4:B754),"."))</f>
        <v/>
      </c>
      <c r="B754" s="126"/>
      <c r="C754" s="126"/>
      <c r="D754" s="126"/>
      <c r="E754" s="127"/>
      <c r="F754" s="127"/>
      <c r="G754" s="127"/>
      <c r="H754" s="130"/>
      <c r="I754" s="123" t="str">
        <f aca="false">IF(COUNTBLANK(E754:H754)&lt;1,ROUNDUP(SUM(F754:G754)*((100+H754*100)%),0),"")</f>
        <v/>
      </c>
      <c r="J754" s="129"/>
      <c r="K754" s="129"/>
    </row>
    <row r="755" customFormat="false" ht="12.75" hidden="false" customHeight="true" outlineLevel="0" collapsed="false">
      <c r="A755" s="121" t="str">
        <f aca="false">IF(B755="","",CONCATENATE(COUNTA(B$4:B755),"."))</f>
        <v/>
      </c>
      <c r="B755" s="126"/>
      <c r="C755" s="126"/>
      <c r="D755" s="126"/>
      <c r="E755" s="127"/>
      <c r="F755" s="127"/>
      <c r="G755" s="127"/>
      <c r="H755" s="130"/>
      <c r="I755" s="123" t="str">
        <f aca="false">IF(COUNTBLANK(E755:H755)&lt;1,ROUNDUP(SUM(F755:G755)*((100+H755*100)%),0),"")</f>
        <v/>
      </c>
      <c r="J755" s="129"/>
      <c r="K755" s="129"/>
    </row>
    <row r="756" customFormat="false" ht="12.75" hidden="false" customHeight="true" outlineLevel="0" collapsed="false">
      <c r="A756" s="121" t="str">
        <f aca="false">IF(B756="","",CONCATENATE(COUNTA(B$4:B756),"."))</f>
        <v/>
      </c>
      <c r="B756" s="126"/>
      <c r="C756" s="126"/>
      <c r="D756" s="126"/>
      <c r="E756" s="127"/>
      <c r="F756" s="127"/>
      <c r="G756" s="127"/>
      <c r="H756" s="130"/>
      <c r="I756" s="123" t="str">
        <f aca="false">IF(COUNTBLANK(E756:H756)&lt;1,ROUNDUP(SUM(F756:G756)*((100+H756*100)%),0),"")</f>
        <v/>
      </c>
      <c r="J756" s="129"/>
      <c r="K756" s="129"/>
    </row>
    <row r="757" customFormat="false" ht="12.75" hidden="false" customHeight="true" outlineLevel="0" collapsed="false">
      <c r="A757" s="121" t="str">
        <f aca="false">IF(B757="","",CONCATENATE(COUNTA(B$4:B757),"."))</f>
        <v/>
      </c>
      <c r="B757" s="126"/>
      <c r="C757" s="126"/>
      <c r="D757" s="126"/>
      <c r="E757" s="127"/>
      <c r="F757" s="127"/>
      <c r="G757" s="127"/>
      <c r="H757" s="130"/>
      <c r="I757" s="123" t="str">
        <f aca="false">IF(COUNTBLANK(E757:H757)&lt;1,ROUNDUP(SUM(F757:G757)*((100+H757*100)%),0),"")</f>
        <v/>
      </c>
      <c r="J757" s="129"/>
      <c r="K757" s="129"/>
    </row>
    <row r="758" customFormat="false" ht="12.75" hidden="false" customHeight="true" outlineLevel="0" collapsed="false">
      <c r="A758" s="121" t="str">
        <f aca="false">IF(B758="","",CONCATENATE(COUNTA(B$4:B758),"."))</f>
        <v/>
      </c>
      <c r="B758" s="126"/>
      <c r="C758" s="126"/>
      <c r="D758" s="126"/>
      <c r="E758" s="127"/>
      <c r="F758" s="127"/>
      <c r="G758" s="127"/>
      <c r="H758" s="130"/>
      <c r="I758" s="123" t="str">
        <f aca="false">IF(COUNTBLANK(E758:H758)&lt;1,ROUNDUP(SUM(F758:G758)*((100+H758*100)%),0),"")</f>
        <v/>
      </c>
      <c r="J758" s="129"/>
      <c r="K758" s="129"/>
    </row>
    <row r="759" customFormat="false" ht="12.75" hidden="false" customHeight="true" outlineLevel="0" collapsed="false">
      <c r="A759" s="121" t="str">
        <f aca="false">IF(B759="","",CONCATENATE(COUNTA(B$4:B759),"."))</f>
        <v/>
      </c>
      <c r="B759" s="126"/>
      <c r="C759" s="126"/>
      <c r="D759" s="126"/>
      <c r="E759" s="127"/>
      <c r="F759" s="127"/>
      <c r="G759" s="127"/>
      <c r="H759" s="130"/>
      <c r="I759" s="123" t="str">
        <f aca="false">IF(COUNTBLANK(E759:H759)&lt;1,ROUNDUP(SUM(F759:G759)*((100+H759*100)%),0),"")</f>
        <v/>
      </c>
      <c r="J759" s="129"/>
      <c r="K759" s="129"/>
    </row>
    <row r="760" customFormat="false" ht="12.75" hidden="false" customHeight="true" outlineLevel="0" collapsed="false">
      <c r="A760" s="121" t="str">
        <f aca="false">IF(B760="","",CONCATENATE(COUNTA(B$4:B760),"."))</f>
        <v/>
      </c>
      <c r="B760" s="126"/>
      <c r="C760" s="126"/>
      <c r="D760" s="126"/>
      <c r="E760" s="127"/>
      <c r="F760" s="127"/>
      <c r="G760" s="127"/>
      <c r="H760" s="130"/>
      <c r="I760" s="123" t="str">
        <f aca="false">IF(COUNTBLANK(E760:H760)&lt;1,ROUNDUP(SUM(F760:G760)*((100+H760*100)%),0),"")</f>
        <v/>
      </c>
      <c r="J760" s="129"/>
      <c r="K760" s="129"/>
    </row>
    <row r="761" customFormat="false" ht="12.75" hidden="false" customHeight="true" outlineLevel="0" collapsed="false">
      <c r="A761" s="121" t="str">
        <f aca="false">IF(B761="","",CONCATENATE(COUNTA(B$4:B761),"."))</f>
        <v/>
      </c>
      <c r="B761" s="126"/>
      <c r="C761" s="126"/>
      <c r="D761" s="126"/>
      <c r="E761" s="127"/>
      <c r="F761" s="127"/>
      <c r="G761" s="127"/>
      <c r="H761" s="130"/>
      <c r="I761" s="123" t="str">
        <f aca="false">IF(COUNTBLANK(E761:H761)&lt;1,ROUNDUP(SUM(F761:G761)*((100+H761*100)%),0),"")</f>
        <v/>
      </c>
      <c r="J761" s="129"/>
      <c r="K761" s="129"/>
    </row>
    <row r="762" customFormat="false" ht="12.75" hidden="false" customHeight="true" outlineLevel="0" collapsed="false">
      <c r="A762" s="121" t="str">
        <f aca="false">IF(B762="","",CONCATENATE(COUNTA(B$4:B762),"."))</f>
        <v/>
      </c>
      <c r="B762" s="126"/>
      <c r="C762" s="126"/>
      <c r="D762" s="126"/>
      <c r="E762" s="127"/>
      <c r="F762" s="127"/>
      <c r="G762" s="127"/>
      <c r="H762" s="130"/>
      <c r="I762" s="123" t="str">
        <f aca="false">IF(COUNTBLANK(E762:H762)&lt;1,ROUNDUP(SUM(F762:G762)*((100+H762*100)%),0),"")</f>
        <v/>
      </c>
      <c r="J762" s="129"/>
      <c r="K762" s="129"/>
    </row>
    <row r="763" customFormat="false" ht="12.75" hidden="false" customHeight="true" outlineLevel="0" collapsed="false">
      <c r="A763" s="121" t="str">
        <f aca="false">IF(B763="","",CONCATENATE(COUNTA(B$4:B763),"."))</f>
        <v/>
      </c>
      <c r="B763" s="126"/>
      <c r="C763" s="126"/>
      <c r="D763" s="126"/>
      <c r="E763" s="127"/>
      <c r="F763" s="127"/>
      <c r="G763" s="127"/>
      <c r="H763" s="130"/>
      <c r="I763" s="123" t="str">
        <f aca="false">IF(COUNTBLANK(E763:H763)&lt;1,ROUNDUP(SUM(F763:G763)*((100+H763*100)%),0),"")</f>
        <v/>
      </c>
      <c r="J763" s="129"/>
      <c r="K763" s="129"/>
    </row>
    <row r="764" customFormat="false" ht="12.75" hidden="false" customHeight="true" outlineLevel="0" collapsed="false">
      <c r="A764" s="121" t="str">
        <f aca="false">IF(B764="","",CONCATENATE(COUNTA(B$4:B764),"."))</f>
        <v/>
      </c>
      <c r="B764" s="126"/>
      <c r="C764" s="126"/>
      <c r="D764" s="126"/>
      <c r="E764" s="127"/>
      <c r="F764" s="127"/>
      <c r="G764" s="127"/>
      <c r="H764" s="130"/>
      <c r="I764" s="123" t="str">
        <f aca="false">IF(COUNTBLANK(E764:H764)&lt;1,ROUNDUP(SUM(F764:G764)*((100+H764*100)%),0),"")</f>
        <v/>
      </c>
      <c r="J764" s="129"/>
      <c r="K764" s="129"/>
    </row>
    <row r="765" customFormat="false" ht="12.75" hidden="false" customHeight="true" outlineLevel="0" collapsed="false">
      <c r="A765" s="121" t="str">
        <f aca="false">IF(B765="","",CONCATENATE(COUNTA(B$4:B765),"."))</f>
        <v/>
      </c>
      <c r="B765" s="126"/>
      <c r="C765" s="126"/>
      <c r="D765" s="126"/>
      <c r="E765" s="127"/>
      <c r="F765" s="127"/>
      <c r="G765" s="127"/>
      <c r="H765" s="130"/>
      <c r="I765" s="123" t="str">
        <f aca="false">IF(COUNTBLANK(E765:H765)&lt;1,ROUNDUP(SUM(F765:G765)*((100+H765*100)%),0),"")</f>
        <v/>
      </c>
      <c r="J765" s="129"/>
      <c r="K765" s="129"/>
    </row>
    <row r="766" customFormat="false" ht="12.75" hidden="false" customHeight="true" outlineLevel="0" collapsed="false">
      <c r="A766" s="121" t="str">
        <f aca="false">IF(B766="","",CONCATENATE(COUNTA(B$4:B766),"."))</f>
        <v/>
      </c>
      <c r="B766" s="126"/>
      <c r="C766" s="126"/>
      <c r="D766" s="126"/>
      <c r="E766" s="127"/>
      <c r="F766" s="127"/>
      <c r="G766" s="127"/>
      <c r="H766" s="130"/>
      <c r="I766" s="123" t="str">
        <f aca="false">IF(COUNTBLANK(E766:H766)&lt;1,ROUNDUP(SUM(F766:G766)*((100+H766*100)%),0),"")</f>
        <v/>
      </c>
      <c r="J766" s="129"/>
      <c r="K766" s="129"/>
    </row>
    <row r="767" customFormat="false" ht="12.75" hidden="false" customHeight="true" outlineLevel="0" collapsed="false">
      <c r="A767" s="121" t="str">
        <f aca="false">IF(B767="","",CONCATENATE(COUNTA(B$4:B767),"."))</f>
        <v/>
      </c>
      <c r="B767" s="126"/>
      <c r="C767" s="126"/>
      <c r="D767" s="126"/>
      <c r="E767" s="127"/>
      <c r="F767" s="127"/>
      <c r="G767" s="127"/>
      <c r="H767" s="130"/>
      <c r="I767" s="123" t="str">
        <f aca="false">IF(COUNTBLANK(E767:H767)&lt;1,ROUNDUP(SUM(F767:G767)*((100+H767*100)%),0),"")</f>
        <v/>
      </c>
      <c r="J767" s="129"/>
      <c r="K767" s="129"/>
    </row>
    <row r="768" customFormat="false" ht="12.75" hidden="false" customHeight="true" outlineLevel="0" collapsed="false">
      <c r="A768" s="121" t="str">
        <f aca="false">IF(B768="","",CONCATENATE(COUNTA(B$4:B768),"."))</f>
        <v/>
      </c>
      <c r="B768" s="126"/>
      <c r="C768" s="126"/>
      <c r="D768" s="126"/>
      <c r="E768" s="127"/>
      <c r="F768" s="127"/>
      <c r="G768" s="127"/>
      <c r="H768" s="130"/>
      <c r="I768" s="123" t="str">
        <f aca="false">IF(COUNTBLANK(E768:H768)&lt;1,ROUNDUP(SUM(F768:G768)*((100+H768*100)%),0),"")</f>
        <v/>
      </c>
      <c r="J768" s="129"/>
      <c r="K768" s="129"/>
    </row>
    <row r="769" customFormat="false" ht="12.75" hidden="false" customHeight="true" outlineLevel="0" collapsed="false">
      <c r="A769" s="121" t="str">
        <f aca="false">IF(B769="","",CONCATENATE(COUNTA(B$4:B769),"."))</f>
        <v/>
      </c>
      <c r="B769" s="126"/>
      <c r="C769" s="126"/>
      <c r="D769" s="126"/>
      <c r="E769" s="127"/>
      <c r="F769" s="127"/>
      <c r="G769" s="127"/>
      <c r="H769" s="130"/>
      <c r="I769" s="123" t="str">
        <f aca="false">IF(COUNTBLANK(E769:H769)&lt;1,ROUNDUP(SUM(F769:G769)*((100+H769*100)%),0),"")</f>
        <v/>
      </c>
      <c r="J769" s="129"/>
      <c r="K769" s="129"/>
    </row>
    <row r="770" customFormat="false" ht="12.75" hidden="false" customHeight="true" outlineLevel="0" collapsed="false">
      <c r="A770" s="121" t="str">
        <f aca="false">IF(B770="","",CONCATENATE(COUNTA(B$4:B770),"."))</f>
        <v/>
      </c>
      <c r="B770" s="126"/>
      <c r="C770" s="126"/>
      <c r="D770" s="126"/>
      <c r="E770" s="127"/>
      <c r="F770" s="127"/>
      <c r="G770" s="127"/>
      <c r="H770" s="130"/>
      <c r="I770" s="123" t="str">
        <f aca="false">IF(COUNTBLANK(E770:H770)&lt;1,ROUNDUP(SUM(F770:G770)*((100+H770*100)%),0),"")</f>
        <v/>
      </c>
      <c r="J770" s="129"/>
      <c r="K770" s="129"/>
    </row>
    <row r="771" customFormat="false" ht="12.75" hidden="false" customHeight="true" outlineLevel="0" collapsed="false">
      <c r="A771" s="121" t="str">
        <f aca="false">IF(B771="","",CONCATENATE(COUNTA(B$4:B771),"."))</f>
        <v/>
      </c>
      <c r="B771" s="126"/>
      <c r="C771" s="126"/>
      <c r="D771" s="126"/>
      <c r="E771" s="127"/>
      <c r="F771" s="127"/>
      <c r="G771" s="127"/>
      <c r="H771" s="130"/>
      <c r="I771" s="123" t="str">
        <f aca="false">IF(COUNTBLANK(E771:H771)&lt;1,ROUNDUP(SUM(F771:G771)*((100+H771*100)%),0),"")</f>
        <v/>
      </c>
      <c r="J771" s="129"/>
      <c r="K771" s="129"/>
    </row>
    <row r="772" customFormat="false" ht="12.75" hidden="false" customHeight="true" outlineLevel="0" collapsed="false">
      <c r="A772" s="121" t="str">
        <f aca="false">IF(B772="","",CONCATENATE(COUNTA(B$4:B772),"."))</f>
        <v/>
      </c>
      <c r="B772" s="126"/>
      <c r="C772" s="126"/>
      <c r="D772" s="126"/>
      <c r="E772" s="127"/>
      <c r="F772" s="127"/>
      <c r="G772" s="127"/>
      <c r="H772" s="130"/>
      <c r="I772" s="123" t="str">
        <f aca="false">IF(COUNTBLANK(E772:H772)&lt;1,ROUNDUP(SUM(F772:G772)*((100+H772*100)%),0),"")</f>
        <v/>
      </c>
      <c r="J772" s="129"/>
      <c r="K772" s="129"/>
    </row>
    <row r="773" customFormat="false" ht="12.75" hidden="false" customHeight="true" outlineLevel="0" collapsed="false">
      <c r="A773" s="121" t="str">
        <f aca="false">IF(B773="","",CONCATENATE(COUNTA(B$4:B773),"."))</f>
        <v/>
      </c>
      <c r="B773" s="126"/>
      <c r="C773" s="126"/>
      <c r="D773" s="126"/>
      <c r="E773" s="127"/>
      <c r="F773" s="127"/>
      <c r="G773" s="127"/>
      <c r="H773" s="130"/>
      <c r="I773" s="123" t="str">
        <f aca="false">IF(COUNTBLANK(E773:H773)&lt;1,ROUNDUP(SUM(F773:G773)*((100+H773*100)%),0),"")</f>
        <v/>
      </c>
      <c r="J773" s="129"/>
      <c r="K773" s="129"/>
    </row>
    <row r="774" customFormat="false" ht="12.75" hidden="false" customHeight="true" outlineLevel="0" collapsed="false">
      <c r="A774" s="121" t="str">
        <f aca="false">IF(B774="","",CONCATENATE(COUNTA(B$4:B774),"."))</f>
        <v/>
      </c>
      <c r="B774" s="126"/>
      <c r="C774" s="126"/>
      <c r="D774" s="126"/>
      <c r="E774" s="127"/>
      <c r="F774" s="127"/>
      <c r="G774" s="127"/>
      <c r="H774" s="130"/>
      <c r="I774" s="123" t="str">
        <f aca="false">IF(COUNTBLANK(E774:H774)&lt;1,ROUNDUP(SUM(F774:G774)*((100+H774*100)%),0),"")</f>
        <v/>
      </c>
      <c r="J774" s="129"/>
      <c r="K774" s="129"/>
    </row>
    <row r="775" customFormat="false" ht="12.75" hidden="false" customHeight="true" outlineLevel="0" collapsed="false">
      <c r="A775" s="121" t="str">
        <f aca="false">IF(B775="","",CONCATENATE(COUNTA(B$4:B775),"."))</f>
        <v/>
      </c>
      <c r="B775" s="126"/>
      <c r="C775" s="126"/>
      <c r="D775" s="126"/>
      <c r="E775" s="127"/>
      <c r="F775" s="127"/>
      <c r="G775" s="127"/>
      <c r="H775" s="130"/>
      <c r="I775" s="123" t="str">
        <f aca="false">IF(COUNTBLANK(E775:H775)&lt;1,ROUNDUP(SUM(F775:G775)*((100+H775*100)%),0),"")</f>
        <v/>
      </c>
      <c r="J775" s="129"/>
      <c r="K775" s="129"/>
    </row>
    <row r="776" customFormat="false" ht="12.75" hidden="false" customHeight="true" outlineLevel="0" collapsed="false">
      <c r="A776" s="121" t="str">
        <f aca="false">IF(B776="","",CONCATENATE(COUNTA(B$4:B776),"."))</f>
        <v/>
      </c>
      <c r="B776" s="126"/>
      <c r="C776" s="126"/>
      <c r="D776" s="126"/>
      <c r="E776" s="127"/>
      <c r="F776" s="127"/>
      <c r="G776" s="127"/>
      <c r="H776" s="130"/>
      <c r="I776" s="123" t="str">
        <f aca="false">IF(COUNTBLANK(E776:H776)&lt;1,ROUNDUP(SUM(F776:G776)*((100+H776*100)%),0),"")</f>
        <v/>
      </c>
      <c r="J776" s="129"/>
      <c r="K776" s="129"/>
    </row>
    <row r="777" customFormat="false" ht="12.75" hidden="false" customHeight="true" outlineLevel="0" collapsed="false">
      <c r="A777" s="121" t="str">
        <f aca="false">IF(B777="","",CONCATENATE(COUNTA(B$4:B777),"."))</f>
        <v/>
      </c>
      <c r="B777" s="126"/>
      <c r="C777" s="126"/>
      <c r="D777" s="126"/>
      <c r="E777" s="127"/>
      <c r="F777" s="127"/>
      <c r="G777" s="127"/>
      <c r="H777" s="130"/>
      <c r="I777" s="123" t="str">
        <f aca="false">IF(COUNTBLANK(E777:H777)&lt;1,ROUNDUP(SUM(F777:G777)*((100+H777*100)%),0),"")</f>
        <v/>
      </c>
      <c r="J777" s="129"/>
      <c r="K777" s="129"/>
    </row>
    <row r="778" customFormat="false" ht="12.75" hidden="false" customHeight="true" outlineLevel="0" collapsed="false">
      <c r="A778" s="121" t="str">
        <f aca="false">IF(B778="","",CONCATENATE(COUNTA(B$4:B778),"."))</f>
        <v/>
      </c>
      <c r="B778" s="126"/>
      <c r="C778" s="126"/>
      <c r="D778" s="126"/>
      <c r="E778" s="127"/>
      <c r="F778" s="127"/>
      <c r="G778" s="127"/>
      <c r="H778" s="130"/>
      <c r="I778" s="123" t="str">
        <f aca="false">IF(COUNTBLANK(E778:H778)&lt;1,ROUNDUP(SUM(F778:G778)*((100+H778*100)%),0),"")</f>
        <v/>
      </c>
      <c r="J778" s="129"/>
      <c r="K778" s="129"/>
    </row>
    <row r="779" customFormat="false" ht="12.75" hidden="false" customHeight="true" outlineLevel="0" collapsed="false">
      <c r="A779" s="121" t="str">
        <f aca="false">IF(B779="","",CONCATENATE(COUNTA(B$4:B779),"."))</f>
        <v/>
      </c>
      <c r="B779" s="126"/>
      <c r="C779" s="126"/>
      <c r="D779" s="126"/>
      <c r="E779" s="127"/>
      <c r="F779" s="127"/>
      <c r="G779" s="127"/>
      <c r="H779" s="130"/>
      <c r="I779" s="123" t="str">
        <f aca="false">IF(COUNTBLANK(E779:H779)&lt;1,ROUNDUP(SUM(F779:G779)*((100+H779*100)%),0),"")</f>
        <v/>
      </c>
      <c r="J779" s="129"/>
      <c r="K779" s="129"/>
    </row>
    <row r="780" customFormat="false" ht="12.75" hidden="false" customHeight="true" outlineLevel="0" collapsed="false">
      <c r="A780" s="121" t="str">
        <f aca="false">IF(B780="","",CONCATENATE(COUNTA(B$4:B780),"."))</f>
        <v/>
      </c>
      <c r="B780" s="126"/>
      <c r="C780" s="126"/>
      <c r="D780" s="126"/>
      <c r="E780" s="127"/>
      <c r="F780" s="127"/>
      <c r="G780" s="127"/>
      <c r="H780" s="130"/>
      <c r="I780" s="123" t="str">
        <f aca="false">IF(COUNTBLANK(E780:H780)&lt;1,ROUNDUP(SUM(F780:G780)*((100+H780*100)%),0),"")</f>
        <v/>
      </c>
      <c r="J780" s="129"/>
      <c r="K780" s="129"/>
    </row>
    <row r="781" customFormat="false" ht="12.75" hidden="false" customHeight="true" outlineLevel="0" collapsed="false">
      <c r="A781" s="121" t="str">
        <f aca="false">IF(B781="","",CONCATENATE(COUNTA(B$4:B781),"."))</f>
        <v/>
      </c>
      <c r="B781" s="126"/>
      <c r="C781" s="126"/>
      <c r="D781" s="126"/>
      <c r="E781" s="127"/>
      <c r="F781" s="127"/>
      <c r="G781" s="127"/>
      <c r="H781" s="130"/>
      <c r="I781" s="123" t="str">
        <f aca="false">IF(COUNTBLANK(E781:H781)&lt;1,ROUNDUP(SUM(F781:G781)*((100+H781*100)%),0),"")</f>
        <v/>
      </c>
      <c r="J781" s="129"/>
      <c r="K781" s="129"/>
    </row>
    <row r="782" customFormat="false" ht="12.75" hidden="false" customHeight="true" outlineLevel="0" collapsed="false">
      <c r="A782" s="121" t="str">
        <f aca="false">IF(B782="","",CONCATENATE(COUNTA(B$4:B782),"."))</f>
        <v/>
      </c>
      <c r="B782" s="126"/>
      <c r="C782" s="126"/>
      <c r="D782" s="126"/>
      <c r="E782" s="127"/>
      <c r="F782" s="127"/>
      <c r="G782" s="127"/>
      <c r="H782" s="130"/>
      <c r="I782" s="123" t="str">
        <f aca="false">IF(COUNTBLANK(E782:H782)&lt;1,ROUNDUP(SUM(F782:G782)*((100+H782*100)%),0),"")</f>
        <v/>
      </c>
      <c r="J782" s="129"/>
      <c r="K782" s="129"/>
    </row>
    <row r="783" customFormat="false" ht="12.75" hidden="false" customHeight="true" outlineLevel="0" collapsed="false">
      <c r="A783" s="121" t="str">
        <f aca="false">IF(B783="","",CONCATENATE(COUNTA(B$4:B783),"."))</f>
        <v/>
      </c>
      <c r="B783" s="126"/>
      <c r="C783" s="126"/>
      <c r="D783" s="126"/>
      <c r="E783" s="127"/>
      <c r="F783" s="127"/>
      <c r="G783" s="127"/>
      <c r="H783" s="130"/>
      <c r="I783" s="123" t="str">
        <f aca="false">IF(COUNTBLANK(E783:H783)&lt;1,ROUNDUP(SUM(F783:G783)*((100+H783*100)%),0),"")</f>
        <v/>
      </c>
      <c r="J783" s="129"/>
      <c r="K783" s="129"/>
    </row>
    <row r="784" customFormat="false" ht="12.75" hidden="false" customHeight="true" outlineLevel="0" collapsed="false">
      <c r="A784" s="121" t="str">
        <f aca="false">IF(B784="","",CONCATENATE(COUNTA(B$4:B784),"."))</f>
        <v/>
      </c>
      <c r="B784" s="126"/>
      <c r="C784" s="126"/>
      <c r="D784" s="126"/>
      <c r="E784" s="127"/>
      <c r="F784" s="127"/>
      <c r="G784" s="127"/>
      <c r="H784" s="130"/>
      <c r="I784" s="123" t="str">
        <f aca="false">IF(COUNTBLANK(E784:H784)&lt;1,ROUNDUP(SUM(F784:G784)*((100+H784*100)%),0),"")</f>
        <v/>
      </c>
      <c r="J784" s="129"/>
      <c r="K784" s="129"/>
    </row>
    <row r="785" customFormat="false" ht="12.75" hidden="false" customHeight="true" outlineLevel="0" collapsed="false">
      <c r="A785" s="121" t="str">
        <f aca="false">IF(B785="","",CONCATENATE(COUNTA(B$4:B785),"."))</f>
        <v/>
      </c>
      <c r="B785" s="126"/>
      <c r="C785" s="126"/>
      <c r="D785" s="126"/>
      <c r="E785" s="127"/>
      <c r="F785" s="127"/>
      <c r="G785" s="127"/>
      <c r="H785" s="130"/>
      <c r="I785" s="123" t="str">
        <f aca="false">IF(COUNTBLANK(E785:H785)&lt;1,ROUNDUP(SUM(F785:G785)*((100+H785*100)%),0),"")</f>
        <v/>
      </c>
      <c r="J785" s="129"/>
      <c r="K785" s="129"/>
    </row>
    <row r="786" customFormat="false" ht="12.75" hidden="false" customHeight="true" outlineLevel="0" collapsed="false">
      <c r="A786" s="121" t="str">
        <f aca="false">IF(B786="","",CONCATENATE(COUNTA(B$4:B786),"."))</f>
        <v/>
      </c>
      <c r="B786" s="126"/>
      <c r="C786" s="126"/>
      <c r="D786" s="126"/>
      <c r="E786" s="127"/>
      <c r="F786" s="127"/>
      <c r="G786" s="127"/>
      <c r="H786" s="130"/>
      <c r="I786" s="123" t="str">
        <f aca="false">IF(COUNTBLANK(E786:H786)&lt;1,ROUNDUP(SUM(F786:G786)*((100+H786*100)%),0),"")</f>
        <v/>
      </c>
      <c r="J786" s="129"/>
      <c r="K786" s="129"/>
    </row>
    <row r="787" customFormat="false" ht="12.75" hidden="false" customHeight="true" outlineLevel="0" collapsed="false">
      <c r="A787" s="121" t="str">
        <f aca="false">IF(B787="","",CONCATENATE(COUNTA(B$4:B787),"."))</f>
        <v/>
      </c>
      <c r="B787" s="126"/>
      <c r="C787" s="126"/>
      <c r="D787" s="126"/>
      <c r="E787" s="127"/>
      <c r="F787" s="127"/>
      <c r="G787" s="127"/>
      <c r="H787" s="130"/>
      <c r="I787" s="123" t="str">
        <f aca="false">IF(COUNTBLANK(E787:H787)&lt;1,ROUNDUP(SUM(F787:G787)*((100+H787*100)%),0),"")</f>
        <v/>
      </c>
      <c r="J787" s="129"/>
      <c r="K787" s="129"/>
    </row>
    <row r="788" customFormat="false" ht="12.75" hidden="false" customHeight="true" outlineLevel="0" collapsed="false">
      <c r="A788" s="121" t="str">
        <f aca="false">IF(B788="","",CONCATENATE(COUNTA(B$4:B788),"."))</f>
        <v/>
      </c>
      <c r="B788" s="126"/>
      <c r="C788" s="126"/>
      <c r="D788" s="126"/>
      <c r="E788" s="127"/>
      <c r="F788" s="127"/>
      <c r="G788" s="127"/>
      <c r="H788" s="130"/>
      <c r="I788" s="123" t="str">
        <f aca="false">IF(COUNTBLANK(E788:H788)&lt;1,ROUNDUP(SUM(F788:G788)*((100+H788*100)%),0),"")</f>
        <v/>
      </c>
      <c r="J788" s="129"/>
      <c r="K788" s="129"/>
    </row>
    <row r="789" customFormat="false" ht="12.75" hidden="false" customHeight="true" outlineLevel="0" collapsed="false">
      <c r="A789" s="121" t="str">
        <f aca="false">IF(B789="","",CONCATENATE(COUNTA(B$4:B789),"."))</f>
        <v/>
      </c>
      <c r="B789" s="126"/>
      <c r="C789" s="126"/>
      <c r="D789" s="126"/>
      <c r="E789" s="127"/>
      <c r="F789" s="127"/>
      <c r="G789" s="127"/>
      <c r="H789" s="130"/>
      <c r="I789" s="123" t="str">
        <f aca="false">IF(COUNTBLANK(E789:H789)&lt;1,ROUNDUP(SUM(F789:G789)*((100+H789*100)%),0),"")</f>
        <v/>
      </c>
      <c r="J789" s="129"/>
      <c r="K789" s="129"/>
    </row>
    <row r="790" customFormat="false" ht="12.75" hidden="false" customHeight="true" outlineLevel="0" collapsed="false">
      <c r="A790" s="121" t="str">
        <f aca="false">IF(B790="","",CONCATENATE(COUNTA(B$4:B790),"."))</f>
        <v/>
      </c>
      <c r="B790" s="126"/>
      <c r="C790" s="126"/>
      <c r="D790" s="126"/>
      <c r="E790" s="127"/>
      <c r="F790" s="127"/>
      <c r="G790" s="127"/>
      <c r="H790" s="130"/>
      <c r="I790" s="123" t="str">
        <f aca="false">IF(COUNTBLANK(E790:H790)&lt;1,ROUNDUP(SUM(F790:G790)*((100+H790*100)%),0),"")</f>
        <v/>
      </c>
      <c r="J790" s="129"/>
      <c r="K790" s="129"/>
    </row>
    <row r="791" customFormat="false" ht="12.75" hidden="false" customHeight="true" outlineLevel="0" collapsed="false">
      <c r="A791" s="121" t="str">
        <f aca="false">IF(B791="","",CONCATENATE(COUNTA(B$4:B791),"."))</f>
        <v/>
      </c>
      <c r="B791" s="126"/>
      <c r="C791" s="126"/>
      <c r="D791" s="126"/>
      <c r="E791" s="127"/>
      <c r="F791" s="127"/>
      <c r="G791" s="127"/>
      <c r="H791" s="130"/>
      <c r="I791" s="123" t="str">
        <f aca="false">IF(COUNTBLANK(E791:H791)&lt;1,ROUNDUP(SUM(F791:G791)*((100+H791*100)%),0),"")</f>
        <v/>
      </c>
      <c r="J791" s="129"/>
      <c r="K791" s="129"/>
    </row>
    <row r="792" customFormat="false" ht="12.75" hidden="false" customHeight="true" outlineLevel="0" collapsed="false">
      <c r="A792" s="121" t="str">
        <f aca="false">IF(B792="","",CONCATENATE(COUNTA(B$4:B792),"."))</f>
        <v/>
      </c>
      <c r="B792" s="126"/>
      <c r="C792" s="126"/>
      <c r="D792" s="126"/>
      <c r="E792" s="127"/>
      <c r="F792" s="127"/>
      <c r="G792" s="127"/>
      <c r="H792" s="130"/>
      <c r="I792" s="123" t="str">
        <f aca="false">IF(COUNTBLANK(E792:H792)&lt;1,ROUNDUP(SUM(F792:G792)*((100+H792*100)%),0),"")</f>
        <v/>
      </c>
      <c r="J792" s="129"/>
      <c r="K792" s="129"/>
    </row>
    <row r="793" customFormat="false" ht="12.75" hidden="false" customHeight="true" outlineLevel="0" collapsed="false">
      <c r="A793" s="121" t="str">
        <f aca="false">IF(B793="","",CONCATENATE(COUNTA(B$4:B793),"."))</f>
        <v/>
      </c>
      <c r="B793" s="126"/>
      <c r="C793" s="126"/>
      <c r="D793" s="126"/>
      <c r="E793" s="127"/>
      <c r="F793" s="127"/>
      <c r="G793" s="127"/>
      <c r="H793" s="130"/>
      <c r="I793" s="123" t="str">
        <f aca="false">IF(COUNTBLANK(E793:H793)&lt;1,ROUNDUP(SUM(F793:G793)*((100+H793*100)%),0),"")</f>
        <v/>
      </c>
      <c r="J793" s="129"/>
      <c r="K793" s="129"/>
    </row>
    <row r="794" customFormat="false" ht="12.75" hidden="false" customHeight="true" outlineLevel="0" collapsed="false">
      <c r="A794" s="121" t="str">
        <f aca="false">IF(B794="","",CONCATENATE(COUNTA(B$4:B794),"."))</f>
        <v/>
      </c>
      <c r="B794" s="126"/>
      <c r="C794" s="126"/>
      <c r="D794" s="126"/>
      <c r="E794" s="127"/>
      <c r="F794" s="127"/>
      <c r="G794" s="127"/>
      <c r="H794" s="130"/>
      <c r="I794" s="123" t="str">
        <f aca="false">IF(COUNTBLANK(E794:H794)&lt;1,ROUNDUP(SUM(F794:G794)*((100+H794*100)%),0),"")</f>
        <v/>
      </c>
      <c r="J794" s="129"/>
      <c r="K794" s="129"/>
    </row>
    <row r="795" customFormat="false" ht="12.75" hidden="false" customHeight="true" outlineLevel="0" collapsed="false">
      <c r="A795" s="121" t="str">
        <f aca="false">IF(B795="","",CONCATENATE(COUNTA(B$4:B795),"."))</f>
        <v/>
      </c>
      <c r="B795" s="126"/>
      <c r="C795" s="126"/>
      <c r="D795" s="126"/>
      <c r="E795" s="127"/>
      <c r="F795" s="127"/>
      <c r="G795" s="127"/>
      <c r="H795" s="130"/>
      <c r="I795" s="123" t="str">
        <f aca="false">IF(COUNTBLANK(E795:H795)&lt;1,ROUNDUP(SUM(F795:G795)*((100+H795*100)%),0),"")</f>
        <v/>
      </c>
      <c r="J795" s="129"/>
      <c r="K795" s="129"/>
    </row>
    <row r="796" customFormat="false" ht="12.75" hidden="false" customHeight="true" outlineLevel="0" collapsed="false">
      <c r="A796" s="121" t="str">
        <f aca="false">IF(B796="","",CONCATENATE(COUNTA(B$4:B796),"."))</f>
        <v/>
      </c>
      <c r="B796" s="126"/>
      <c r="C796" s="126"/>
      <c r="D796" s="126"/>
      <c r="E796" s="127"/>
      <c r="F796" s="127"/>
      <c r="G796" s="127"/>
      <c r="H796" s="130"/>
      <c r="I796" s="123" t="str">
        <f aca="false">IF(COUNTBLANK(E796:H796)&lt;1,ROUNDUP(SUM(F796:G796)*((100+H796*100)%),0),"")</f>
        <v/>
      </c>
      <c r="J796" s="129"/>
      <c r="K796" s="129"/>
    </row>
    <row r="797" customFormat="false" ht="12.75" hidden="false" customHeight="true" outlineLevel="0" collapsed="false">
      <c r="A797" s="121" t="str">
        <f aca="false">IF(B797="","",CONCATENATE(COUNTA(B$4:B797),"."))</f>
        <v/>
      </c>
      <c r="B797" s="126"/>
      <c r="C797" s="126"/>
      <c r="D797" s="126"/>
      <c r="E797" s="127"/>
      <c r="F797" s="127"/>
      <c r="G797" s="127"/>
      <c r="H797" s="130"/>
      <c r="I797" s="123" t="str">
        <f aca="false">IF(COUNTBLANK(E797:H797)&lt;1,ROUNDUP(SUM(F797:G797)*((100+H797*100)%),0),"")</f>
        <v/>
      </c>
      <c r="J797" s="129"/>
      <c r="K797" s="129"/>
    </row>
    <row r="798" customFormat="false" ht="12.75" hidden="false" customHeight="true" outlineLevel="0" collapsed="false">
      <c r="A798" s="121" t="str">
        <f aca="false">IF(B798="","",CONCATENATE(COUNTA(B$4:B798),"."))</f>
        <v/>
      </c>
      <c r="B798" s="126"/>
      <c r="C798" s="126"/>
      <c r="D798" s="126"/>
      <c r="E798" s="127"/>
      <c r="F798" s="127"/>
      <c r="G798" s="127"/>
      <c r="H798" s="130"/>
      <c r="I798" s="123" t="str">
        <f aca="false">IF(COUNTBLANK(E798:H798)&lt;1,ROUNDUP(SUM(F798:G798)*((100+H798*100)%),0),"")</f>
        <v/>
      </c>
      <c r="J798" s="129"/>
      <c r="K798" s="129"/>
    </row>
    <row r="799" customFormat="false" ht="12.75" hidden="false" customHeight="true" outlineLevel="0" collapsed="false">
      <c r="A799" s="121" t="str">
        <f aca="false">IF(B799="","",CONCATENATE(COUNTA(B$4:B799),"."))</f>
        <v/>
      </c>
      <c r="B799" s="126"/>
      <c r="C799" s="126"/>
      <c r="D799" s="126"/>
      <c r="E799" s="127"/>
      <c r="F799" s="127"/>
      <c r="G799" s="127"/>
      <c r="H799" s="130"/>
      <c r="I799" s="123" t="str">
        <f aca="false">IF(COUNTBLANK(E799:H799)&lt;1,ROUNDUP(SUM(F799:G799)*((100+H799*100)%),0),"")</f>
        <v/>
      </c>
      <c r="J799" s="129"/>
      <c r="K799" s="129"/>
    </row>
    <row r="800" customFormat="false" ht="12.75" hidden="false" customHeight="true" outlineLevel="0" collapsed="false">
      <c r="A800" s="121" t="str">
        <f aca="false">IF(B800="","",CONCATENATE(COUNTA(B$4:B800),"."))</f>
        <v/>
      </c>
      <c r="B800" s="126"/>
      <c r="C800" s="126"/>
      <c r="D800" s="126"/>
      <c r="E800" s="127"/>
      <c r="F800" s="127"/>
      <c r="G800" s="127"/>
      <c r="H800" s="130"/>
      <c r="I800" s="123" t="str">
        <f aca="false">IF(COUNTBLANK(E800:H800)&lt;1,ROUNDUP(SUM(F800:G800)*((100+H800*100)%),0),"")</f>
        <v/>
      </c>
      <c r="J800" s="129"/>
      <c r="K800" s="129"/>
    </row>
    <row r="801" customFormat="false" ht="12.75" hidden="false" customHeight="true" outlineLevel="0" collapsed="false">
      <c r="A801" s="121" t="str">
        <f aca="false">IF(B801="","",CONCATENATE(COUNTA(B$4:B801),"."))</f>
        <v/>
      </c>
      <c r="B801" s="126"/>
      <c r="C801" s="126"/>
      <c r="D801" s="126"/>
      <c r="E801" s="127"/>
      <c r="F801" s="127"/>
      <c r="G801" s="127"/>
      <c r="H801" s="130"/>
      <c r="I801" s="123" t="str">
        <f aca="false">IF(COUNTBLANK(E801:H801)&lt;1,ROUNDUP(SUM(F801:G801)*((100+H801*100)%),0),"")</f>
        <v/>
      </c>
      <c r="J801" s="129"/>
      <c r="K801" s="129"/>
    </row>
    <row r="802" customFormat="false" ht="12.75" hidden="false" customHeight="true" outlineLevel="0" collapsed="false">
      <c r="A802" s="121" t="str">
        <f aca="false">IF(B802="","",CONCATENATE(COUNTA(B$4:B802),"."))</f>
        <v/>
      </c>
      <c r="B802" s="126"/>
      <c r="C802" s="126"/>
      <c r="D802" s="126"/>
      <c r="E802" s="127"/>
      <c r="F802" s="127"/>
      <c r="G802" s="127"/>
      <c r="H802" s="130"/>
      <c r="I802" s="123" t="str">
        <f aca="false">IF(COUNTBLANK(E802:H802)&lt;1,ROUNDUP(SUM(F802:G802)*((100+H802*100)%),0),"")</f>
        <v/>
      </c>
      <c r="J802" s="129"/>
      <c r="K802" s="129"/>
    </row>
    <row r="803" customFormat="false" ht="12.75" hidden="false" customHeight="true" outlineLevel="0" collapsed="false">
      <c r="A803" s="121" t="str">
        <f aca="false">IF(B803="","",CONCATENATE(COUNTA(B$4:B803),"."))</f>
        <v/>
      </c>
      <c r="B803" s="126"/>
      <c r="C803" s="126"/>
      <c r="D803" s="126"/>
      <c r="E803" s="127"/>
      <c r="F803" s="127"/>
      <c r="G803" s="127"/>
      <c r="H803" s="130"/>
      <c r="I803" s="123" t="str">
        <f aca="false">IF(COUNTBLANK(E803:H803)&lt;1,ROUNDUP(SUM(F803:G803)*((100+H803*100)%),0),"")</f>
        <v/>
      </c>
      <c r="J803" s="129"/>
      <c r="K803" s="129"/>
    </row>
    <row r="804" customFormat="false" ht="12.75" hidden="false" customHeight="true" outlineLevel="0" collapsed="false">
      <c r="A804" s="121" t="str">
        <f aca="false">IF(B804="","",CONCATENATE(COUNTA(B$4:B804),"."))</f>
        <v/>
      </c>
      <c r="B804" s="126"/>
      <c r="C804" s="126"/>
      <c r="D804" s="126"/>
      <c r="E804" s="127"/>
      <c r="F804" s="127"/>
      <c r="G804" s="127"/>
      <c r="H804" s="130"/>
      <c r="I804" s="123" t="str">
        <f aca="false">IF(COUNTBLANK(E804:H804)&lt;1,ROUNDUP(SUM(F804:G804)*((100+H804*100)%),0),"")</f>
        <v/>
      </c>
      <c r="J804" s="129"/>
      <c r="K804" s="129"/>
    </row>
    <row r="805" customFormat="false" ht="12.75" hidden="false" customHeight="true" outlineLevel="0" collapsed="false">
      <c r="A805" s="121" t="str">
        <f aca="false">IF(B805="","",CONCATENATE(COUNTA(B$4:B805),"."))</f>
        <v/>
      </c>
      <c r="B805" s="126"/>
      <c r="C805" s="126"/>
      <c r="D805" s="126"/>
      <c r="E805" s="127"/>
      <c r="F805" s="127"/>
      <c r="G805" s="127"/>
      <c r="H805" s="130"/>
      <c r="I805" s="123" t="str">
        <f aca="false">IF(COUNTBLANK(E805:H805)&lt;1,ROUNDUP(SUM(F805:G805)*((100+H805*100)%),0),"")</f>
        <v/>
      </c>
      <c r="J805" s="129"/>
      <c r="K805" s="129"/>
    </row>
    <row r="806" customFormat="false" ht="12.75" hidden="false" customHeight="true" outlineLevel="0" collapsed="false">
      <c r="A806" s="121" t="str">
        <f aca="false">IF(B806="","",CONCATENATE(COUNTA(B$4:B806),"."))</f>
        <v/>
      </c>
      <c r="B806" s="126"/>
      <c r="C806" s="126"/>
      <c r="D806" s="126"/>
      <c r="E806" s="127"/>
      <c r="F806" s="127"/>
      <c r="G806" s="127"/>
      <c r="H806" s="130"/>
      <c r="I806" s="123" t="str">
        <f aca="false">IF(COUNTBLANK(E806:H806)&lt;1,ROUNDUP(SUM(F806:G806)*((100+H806*100)%),0),"")</f>
        <v/>
      </c>
      <c r="J806" s="129"/>
      <c r="K806" s="129"/>
    </row>
    <row r="807" customFormat="false" ht="12.75" hidden="false" customHeight="true" outlineLevel="0" collapsed="false">
      <c r="A807" s="121" t="str">
        <f aca="false">IF(B807="","",CONCATENATE(COUNTA(B$4:B807),"."))</f>
        <v/>
      </c>
      <c r="B807" s="126"/>
      <c r="C807" s="126"/>
      <c r="D807" s="126"/>
      <c r="E807" s="127"/>
      <c r="F807" s="127"/>
      <c r="G807" s="127"/>
      <c r="H807" s="130"/>
      <c r="I807" s="123" t="str">
        <f aca="false">IF(COUNTBLANK(E807:H807)&lt;1,ROUNDUP(SUM(F807:G807)*((100+H807*100)%),0),"")</f>
        <v/>
      </c>
      <c r="J807" s="129"/>
      <c r="K807" s="129"/>
    </row>
    <row r="808" customFormat="false" ht="12.75" hidden="false" customHeight="true" outlineLevel="0" collapsed="false">
      <c r="A808" s="121" t="str">
        <f aca="false">IF(B808="","",CONCATENATE(COUNTA(B$4:B808),"."))</f>
        <v/>
      </c>
      <c r="B808" s="126"/>
      <c r="C808" s="126"/>
      <c r="D808" s="126"/>
      <c r="E808" s="127"/>
      <c r="F808" s="127"/>
      <c r="G808" s="127"/>
      <c r="H808" s="130"/>
      <c r="I808" s="123" t="str">
        <f aca="false">IF(COUNTBLANK(E808:H808)&lt;1,ROUNDUP(SUM(F808:G808)*((100+H808*100)%),0),"")</f>
        <v/>
      </c>
      <c r="J808" s="129"/>
      <c r="K808" s="129"/>
    </row>
    <row r="809" customFormat="false" ht="12.75" hidden="false" customHeight="true" outlineLevel="0" collapsed="false">
      <c r="A809" s="121" t="str">
        <f aca="false">IF(B809="","",CONCATENATE(COUNTA(B$4:B809),"."))</f>
        <v/>
      </c>
      <c r="B809" s="126"/>
      <c r="C809" s="126"/>
      <c r="D809" s="126"/>
      <c r="E809" s="127"/>
      <c r="F809" s="127"/>
      <c r="G809" s="127"/>
      <c r="H809" s="130"/>
      <c r="I809" s="123" t="str">
        <f aca="false">IF(COUNTBLANK(E809:H809)&lt;1,ROUNDUP(SUM(F809:G809)*((100+H809*100)%),0),"")</f>
        <v/>
      </c>
      <c r="J809" s="129"/>
      <c r="K809" s="129"/>
    </row>
    <row r="810" customFormat="false" ht="12.75" hidden="false" customHeight="true" outlineLevel="0" collapsed="false">
      <c r="A810" s="121" t="str">
        <f aca="false">IF(B810="","",CONCATENATE(COUNTA(B$4:B810),"."))</f>
        <v/>
      </c>
      <c r="B810" s="126"/>
      <c r="C810" s="126"/>
      <c r="D810" s="126"/>
      <c r="E810" s="127"/>
      <c r="F810" s="127"/>
      <c r="G810" s="127"/>
      <c r="H810" s="130"/>
      <c r="I810" s="123" t="str">
        <f aca="false">IF(COUNTBLANK(E810:H810)&lt;1,ROUNDUP(SUM(F810:G810)*((100+H810*100)%),0),"")</f>
        <v/>
      </c>
      <c r="J810" s="129"/>
      <c r="K810" s="129"/>
    </row>
    <row r="811" customFormat="false" ht="12.75" hidden="false" customHeight="true" outlineLevel="0" collapsed="false">
      <c r="A811" s="121" t="str">
        <f aca="false">IF(B811="","",CONCATENATE(COUNTA(B$4:B811),"."))</f>
        <v/>
      </c>
      <c r="B811" s="126"/>
      <c r="C811" s="126"/>
      <c r="D811" s="126"/>
      <c r="E811" s="127"/>
      <c r="F811" s="127"/>
      <c r="G811" s="127"/>
      <c r="H811" s="130"/>
      <c r="I811" s="123" t="str">
        <f aca="false">IF(COUNTBLANK(E811:H811)&lt;1,ROUNDUP(SUM(F811:G811)*((100+H811*100)%),0),"")</f>
        <v/>
      </c>
      <c r="J811" s="129"/>
      <c r="K811" s="129"/>
    </row>
    <row r="812" customFormat="false" ht="12.75" hidden="false" customHeight="true" outlineLevel="0" collapsed="false">
      <c r="A812" s="121" t="str">
        <f aca="false">IF(B812="","",CONCATENATE(COUNTA(B$4:B812),"."))</f>
        <v/>
      </c>
      <c r="B812" s="126"/>
      <c r="C812" s="126"/>
      <c r="D812" s="126"/>
      <c r="E812" s="127"/>
      <c r="F812" s="127"/>
      <c r="G812" s="127"/>
      <c r="H812" s="130"/>
      <c r="I812" s="123" t="str">
        <f aca="false">IF(COUNTBLANK(E812:H812)&lt;1,ROUNDUP(SUM(F812:G812)*((100+H812*100)%),0),"")</f>
        <v/>
      </c>
      <c r="J812" s="129"/>
      <c r="K812" s="129"/>
    </row>
    <row r="813" customFormat="false" ht="12.75" hidden="false" customHeight="true" outlineLevel="0" collapsed="false">
      <c r="A813" s="121" t="str">
        <f aca="false">IF(B813="","",CONCATENATE(COUNTA(B$4:B813),"."))</f>
        <v/>
      </c>
      <c r="B813" s="126"/>
      <c r="C813" s="126"/>
      <c r="D813" s="126"/>
      <c r="E813" s="127"/>
      <c r="F813" s="127"/>
      <c r="G813" s="127"/>
      <c r="H813" s="130"/>
      <c r="I813" s="123" t="str">
        <f aca="false">IF(COUNTBLANK(E813:H813)&lt;1,ROUNDUP(SUM(F813:G813)*((100+H813*100)%),0),"")</f>
        <v/>
      </c>
      <c r="J813" s="129"/>
      <c r="K813" s="129"/>
    </row>
    <row r="814" customFormat="false" ht="12.75" hidden="false" customHeight="true" outlineLevel="0" collapsed="false">
      <c r="A814" s="121" t="str">
        <f aca="false">IF(B814="","",CONCATENATE(COUNTA(B$4:B814),"."))</f>
        <v/>
      </c>
      <c r="B814" s="126"/>
      <c r="C814" s="126"/>
      <c r="D814" s="126"/>
      <c r="E814" s="127"/>
      <c r="F814" s="127"/>
      <c r="G814" s="127"/>
      <c r="H814" s="130"/>
      <c r="I814" s="123" t="str">
        <f aca="false">IF(COUNTBLANK(E814:H814)&lt;1,ROUNDUP(SUM(F814:G814)*((100+H814*100)%),0),"")</f>
        <v/>
      </c>
      <c r="J814" s="129"/>
      <c r="K814" s="129"/>
    </row>
    <row r="815" customFormat="false" ht="12.75" hidden="false" customHeight="true" outlineLevel="0" collapsed="false">
      <c r="A815" s="121" t="str">
        <f aca="false">IF(B815="","",CONCATENATE(COUNTA(B$4:B815),"."))</f>
        <v/>
      </c>
      <c r="B815" s="126"/>
      <c r="C815" s="126"/>
      <c r="D815" s="126"/>
      <c r="E815" s="127"/>
      <c r="F815" s="127"/>
      <c r="G815" s="127"/>
      <c r="H815" s="130"/>
      <c r="I815" s="123" t="str">
        <f aca="false">IF(COUNTBLANK(E815:H815)&lt;1,ROUNDUP(SUM(F815:G815)*((100+H815*100)%),0),"")</f>
        <v/>
      </c>
      <c r="J815" s="129"/>
      <c r="K815" s="129"/>
    </row>
    <row r="816" customFormat="false" ht="12.75" hidden="false" customHeight="true" outlineLevel="0" collapsed="false">
      <c r="A816" s="121" t="str">
        <f aca="false">IF(B816="","",CONCATENATE(COUNTA(B$4:B816),"."))</f>
        <v/>
      </c>
      <c r="B816" s="126"/>
      <c r="C816" s="126"/>
      <c r="D816" s="126"/>
      <c r="E816" s="127"/>
      <c r="F816" s="127"/>
      <c r="G816" s="127"/>
      <c r="H816" s="130"/>
      <c r="I816" s="123" t="str">
        <f aca="false">IF(COUNTBLANK(E816:H816)&lt;1,ROUNDUP(SUM(F816:G816)*((100+H816*100)%),0),"")</f>
        <v/>
      </c>
      <c r="J816" s="129"/>
      <c r="K816" s="129"/>
    </row>
    <row r="817" customFormat="false" ht="12.75" hidden="false" customHeight="true" outlineLevel="0" collapsed="false">
      <c r="A817" s="121" t="str">
        <f aca="false">IF(B817="","",CONCATENATE(COUNTA(B$4:B817),"."))</f>
        <v/>
      </c>
      <c r="B817" s="126"/>
      <c r="C817" s="126"/>
      <c r="D817" s="126"/>
      <c r="E817" s="127"/>
      <c r="F817" s="127"/>
      <c r="G817" s="127"/>
      <c r="H817" s="130"/>
      <c r="I817" s="123" t="str">
        <f aca="false">IF(COUNTBLANK(E817:H817)&lt;1,ROUNDUP(SUM(F817:G817)*((100+H817*100)%),0),"")</f>
        <v/>
      </c>
      <c r="J817" s="129"/>
      <c r="K817" s="129"/>
    </row>
    <row r="818" customFormat="false" ht="12.75" hidden="false" customHeight="true" outlineLevel="0" collapsed="false">
      <c r="A818" s="121" t="str">
        <f aca="false">IF(B818="","",CONCATENATE(COUNTA(B$4:B818),"."))</f>
        <v/>
      </c>
      <c r="B818" s="126"/>
      <c r="C818" s="126"/>
      <c r="D818" s="126"/>
      <c r="E818" s="127"/>
      <c r="F818" s="127"/>
      <c r="G818" s="127"/>
      <c r="H818" s="130"/>
      <c r="I818" s="123" t="str">
        <f aca="false">IF(COUNTBLANK(E818:H818)&lt;1,ROUNDUP(SUM(F818:G818)*((100+H818*100)%),0),"")</f>
        <v/>
      </c>
      <c r="J818" s="129"/>
      <c r="K818" s="129"/>
    </row>
    <row r="819" customFormat="false" ht="12.75" hidden="false" customHeight="true" outlineLevel="0" collapsed="false">
      <c r="A819" s="121" t="str">
        <f aca="false">IF(B819="","",CONCATENATE(COUNTA(B$4:B819),"."))</f>
        <v/>
      </c>
      <c r="B819" s="126"/>
      <c r="C819" s="126"/>
      <c r="D819" s="126"/>
      <c r="E819" s="127"/>
      <c r="F819" s="127"/>
      <c r="G819" s="127"/>
      <c r="H819" s="130"/>
      <c r="I819" s="123" t="str">
        <f aca="false">IF(COUNTBLANK(E819:H819)&lt;1,ROUNDUP(SUM(F819:G819)*((100+H819*100)%),0),"")</f>
        <v/>
      </c>
      <c r="J819" s="129"/>
      <c r="K819" s="129"/>
    </row>
    <row r="820" customFormat="false" ht="12.75" hidden="false" customHeight="true" outlineLevel="0" collapsed="false">
      <c r="A820" s="121" t="str">
        <f aca="false">IF(B820="","",CONCATENATE(COUNTA(B$4:B820),"."))</f>
        <v/>
      </c>
      <c r="B820" s="126"/>
      <c r="C820" s="126"/>
      <c r="D820" s="126"/>
      <c r="E820" s="127"/>
      <c r="F820" s="127"/>
      <c r="G820" s="127"/>
      <c r="H820" s="130"/>
      <c r="I820" s="123" t="str">
        <f aca="false">IF(COUNTBLANK(E820:H820)&lt;1,ROUNDUP(SUM(F820:G820)*((100+H820*100)%),0),"")</f>
        <v/>
      </c>
      <c r="J820" s="129"/>
      <c r="K820" s="129"/>
    </row>
    <row r="821" customFormat="false" ht="12.75" hidden="false" customHeight="true" outlineLevel="0" collapsed="false">
      <c r="A821" s="121" t="str">
        <f aca="false">IF(B821="","",CONCATENATE(COUNTA(B$4:B821),"."))</f>
        <v/>
      </c>
      <c r="B821" s="126"/>
      <c r="C821" s="126"/>
      <c r="D821" s="126"/>
      <c r="E821" s="127"/>
      <c r="F821" s="127"/>
      <c r="G821" s="127"/>
      <c r="H821" s="130"/>
      <c r="I821" s="123" t="str">
        <f aca="false">IF(COUNTBLANK(E821:H821)&lt;1,ROUNDUP(SUM(F821:G821)*((100+H821*100)%),0),"")</f>
        <v/>
      </c>
      <c r="J821" s="129"/>
      <c r="K821" s="129"/>
    </row>
    <row r="822" customFormat="false" ht="12.75" hidden="false" customHeight="true" outlineLevel="0" collapsed="false">
      <c r="A822" s="121" t="str">
        <f aca="false">IF(B822="","",CONCATENATE(COUNTA(B$4:B822),"."))</f>
        <v/>
      </c>
      <c r="B822" s="126"/>
      <c r="C822" s="126"/>
      <c r="D822" s="126"/>
      <c r="E822" s="127"/>
      <c r="F822" s="127"/>
      <c r="G822" s="127"/>
      <c r="H822" s="130"/>
      <c r="I822" s="123" t="str">
        <f aca="false">IF(COUNTBLANK(E822:H822)&lt;1,ROUNDUP(SUM(F822:G822)*((100+H822*100)%),0),"")</f>
        <v/>
      </c>
      <c r="J822" s="129"/>
      <c r="K822" s="129"/>
    </row>
    <row r="823" customFormat="false" ht="12.75" hidden="false" customHeight="true" outlineLevel="0" collapsed="false">
      <c r="A823" s="121" t="str">
        <f aca="false">IF(B823="","",CONCATENATE(COUNTA(B$4:B823),"."))</f>
        <v/>
      </c>
      <c r="B823" s="126"/>
      <c r="C823" s="126"/>
      <c r="D823" s="126"/>
      <c r="E823" s="127"/>
      <c r="F823" s="127"/>
      <c r="G823" s="127"/>
      <c r="H823" s="130"/>
      <c r="I823" s="123" t="str">
        <f aca="false">IF(COUNTBLANK(E823:H823)&lt;1,ROUNDUP(SUM(F823:G823)*((100+H823*100)%),0),"")</f>
        <v/>
      </c>
      <c r="J823" s="129"/>
      <c r="K823" s="129"/>
    </row>
    <row r="824" customFormat="false" ht="12.75" hidden="false" customHeight="true" outlineLevel="0" collapsed="false">
      <c r="A824" s="121" t="str">
        <f aca="false">IF(B824="","",CONCATENATE(COUNTA(B$4:B824),"."))</f>
        <v/>
      </c>
      <c r="B824" s="126"/>
      <c r="C824" s="126"/>
      <c r="D824" s="126"/>
      <c r="E824" s="127"/>
      <c r="F824" s="127"/>
      <c r="G824" s="127"/>
      <c r="H824" s="130"/>
      <c r="I824" s="123" t="str">
        <f aca="false">IF(COUNTBLANK(E824:H824)&lt;1,ROUNDUP(SUM(F824:G824)*((100+H824*100)%),0),"")</f>
        <v/>
      </c>
      <c r="J824" s="129"/>
      <c r="K824" s="129"/>
    </row>
    <row r="825" customFormat="false" ht="12.75" hidden="false" customHeight="true" outlineLevel="0" collapsed="false">
      <c r="A825" s="121" t="str">
        <f aca="false">IF(B825="","",CONCATENATE(COUNTA(B$4:B825),"."))</f>
        <v/>
      </c>
      <c r="B825" s="126"/>
      <c r="C825" s="126"/>
      <c r="D825" s="126"/>
      <c r="E825" s="127"/>
      <c r="F825" s="127"/>
      <c r="G825" s="127"/>
      <c r="H825" s="130"/>
      <c r="I825" s="123" t="str">
        <f aca="false">IF(COUNTBLANK(E825:H825)&lt;1,ROUNDUP(SUM(F825:G825)*((100+H825*100)%),0),"")</f>
        <v/>
      </c>
      <c r="J825" s="129"/>
      <c r="K825" s="129"/>
    </row>
    <row r="826" customFormat="false" ht="12.75" hidden="false" customHeight="true" outlineLevel="0" collapsed="false">
      <c r="A826" s="121" t="str">
        <f aca="false">IF(B826="","",CONCATENATE(COUNTA(B$4:B826),"."))</f>
        <v/>
      </c>
      <c r="B826" s="126"/>
      <c r="C826" s="126"/>
      <c r="D826" s="126"/>
      <c r="E826" s="127"/>
      <c r="F826" s="127"/>
      <c r="G826" s="127"/>
      <c r="H826" s="130"/>
      <c r="I826" s="123" t="str">
        <f aca="false">IF(COUNTBLANK(E826:H826)&lt;1,ROUNDUP(SUM(F826:G826)*((100+H826*100)%),0),"")</f>
        <v/>
      </c>
      <c r="J826" s="129"/>
      <c r="K826" s="129"/>
    </row>
    <row r="827" customFormat="false" ht="12.75" hidden="false" customHeight="true" outlineLevel="0" collapsed="false">
      <c r="A827" s="121" t="str">
        <f aca="false">IF(B827="","",CONCATENATE(COUNTA(B$4:B827),"."))</f>
        <v/>
      </c>
      <c r="B827" s="126"/>
      <c r="C827" s="126"/>
      <c r="D827" s="126"/>
      <c r="E827" s="127"/>
      <c r="F827" s="127"/>
      <c r="G827" s="127"/>
      <c r="H827" s="130"/>
      <c r="I827" s="123" t="str">
        <f aca="false">IF(COUNTBLANK(E827:H827)&lt;1,ROUNDUP(SUM(F827:G827)*((100+H827*100)%),0),"")</f>
        <v/>
      </c>
      <c r="J827" s="129"/>
      <c r="K827" s="129"/>
    </row>
    <row r="828" customFormat="false" ht="12.75" hidden="false" customHeight="true" outlineLevel="0" collapsed="false">
      <c r="A828" s="121" t="str">
        <f aca="false">IF(B828="","",CONCATENATE(COUNTA(B$4:B828),"."))</f>
        <v/>
      </c>
      <c r="B828" s="126"/>
      <c r="C828" s="126"/>
      <c r="D828" s="126"/>
      <c r="E828" s="127"/>
      <c r="F828" s="127"/>
      <c r="G828" s="127"/>
      <c r="H828" s="130"/>
      <c r="I828" s="123" t="str">
        <f aca="false">IF(COUNTBLANK(E828:H828)&lt;1,ROUNDUP(SUM(F828:G828)*((100+H828*100)%),0),"")</f>
        <v/>
      </c>
      <c r="J828" s="129"/>
      <c r="K828" s="129"/>
    </row>
    <row r="829" customFormat="false" ht="12.75" hidden="false" customHeight="true" outlineLevel="0" collapsed="false">
      <c r="A829" s="121" t="str">
        <f aca="false">IF(B829="","",CONCATENATE(COUNTA(B$4:B829),"."))</f>
        <v/>
      </c>
      <c r="B829" s="126"/>
      <c r="C829" s="126"/>
      <c r="D829" s="126"/>
      <c r="E829" s="127"/>
      <c r="F829" s="127"/>
      <c r="G829" s="127"/>
      <c r="H829" s="130"/>
      <c r="I829" s="123" t="str">
        <f aca="false">IF(COUNTBLANK(E829:H829)&lt;1,ROUNDUP(SUM(F829:G829)*((100+H829*100)%),0),"")</f>
        <v/>
      </c>
      <c r="J829" s="129"/>
      <c r="K829" s="129"/>
    </row>
    <row r="830" customFormat="false" ht="12.75" hidden="false" customHeight="true" outlineLevel="0" collapsed="false">
      <c r="A830" s="121" t="str">
        <f aca="false">IF(B830="","",CONCATENATE(COUNTA(B$4:B830),"."))</f>
        <v/>
      </c>
      <c r="B830" s="126"/>
      <c r="C830" s="126"/>
      <c r="D830" s="126"/>
      <c r="E830" s="127"/>
      <c r="F830" s="127"/>
      <c r="G830" s="127"/>
      <c r="H830" s="130"/>
      <c r="I830" s="123" t="str">
        <f aca="false">IF(COUNTBLANK(E830:H830)&lt;1,ROUNDUP(SUM(F830:G830)*((100+H830*100)%),0),"")</f>
        <v/>
      </c>
      <c r="J830" s="129"/>
      <c r="K830" s="129"/>
    </row>
    <row r="831" customFormat="false" ht="12.75" hidden="false" customHeight="true" outlineLevel="0" collapsed="false">
      <c r="A831" s="121" t="str">
        <f aca="false">IF(B831="","",CONCATENATE(COUNTA(B$4:B831),"."))</f>
        <v/>
      </c>
      <c r="B831" s="126"/>
      <c r="C831" s="126"/>
      <c r="D831" s="126"/>
      <c r="E831" s="127"/>
      <c r="F831" s="127"/>
      <c r="G831" s="127"/>
      <c r="H831" s="130"/>
      <c r="I831" s="123" t="str">
        <f aca="false">IF(COUNTBLANK(E831:H831)&lt;1,ROUNDUP(SUM(F831:G831)*((100+H831*100)%),0),"")</f>
        <v/>
      </c>
      <c r="J831" s="129"/>
      <c r="K831" s="129"/>
    </row>
    <row r="832" customFormat="false" ht="12.75" hidden="false" customHeight="true" outlineLevel="0" collapsed="false">
      <c r="A832" s="121" t="str">
        <f aca="false">IF(B832="","",CONCATENATE(COUNTA(B$4:B832),"."))</f>
        <v/>
      </c>
      <c r="B832" s="126"/>
      <c r="C832" s="126"/>
      <c r="D832" s="126"/>
      <c r="E832" s="127"/>
      <c r="F832" s="127"/>
      <c r="G832" s="127"/>
      <c r="H832" s="130"/>
      <c r="I832" s="123" t="str">
        <f aca="false">IF(COUNTBLANK(E832:H832)&lt;1,ROUNDUP(SUM(F832:G832)*((100+H832*100)%),0),"")</f>
        <v/>
      </c>
      <c r="J832" s="129"/>
      <c r="K832" s="129"/>
    </row>
    <row r="833" customFormat="false" ht="12.75" hidden="false" customHeight="true" outlineLevel="0" collapsed="false">
      <c r="A833" s="121" t="str">
        <f aca="false">IF(B833="","",CONCATENATE(COUNTA(B$4:B833),"."))</f>
        <v/>
      </c>
      <c r="B833" s="126"/>
      <c r="C833" s="126"/>
      <c r="D833" s="126"/>
      <c r="E833" s="127"/>
      <c r="F833" s="127"/>
      <c r="G833" s="127"/>
      <c r="H833" s="130"/>
      <c r="I833" s="123" t="str">
        <f aca="false">IF(COUNTBLANK(E833:H833)&lt;1,ROUNDUP(SUM(F833:G833)*((100+H833*100)%),0),"")</f>
        <v/>
      </c>
      <c r="J833" s="129"/>
      <c r="K833" s="129"/>
    </row>
    <row r="834" customFormat="false" ht="12.75" hidden="false" customHeight="true" outlineLevel="0" collapsed="false">
      <c r="A834" s="121" t="str">
        <f aca="false">IF(B834="","",CONCATENATE(COUNTA(B$4:B834),"."))</f>
        <v/>
      </c>
      <c r="B834" s="126"/>
      <c r="C834" s="126"/>
      <c r="D834" s="126"/>
      <c r="E834" s="127"/>
      <c r="F834" s="127"/>
      <c r="G834" s="127"/>
      <c r="H834" s="130"/>
      <c r="I834" s="123" t="str">
        <f aca="false">IF(COUNTBLANK(E834:H834)&lt;1,ROUNDUP(SUM(F834:G834)*((100+H834*100)%),0),"")</f>
        <v/>
      </c>
      <c r="J834" s="129"/>
      <c r="K834" s="129"/>
    </row>
    <row r="835" customFormat="false" ht="12.75" hidden="false" customHeight="true" outlineLevel="0" collapsed="false">
      <c r="A835" s="121" t="str">
        <f aca="false">IF(B835="","",CONCATENATE(COUNTA(B$4:B835),"."))</f>
        <v/>
      </c>
      <c r="B835" s="126"/>
      <c r="C835" s="126"/>
      <c r="D835" s="126"/>
      <c r="E835" s="127"/>
      <c r="F835" s="127"/>
      <c r="G835" s="127"/>
      <c r="H835" s="130"/>
      <c r="I835" s="123" t="str">
        <f aca="false">IF(COUNTBLANK(E835:H835)&lt;1,ROUNDUP(SUM(F835:G835)*((100+H835*100)%),0),"")</f>
        <v/>
      </c>
      <c r="J835" s="129"/>
      <c r="K835" s="129"/>
    </row>
    <row r="836" customFormat="false" ht="12.75" hidden="false" customHeight="true" outlineLevel="0" collapsed="false">
      <c r="A836" s="121" t="str">
        <f aca="false">IF(B836="","",CONCATENATE(COUNTA(B$4:B836),"."))</f>
        <v/>
      </c>
      <c r="B836" s="126"/>
      <c r="C836" s="126"/>
      <c r="D836" s="126"/>
      <c r="E836" s="127"/>
      <c r="F836" s="127"/>
      <c r="G836" s="127"/>
      <c r="H836" s="130"/>
      <c r="I836" s="123" t="str">
        <f aca="false">IF(COUNTBLANK(E836:H836)&lt;1,ROUNDUP(SUM(F836:G836)*((100+H836*100)%),0),"")</f>
        <v/>
      </c>
      <c r="J836" s="129"/>
      <c r="K836" s="129"/>
    </row>
    <row r="837" customFormat="false" ht="12.75" hidden="false" customHeight="true" outlineLevel="0" collapsed="false">
      <c r="A837" s="121" t="str">
        <f aca="false">IF(B837="","",CONCATENATE(COUNTA(B$4:B837),"."))</f>
        <v/>
      </c>
      <c r="B837" s="126"/>
      <c r="C837" s="126"/>
      <c r="D837" s="126"/>
      <c r="E837" s="127"/>
      <c r="F837" s="127"/>
      <c r="G837" s="127"/>
      <c r="H837" s="130"/>
      <c r="I837" s="123" t="str">
        <f aca="false">IF(COUNTBLANK(E837:H837)&lt;1,ROUNDUP(SUM(F837:G837)*((100+H837*100)%),0),"")</f>
        <v/>
      </c>
      <c r="J837" s="129"/>
      <c r="K837" s="129"/>
    </row>
    <row r="838" customFormat="false" ht="12.75" hidden="false" customHeight="true" outlineLevel="0" collapsed="false">
      <c r="A838" s="121" t="str">
        <f aca="false">IF(B838="","",CONCATENATE(COUNTA(B$4:B838),"."))</f>
        <v/>
      </c>
      <c r="B838" s="126"/>
      <c r="C838" s="126"/>
      <c r="D838" s="126"/>
      <c r="E838" s="127"/>
      <c r="F838" s="127"/>
      <c r="G838" s="127"/>
      <c r="H838" s="130"/>
      <c r="I838" s="123" t="str">
        <f aca="false">IF(COUNTBLANK(E838:H838)&lt;1,ROUNDUP(SUM(F838:G838)*((100+H838*100)%),0),"")</f>
        <v/>
      </c>
      <c r="J838" s="129"/>
      <c r="K838" s="129"/>
    </row>
    <row r="839" customFormat="false" ht="12.75" hidden="false" customHeight="true" outlineLevel="0" collapsed="false">
      <c r="A839" s="121" t="str">
        <f aca="false">IF(B839="","",CONCATENATE(COUNTA(B$4:B839),"."))</f>
        <v/>
      </c>
      <c r="B839" s="126"/>
      <c r="C839" s="126"/>
      <c r="D839" s="126"/>
      <c r="E839" s="127"/>
      <c r="F839" s="127"/>
      <c r="G839" s="127"/>
      <c r="H839" s="130"/>
      <c r="I839" s="123" t="str">
        <f aca="false">IF(COUNTBLANK(E839:H839)&lt;1,ROUNDUP(SUM(F839:G839)*((100+H839*100)%),0),"")</f>
        <v/>
      </c>
      <c r="J839" s="129"/>
      <c r="K839" s="129"/>
    </row>
    <row r="840" customFormat="false" ht="12.75" hidden="false" customHeight="true" outlineLevel="0" collapsed="false">
      <c r="A840" s="121" t="str">
        <f aca="false">IF(B840="","",CONCATENATE(COUNTA(B$4:B840),"."))</f>
        <v/>
      </c>
      <c r="B840" s="126"/>
      <c r="C840" s="126"/>
      <c r="D840" s="126"/>
      <c r="E840" s="127"/>
      <c r="F840" s="127"/>
      <c r="G840" s="127"/>
      <c r="H840" s="130"/>
      <c r="I840" s="123" t="str">
        <f aca="false">IF(COUNTBLANK(E840:H840)&lt;1,ROUNDUP(SUM(F840:G840)*((100+H840*100)%),0),"")</f>
        <v/>
      </c>
      <c r="J840" s="129"/>
      <c r="K840" s="129"/>
    </row>
    <row r="841" customFormat="false" ht="12.75" hidden="false" customHeight="true" outlineLevel="0" collapsed="false">
      <c r="A841" s="121" t="str">
        <f aca="false">IF(B841="","",CONCATENATE(COUNTA(B$4:B841),"."))</f>
        <v/>
      </c>
      <c r="B841" s="126"/>
      <c r="C841" s="126"/>
      <c r="D841" s="126"/>
      <c r="E841" s="127"/>
      <c r="F841" s="127"/>
      <c r="G841" s="127"/>
      <c r="H841" s="130"/>
      <c r="I841" s="123" t="str">
        <f aca="false">IF(COUNTBLANK(E841:H841)&lt;1,ROUNDUP(SUM(F841:G841)*((100+H841*100)%),0),"")</f>
        <v/>
      </c>
      <c r="J841" s="129"/>
      <c r="K841" s="129"/>
    </row>
    <row r="842" customFormat="false" ht="12.75" hidden="false" customHeight="true" outlineLevel="0" collapsed="false">
      <c r="A842" s="121" t="str">
        <f aca="false">IF(B842="","",CONCATENATE(COUNTA(B$4:B842),"."))</f>
        <v/>
      </c>
      <c r="B842" s="126"/>
      <c r="C842" s="126"/>
      <c r="D842" s="126"/>
      <c r="E842" s="127"/>
      <c r="F842" s="127"/>
      <c r="G842" s="127"/>
      <c r="H842" s="130"/>
      <c r="I842" s="123" t="str">
        <f aca="false">IF(COUNTBLANK(E842:H842)&lt;1,ROUNDUP(SUM(F842:G842)*((100+H842*100)%),0),"")</f>
        <v/>
      </c>
      <c r="J842" s="129"/>
      <c r="K842" s="129"/>
    </row>
    <row r="843" customFormat="false" ht="12.75" hidden="false" customHeight="true" outlineLevel="0" collapsed="false">
      <c r="A843" s="121" t="str">
        <f aca="false">IF(B843="","",CONCATENATE(COUNTA(B$4:B843),"."))</f>
        <v/>
      </c>
      <c r="B843" s="126"/>
      <c r="C843" s="126"/>
      <c r="D843" s="126"/>
      <c r="E843" s="127"/>
      <c r="F843" s="127"/>
      <c r="G843" s="127"/>
      <c r="H843" s="130"/>
      <c r="I843" s="123" t="str">
        <f aca="false">IF(COUNTBLANK(E843:H843)&lt;1,ROUNDUP(SUM(F843:G843)*((100+H843*100)%),0),"")</f>
        <v/>
      </c>
      <c r="J843" s="129"/>
      <c r="K843" s="129"/>
    </row>
    <row r="844" customFormat="false" ht="12.75" hidden="false" customHeight="true" outlineLevel="0" collapsed="false">
      <c r="A844" s="121" t="str">
        <f aca="false">IF(B844="","",CONCATENATE(COUNTA(B$4:B844),"."))</f>
        <v/>
      </c>
      <c r="B844" s="126"/>
      <c r="C844" s="126"/>
      <c r="D844" s="126"/>
      <c r="E844" s="127"/>
      <c r="F844" s="127"/>
      <c r="G844" s="127"/>
      <c r="H844" s="130"/>
      <c r="I844" s="123" t="str">
        <f aca="false">IF(COUNTBLANK(E844:H844)&lt;1,ROUNDUP(SUM(F844:G844)*((100+H844*100)%),0),"")</f>
        <v/>
      </c>
      <c r="J844" s="129"/>
      <c r="K844" s="129"/>
    </row>
    <row r="845" customFormat="false" ht="12.75" hidden="false" customHeight="true" outlineLevel="0" collapsed="false">
      <c r="A845" s="121" t="str">
        <f aca="false">IF(B845="","",CONCATENATE(COUNTA(B$4:B845),"."))</f>
        <v/>
      </c>
      <c r="B845" s="126"/>
      <c r="C845" s="126"/>
      <c r="D845" s="126"/>
      <c r="E845" s="127"/>
      <c r="F845" s="127"/>
      <c r="G845" s="127"/>
      <c r="H845" s="130"/>
      <c r="I845" s="123" t="str">
        <f aca="false">IF(COUNTBLANK(E845:H845)&lt;1,ROUNDUP(SUM(F845:G845)*((100+H845*100)%),0),"")</f>
        <v/>
      </c>
      <c r="J845" s="129"/>
      <c r="K845" s="129"/>
    </row>
    <row r="846" customFormat="false" ht="12.75" hidden="false" customHeight="true" outlineLevel="0" collapsed="false">
      <c r="A846" s="121" t="str">
        <f aca="false">IF(B846="","",CONCATENATE(COUNTA(B$4:B846),"."))</f>
        <v/>
      </c>
      <c r="B846" s="126"/>
      <c r="C846" s="126"/>
      <c r="D846" s="126"/>
      <c r="E846" s="127"/>
      <c r="F846" s="127"/>
      <c r="G846" s="127"/>
      <c r="H846" s="130"/>
      <c r="I846" s="123" t="str">
        <f aca="false">IF(COUNTBLANK(E846:H846)&lt;1,ROUNDUP(SUM(F846:G846)*((100+H846*100)%),0),"")</f>
        <v/>
      </c>
      <c r="J846" s="129"/>
      <c r="K846" s="129"/>
    </row>
    <row r="847" customFormat="false" ht="12.75" hidden="false" customHeight="true" outlineLevel="0" collapsed="false">
      <c r="A847" s="121" t="str">
        <f aca="false">IF(B847="","",CONCATENATE(COUNTA(B$4:B847),"."))</f>
        <v/>
      </c>
      <c r="B847" s="126"/>
      <c r="C847" s="126"/>
      <c r="D847" s="126"/>
      <c r="E847" s="127"/>
      <c r="F847" s="127"/>
      <c r="G847" s="127"/>
      <c r="H847" s="130"/>
      <c r="I847" s="123" t="str">
        <f aca="false">IF(COUNTBLANK(E847:H847)&lt;1,ROUNDUP(SUM(F847:G847)*((100+H847*100)%),0),"")</f>
        <v/>
      </c>
      <c r="J847" s="129"/>
      <c r="K847" s="129"/>
    </row>
    <row r="848" customFormat="false" ht="12.75" hidden="false" customHeight="true" outlineLevel="0" collapsed="false">
      <c r="A848" s="121" t="str">
        <f aca="false">IF(B848="","",CONCATENATE(COUNTA(B$4:B848),"."))</f>
        <v/>
      </c>
      <c r="B848" s="126"/>
      <c r="C848" s="126"/>
      <c r="D848" s="126"/>
      <c r="E848" s="127"/>
      <c r="F848" s="127"/>
      <c r="G848" s="127"/>
      <c r="H848" s="130"/>
      <c r="I848" s="123" t="str">
        <f aca="false">IF(COUNTBLANK(E848:H848)&lt;1,ROUNDUP(SUM(F848:G848)*((100+H848*100)%),0),"")</f>
        <v/>
      </c>
      <c r="J848" s="129"/>
      <c r="K848" s="129"/>
    </row>
    <row r="849" customFormat="false" ht="12.75" hidden="false" customHeight="true" outlineLevel="0" collapsed="false">
      <c r="A849" s="121" t="str">
        <f aca="false">IF(B849="","",CONCATENATE(COUNTA(B$4:B849),"."))</f>
        <v/>
      </c>
      <c r="B849" s="126"/>
      <c r="C849" s="126"/>
      <c r="D849" s="126"/>
      <c r="E849" s="127"/>
      <c r="F849" s="127"/>
      <c r="G849" s="127"/>
      <c r="H849" s="130"/>
      <c r="I849" s="123" t="str">
        <f aca="false">IF(COUNTBLANK(E849:H849)&lt;1,ROUNDUP(SUM(F849:G849)*((100+H849*100)%),0),"")</f>
        <v/>
      </c>
      <c r="J849" s="129"/>
      <c r="K849" s="129"/>
    </row>
    <row r="850" customFormat="false" ht="12.75" hidden="false" customHeight="true" outlineLevel="0" collapsed="false">
      <c r="A850" s="121" t="str">
        <f aca="false">IF(B850="","",CONCATENATE(COUNTA(B$4:B850),"."))</f>
        <v/>
      </c>
      <c r="B850" s="126"/>
      <c r="C850" s="126"/>
      <c r="D850" s="126"/>
      <c r="E850" s="127"/>
      <c r="F850" s="127"/>
      <c r="G850" s="127"/>
      <c r="H850" s="130"/>
      <c r="I850" s="123" t="str">
        <f aca="false">IF(COUNTBLANK(E850:H850)&lt;1,ROUNDUP(SUM(F850:G850)*((100+H850*100)%),0),"")</f>
        <v/>
      </c>
      <c r="J850" s="129"/>
      <c r="K850" s="129"/>
    </row>
    <row r="851" customFormat="false" ht="12.75" hidden="false" customHeight="true" outlineLevel="0" collapsed="false">
      <c r="A851" s="121" t="str">
        <f aca="false">IF(B851="","",CONCATENATE(COUNTA(B$4:B851),"."))</f>
        <v/>
      </c>
      <c r="B851" s="126"/>
      <c r="C851" s="126"/>
      <c r="D851" s="126"/>
      <c r="E851" s="127"/>
      <c r="F851" s="127"/>
      <c r="G851" s="127"/>
      <c r="H851" s="130"/>
      <c r="I851" s="123" t="str">
        <f aca="false">IF(COUNTBLANK(E851:H851)&lt;1,ROUNDUP(SUM(F851:G851)*((100+H851*100)%),0),"")</f>
        <v/>
      </c>
      <c r="J851" s="129"/>
      <c r="K851" s="129"/>
    </row>
    <row r="852" customFormat="false" ht="12.75" hidden="false" customHeight="true" outlineLevel="0" collapsed="false">
      <c r="A852" s="121" t="str">
        <f aca="false">IF(B852="","",CONCATENATE(COUNTA(B$4:B852),"."))</f>
        <v/>
      </c>
      <c r="B852" s="126"/>
      <c r="C852" s="126"/>
      <c r="D852" s="126"/>
      <c r="E852" s="127"/>
      <c r="F852" s="127"/>
      <c r="G852" s="127"/>
      <c r="H852" s="130"/>
      <c r="I852" s="123" t="str">
        <f aca="false">IF(COUNTBLANK(E852:H852)&lt;1,ROUNDUP(SUM(F852:G852)*((100+H852*100)%),0),"")</f>
        <v/>
      </c>
      <c r="J852" s="129"/>
      <c r="K852" s="129"/>
    </row>
    <row r="853" customFormat="false" ht="12.75" hidden="false" customHeight="true" outlineLevel="0" collapsed="false">
      <c r="A853" s="121" t="str">
        <f aca="false">IF(B853="","",CONCATENATE(COUNTA(B$4:B853),"."))</f>
        <v/>
      </c>
      <c r="B853" s="126"/>
      <c r="C853" s="126"/>
      <c r="D853" s="126"/>
      <c r="E853" s="127"/>
      <c r="F853" s="127"/>
      <c r="G853" s="127"/>
      <c r="H853" s="130"/>
      <c r="I853" s="123" t="str">
        <f aca="false">IF(COUNTBLANK(E853:H853)&lt;1,ROUNDUP(SUM(F853:G853)*((100+H853*100)%),0),"")</f>
        <v/>
      </c>
      <c r="J853" s="129"/>
      <c r="K853" s="129"/>
    </row>
    <row r="854" customFormat="false" ht="12.75" hidden="false" customHeight="true" outlineLevel="0" collapsed="false">
      <c r="A854" s="121" t="str">
        <f aca="false">IF(B854="","",CONCATENATE(COUNTA(B$4:B854),"."))</f>
        <v/>
      </c>
      <c r="B854" s="126"/>
      <c r="C854" s="126"/>
      <c r="D854" s="126"/>
      <c r="E854" s="127"/>
      <c r="F854" s="127"/>
      <c r="G854" s="127"/>
      <c r="H854" s="130"/>
      <c r="I854" s="123" t="str">
        <f aca="false">IF(COUNTBLANK(E854:H854)&lt;1,ROUNDUP(SUM(F854:G854)*((100+H854*100)%),0),"")</f>
        <v/>
      </c>
      <c r="J854" s="129"/>
      <c r="K854" s="129"/>
    </row>
    <row r="855" customFormat="false" ht="12.75" hidden="false" customHeight="true" outlineLevel="0" collapsed="false">
      <c r="A855" s="121" t="str">
        <f aca="false">IF(B855="","",CONCATENATE(COUNTA(B$4:B855),"."))</f>
        <v/>
      </c>
      <c r="B855" s="126"/>
      <c r="C855" s="126"/>
      <c r="D855" s="126"/>
      <c r="E855" s="127"/>
      <c r="F855" s="127"/>
      <c r="G855" s="127"/>
      <c r="H855" s="130"/>
      <c r="I855" s="123" t="str">
        <f aca="false">IF(COUNTBLANK(E855:H855)&lt;1,ROUNDUP(SUM(F855:G855)*((100+H855*100)%),0),"")</f>
        <v/>
      </c>
      <c r="J855" s="129"/>
      <c r="K855" s="129"/>
    </row>
    <row r="856" customFormat="false" ht="12.75" hidden="false" customHeight="true" outlineLevel="0" collapsed="false">
      <c r="A856" s="121" t="str">
        <f aca="false">IF(B856="","",CONCATENATE(COUNTA(B$4:B856),"."))</f>
        <v/>
      </c>
      <c r="B856" s="126"/>
      <c r="C856" s="126"/>
      <c r="D856" s="126"/>
      <c r="E856" s="127"/>
      <c r="F856" s="127"/>
      <c r="G856" s="127"/>
      <c r="H856" s="130"/>
      <c r="I856" s="123" t="str">
        <f aca="false">IF(COUNTBLANK(E856:H856)&lt;1,ROUNDUP(SUM(F856:G856)*((100+H856*100)%),0),"")</f>
        <v/>
      </c>
      <c r="J856" s="129"/>
      <c r="K856" s="129"/>
    </row>
    <row r="857" customFormat="false" ht="12.75" hidden="false" customHeight="true" outlineLevel="0" collapsed="false">
      <c r="A857" s="121" t="str">
        <f aca="false">IF(B857="","",CONCATENATE(COUNTA(B$4:B857),"."))</f>
        <v/>
      </c>
      <c r="B857" s="126"/>
      <c r="C857" s="126"/>
      <c r="D857" s="126"/>
      <c r="E857" s="127"/>
      <c r="F857" s="127"/>
      <c r="G857" s="127"/>
      <c r="H857" s="130"/>
      <c r="I857" s="123" t="str">
        <f aca="false">IF(COUNTBLANK(E857:H857)&lt;1,ROUNDUP(SUM(F857:G857)*((100+H857*100)%),0),"")</f>
        <v/>
      </c>
      <c r="J857" s="129"/>
      <c r="K857" s="129"/>
    </row>
    <row r="858" customFormat="false" ht="12.75" hidden="false" customHeight="true" outlineLevel="0" collapsed="false">
      <c r="A858" s="121" t="str">
        <f aca="false">IF(B858="","",CONCATENATE(COUNTA(B$4:B858),"."))</f>
        <v/>
      </c>
      <c r="B858" s="126"/>
      <c r="C858" s="126"/>
      <c r="D858" s="126"/>
      <c r="E858" s="127"/>
      <c r="F858" s="127"/>
      <c r="G858" s="127"/>
      <c r="H858" s="130"/>
      <c r="I858" s="123" t="str">
        <f aca="false">IF(COUNTBLANK(E858:H858)&lt;1,ROUNDUP(SUM(F858:G858)*((100+H858*100)%),0),"")</f>
        <v/>
      </c>
      <c r="J858" s="129"/>
      <c r="K858" s="129"/>
    </row>
    <row r="859" customFormat="false" ht="12.75" hidden="false" customHeight="true" outlineLevel="0" collapsed="false">
      <c r="A859" s="121" t="str">
        <f aca="false">IF(B859="","",CONCATENATE(COUNTA(B$4:B859),"."))</f>
        <v/>
      </c>
      <c r="B859" s="126"/>
      <c r="C859" s="126"/>
      <c r="D859" s="126"/>
      <c r="E859" s="127"/>
      <c r="F859" s="127"/>
      <c r="G859" s="127"/>
      <c r="H859" s="130"/>
      <c r="I859" s="123" t="str">
        <f aca="false">IF(COUNTBLANK(E859:H859)&lt;1,ROUNDUP(SUM(F859:G859)*((100+H859*100)%),0),"")</f>
        <v/>
      </c>
      <c r="J859" s="129"/>
      <c r="K859" s="129"/>
    </row>
    <row r="860" customFormat="false" ht="12.75" hidden="false" customHeight="true" outlineLevel="0" collapsed="false">
      <c r="A860" s="121" t="str">
        <f aca="false">IF(B860="","",CONCATENATE(COUNTA(B$4:B860),"."))</f>
        <v/>
      </c>
      <c r="B860" s="126"/>
      <c r="C860" s="126"/>
      <c r="D860" s="126"/>
      <c r="E860" s="127"/>
      <c r="F860" s="127"/>
      <c r="G860" s="127"/>
      <c r="H860" s="130"/>
      <c r="I860" s="123" t="str">
        <f aca="false">IF(COUNTBLANK(E860:H860)&lt;1,ROUNDUP(SUM(F860:G860)*((100+H860*100)%),0),"")</f>
        <v/>
      </c>
      <c r="J860" s="129"/>
      <c r="K860" s="129"/>
    </row>
    <row r="861" customFormat="false" ht="12.75" hidden="false" customHeight="true" outlineLevel="0" collapsed="false">
      <c r="A861" s="121" t="str">
        <f aca="false">IF(B861="","",CONCATENATE(COUNTA(B$4:B861),"."))</f>
        <v/>
      </c>
      <c r="B861" s="126"/>
      <c r="C861" s="126"/>
      <c r="D861" s="126"/>
      <c r="E861" s="127"/>
      <c r="F861" s="127"/>
      <c r="G861" s="127"/>
      <c r="H861" s="130"/>
      <c r="I861" s="123" t="str">
        <f aca="false">IF(COUNTBLANK(E861:H861)&lt;1,ROUNDUP(SUM(F861:G861)*((100+H861*100)%),0),"")</f>
        <v/>
      </c>
      <c r="J861" s="129"/>
      <c r="K861" s="129"/>
    </row>
    <row r="862" customFormat="false" ht="12.75" hidden="false" customHeight="true" outlineLevel="0" collapsed="false">
      <c r="A862" s="121" t="str">
        <f aca="false">IF(B862="","",CONCATENATE(COUNTA(B$4:B862),"."))</f>
        <v/>
      </c>
      <c r="B862" s="126"/>
      <c r="C862" s="126"/>
      <c r="D862" s="126"/>
      <c r="E862" s="127"/>
      <c r="F862" s="127"/>
      <c r="G862" s="127"/>
      <c r="H862" s="130"/>
      <c r="I862" s="123" t="str">
        <f aca="false">IF(COUNTBLANK(E862:H862)&lt;1,ROUNDUP(SUM(F862:G862)*((100+H862*100)%),0),"")</f>
        <v/>
      </c>
      <c r="J862" s="129"/>
      <c r="K862" s="129"/>
    </row>
    <row r="863" customFormat="false" ht="12.75" hidden="false" customHeight="true" outlineLevel="0" collapsed="false">
      <c r="A863" s="121" t="str">
        <f aca="false">IF(B863="","",CONCATENATE(COUNTA(B$4:B863),"."))</f>
        <v/>
      </c>
      <c r="B863" s="126"/>
      <c r="C863" s="126"/>
      <c r="D863" s="126"/>
      <c r="E863" s="127"/>
      <c r="F863" s="127"/>
      <c r="G863" s="127"/>
      <c r="H863" s="130"/>
      <c r="I863" s="123" t="str">
        <f aca="false">IF(COUNTBLANK(E863:H863)&lt;1,ROUNDUP(SUM(F863:G863)*((100+H863*100)%),0),"")</f>
        <v/>
      </c>
      <c r="J863" s="129"/>
      <c r="K863" s="129"/>
    </row>
    <row r="864" customFormat="false" ht="12.75" hidden="false" customHeight="true" outlineLevel="0" collapsed="false">
      <c r="A864" s="121" t="str">
        <f aca="false">IF(B864="","",CONCATENATE(COUNTA(B$4:B864),"."))</f>
        <v/>
      </c>
      <c r="B864" s="126"/>
      <c r="C864" s="126"/>
      <c r="D864" s="126"/>
      <c r="E864" s="127"/>
      <c r="F864" s="127"/>
      <c r="G864" s="127"/>
      <c r="H864" s="130"/>
      <c r="I864" s="123" t="str">
        <f aca="false">IF(COUNTBLANK(E864:H864)&lt;1,ROUNDUP(SUM(F864:G864)*((100+H864*100)%),0),"")</f>
        <v/>
      </c>
      <c r="J864" s="129"/>
      <c r="K864" s="129"/>
    </row>
    <row r="865" customFormat="false" ht="12.75" hidden="false" customHeight="true" outlineLevel="0" collapsed="false">
      <c r="A865" s="121" t="str">
        <f aca="false">IF(B865="","",CONCATENATE(COUNTA(B$4:B865),"."))</f>
        <v/>
      </c>
      <c r="B865" s="126"/>
      <c r="C865" s="126"/>
      <c r="D865" s="126"/>
      <c r="E865" s="127"/>
      <c r="F865" s="127"/>
      <c r="G865" s="127"/>
      <c r="H865" s="130"/>
      <c r="I865" s="123" t="str">
        <f aca="false">IF(COUNTBLANK(E865:H865)&lt;1,ROUNDUP(SUM(F865:G865)*((100+H865*100)%),0),"")</f>
        <v/>
      </c>
      <c r="J865" s="129"/>
      <c r="K865" s="129"/>
    </row>
    <row r="866" customFormat="false" ht="12.75" hidden="false" customHeight="true" outlineLevel="0" collapsed="false">
      <c r="A866" s="121" t="str">
        <f aca="false">IF(B866="","",CONCATENATE(COUNTA(B$4:B866),"."))</f>
        <v/>
      </c>
      <c r="B866" s="126"/>
      <c r="C866" s="126"/>
      <c r="D866" s="126"/>
      <c r="E866" s="127"/>
      <c r="F866" s="127"/>
      <c r="G866" s="127"/>
      <c r="H866" s="130"/>
      <c r="I866" s="123" t="str">
        <f aca="false">IF(COUNTBLANK(E866:H866)&lt;1,ROUNDUP(SUM(F866:G866)*((100+H866*100)%),0),"")</f>
        <v/>
      </c>
      <c r="J866" s="129"/>
      <c r="K866" s="129"/>
    </row>
    <row r="867" customFormat="false" ht="12.75" hidden="false" customHeight="true" outlineLevel="0" collapsed="false">
      <c r="A867" s="121" t="str">
        <f aca="false">IF(B867="","",CONCATENATE(COUNTA(B$4:B867),"."))</f>
        <v/>
      </c>
      <c r="B867" s="126"/>
      <c r="C867" s="126"/>
      <c r="D867" s="126"/>
      <c r="E867" s="127"/>
      <c r="F867" s="127"/>
      <c r="G867" s="127"/>
      <c r="H867" s="130"/>
      <c r="I867" s="123" t="str">
        <f aca="false">IF(COUNTBLANK(E867:H867)&lt;1,ROUNDUP(SUM(F867:G867)*((100+H867*100)%),0),"")</f>
        <v/>
      </c>
      <c r="J867" s="129"/>
      <c r="K867" s="129"/>
    </row>
    <row r="868" customFormat="false" ht="12.75" hidden="false" customHeight="true" outlineLevel="0" collapsed="false">
      <c r="A868" s="121" t="str">
        <f aca="false">IF(B868="","",CONCATENATE(COUNTA(B$4:B868),"."))</f>
        <v/>
      </c>
      <c r="B868" s="126"/>
      <c r="C868" s="126"/>
      <c r="D868" s="126"/>
      <c r="E868" s="127"/>
      <c r="F868" s="127"/>
      <c r="G868" s="127"/>
      <c r="H868" s="130"/>
      <c r="I868" s="123" t="str">
        <f aca="false">IF(COUNTBLANK(E868:H868)&lt;1,ROUNDUP(SUM(F868:G868)*((100+H868*100)%),0),"")</f>
        <v/>
      </c>
      <c r="J868" s="129"/>
      <c r="K868" s="129"/>
    </row>
    <row r="869" customFormat="false" ht="12.75" hidden="false" customHeight="true" outlineLevel="0" collapsed="false">
      <c r="A869" s="121" t="str">
        <f aca="false">IF(B869="","",CONCATENATE(COUNTA(B$4:B869),"."))</f>
        <v/>
      </c>
      <c r="B869" s="126"/>
      <c r="C869" s="126"/>
      <c r="D869" s="126"/>
      <c r="E869" s="127"/>
      <c r="F869" s="127"/>
      <c r="G869" s="127"/>
      <c r="H869" s="130"/>
      <c r="I869" s="123" t="str">
        <f aca="false">IF(COUNTBLANK(E869:H869)&lt;1,ROUNDUP(SUM(F869:G869)*((100+H869*100)%),0),"")</f>
        <v/>
      </c>
      <c r="J869" s="129"/>
      <c r="K869" s="129"/>
    </row>
    <row r="870" customFormat="false" ht="12.75" hidden="false" customHeight="true" outlineLevel="0" collapsed="false">
      <c r="A870" s="121" t="str">
        <f aca="false">IF(B870="","",CONCATENATE(COUNTA(B$4:B870),"."))</f>
        <v/>
      </c>
      <c r="B870" s="126"/>
      <c r="C870" s="126"/>
      <c r="D870" s="126"/>
      <c r="E870" s="127"/>
      <c r="F870" s="127"/>
      <c r="G870" s="127"/>
      <c r="H870" s="130"/>
      <c r="I870" s="123" t="str">
        <f aca="false">IF(COUNTBLANK(E870:H870)&lt;1,ROUNDUP(SUM(F870:G870)*((100+H870*100)%),0),"")</f>
        <v/>
      </c>
      <c r="J870" s="129"/>
      <c r="K870" s="129"/>
    </row>
    <row r="871" customFormat="false" ht="12.75" hidden="false" customHeight="true" outlineLevel="0" collapsed="false">
      <c r="A871" s="121" t="str">
        <f aca="false">IF(B871="","",CONCATENATE(COUNTA(B$4:B871),"."))</f>
        <v/>
      </c>
      <c r="B871" s="126"/>
      <c r="C871" s="126"/>
      <c r="D871" s="126"/>
      <c r="E871" s="127"/>
      <c r="F871" s="127"/>
      <c r="G871" s="127"/>
      <c r="H871" s="130"/>
      <c r="I871" s="123" t="str">
        <f aca="false">IF(COUNTBLANK(E871:H871)&lt;1,ROUNDUP(SUM(F871:G871)*((100+H871*100)%),0),"")</f>
        <v/>
      </c>
      <c r="J871" s="129"/>
      <c r="K871" s="129"/>
    </row>
    <row r="872" customFormat="false" ht="12.75" hidden="false" customHeight="true" outlineLevel="0" collapsed="false">
      <c r="A872" s="121" t="str">
        <f aca="false">IF(B872="","",CONCATENATE(COUNTA(B$4:B872),"."))</f>
        <v/>
      </c>
      <c r="B872" s="126"/>
      <c r="C872" s="126"/>
      <c r="D872" s="126"/>
      <c r="E872" s="127"/>
      <c r="F872" s="127"/>
      <c r="G872" s="127"/>
      <c r="H872" s="130"/>
      <c r="I872" s="123" t="str">
        <f aca="false">IF(COUNTBLANK(E872:H872)&lt;1,ROUNDUP(SUM(F872:G872)*((100+H872*100)%),0),"")</f>
        <v/>
      </c>
      <c r="J872" s="129"/>
      <c r="K872" s="129"/>
    </row>
    <row r="873" customFormat="false" ht="12.75" hidden="false" customHeight="true" outlineLevel="0" collapsed="false">
      <c r="A873" s="121" t="str">
        <f aca="false">IF(B873="","",CONCATENATE(COUNTA(B$4:B873),"."))</f>
        <v/>
      </c>
      <c r="B873" s="126"/>
      <c r="C873" s="126"/>
      <c r="D873" s="126"/>
      <c r="E873" s="127"/>
      <c r="F873" s="127"/>
      <c r="G873" s="127"/>
      <c r="H873" s="130"/>
      <c r="I873" s="123" t="str">
        <f aca="false">IF(COUNTBLANK(E873:H873)&lt;1,ROUNDUP(SUM(F873:G873)*((100+H873*100)%),0),"")</f>
        <v/>
      </c>
      <c r="J873" s="129"/>
      <c r="K873" s="129"/>
    </row>
    <row r="874" customFormat="false" ht="12.75" hidden="false" customHeight="true" outlineLevel="0" collapsed="false">
      <c r="A874" s="121" t="str">
        <f aca="false">IF(B874="","",CONCATENATE(COUNTA(B$4:B874),"."))</f>
        <v/>
      </c>
      <c r="B874" s="126"/>
      <c r="C874" s="126"/>
      <c r="D874" s="126"/>
      <c r="E874" s="127"/>
      <c r="F874" s="127"/>
      <c r="G874" s="127"/>
      <c r="H874" s="130"/>
      <c r="I874" s="123" t="str">
        <f aca="false">IF(COUNTBLANK(E874:H874)&lt;1,ROUNDUP(SUM(F874:G874)*((100+H874*100)%),0),"")</f>
        <v/>
      </c>
      <c r="J874" s="129"/>
      <c r="K874" s="129"/>
    </row>
    <row r="875" customFormat="false" ht="12.75" hidden="false" customHeight="true" outlineLevel="0" collapsed="false">
      <c r="A875" s="121" t="str">
        <f aca="false">IF(B875="","",CONCATENATE(COUNTA(B$4:B875),"."))</f>
        <v/>
      </c>
      <c r="B875" s="126"/>
      <c r="C875" s="126"/>
      <c r="D875" s="126"/>
      <c r="E875" s="127"/>
      <c r="F875" s="127"/>
      <c r="G875" s="127"/>
      <c r="H875" s="130"/>
      <c r="I875" s="123" t="str">
        <f aca="false">IF(COUNTBLANK(E875:H875)&lt;1,ROUNDUP(SUM(F875:G875)*((100+H875*100)%),0),"")</f>
        <v/>
      </c>
      <c r="J875" s="129"/>
      <c r="K875" s="129"/>
    </row>
    <row r="876" customFormat="false" ht="12.75" hidden="false" customHeight="true" outlineLevel="0" collapsed="false">
      <c r="A876" s="121" t="str">
        <f aca="false">IF(B876="","",CONCATENATE(COUNTA(B$4:B876),"."))</f>
        <v/>
      </c>
      <c r="B876" s="126"/>
      <c r="C876" s="126"/>
      <c r="D876" s="126"/>
      <c r="E876" s="127"/>
      <c r="F876" s="127"/>
      <c r="G876" s="127"/>
      <c r="H876" s="130"/>
      <c r="I876" s="123" t="str">
        <f aca="false">IF(COUNTBLANK(E876:H876)&lt;1,ROUNDUP(SUM(F876:G876)*((100+H876*100)%),0),"")</f>
        <v/>
      </c>
      <c r="J876" s="129"/>
      <c r="K876" s="129"/>
    </row>
    <row r="877" customFormat="false" ht="12.75" hidden="false" customHeight="true" outlineLevel="0" collapsed="false">
      <c r="A877" s="121" t="str">
        <f aca="false">IF(B877="","",CONCATENATE(COUNTA(B$4:B877),"."))</f>
        <v/>
      </c>
      <c r="B877" s="126"/>
      <c r="C877" s="126"/>
      <c r="D877" s="126"/>
      <c r="E877" s="127"/>
      <c r="F877" s="127"/>
      <c r="G877" s="127"/>
      <c r="H877" s="130"/>
      <c r="I877" s="123" t="str">
        <f aca="false">IF(COUNTBLANK(E877:H877)&lt;1,ROUNDUP(SUM(F877:G877)*((100+H877*100)%),0),"")</f>
        <v/>
      </c>
      <c r="J877" s="129"/>
      <c r="K877" s="129"/>
    </row>
    <row r="878" customFormat="false" ht="12.75" hidden="false" customHeight="true" outlineLevel="0" collapsed="false">
      <c r="A878" s="121" t="str">
        <f aca="false">IF(B878="","",CONCATENATE(COUNTA(B$4:B878),"."))</f>
        <v/>
      </c>
      <c r="B878" s="126"/>
      <c r="C878" s="126"/>
      <c r="D878" s="126"/>
      <c r="E878" s="127"/>
      <c r="F878" s="127"/>
      <c r="G878" s="127"/>
      <c r="H878" s="130"/>
      <c r="I878" s="123" t="str">
        <f aca="false">IF(COUNTBLANK(E878:H878)&lt;1,ROUNDUP(SUM(F878:G878)*((100+H878*100)%),0),"")</f>
        <v/>
      </c>
      <c r="J878" s="129"/>
      <c r="K878" s="129"/>
    </row>
    <row r="879" customFormat="false" ht="12.75" hidden="false" customHeight="true" outlineLevel="0" collapsed="false">
      <c r="A879" s="121" t="str">
        <f aca="false">IF(B879="","",CONCATENATE(COUNTA(B$4:B879),"."))</f>
        <v/>
      </c>
      <c r="B879" s="126"/>
      <c r="C879" s="126"/>
      <c r="D879" s="126"/>
      <c r="E879" s="127"/>
      <c r="F879" s="127"/>
      <c r="G879" s="127"/>
      <c r="H879" s="130"/>
      <c r="I879" s="123" t="str">
        <f aca="false">IF(COUNTBLANK(E879:H879)&lt;1,ROUNDUP(SUM(F879:G879)*((100+H879*100)%),0),"")</f>
        <v/>
      </c>
      <c r="J879" s="129"/>
      <c r="K879" s="129"/>
    </row>
    <row r="880" customFormat="false" ht="12.75" hidden="false" customHeight="true" outlineLevel="0" collapsed="false">
      <c r="A880" s="121" t="str">
        <f aca="false">IF(B880="","",CONCATENATE(COUNTA(B$4:B880),"."))</f>
        <v/>
      </c>
      <c r="B880" s="126"/>
      <c r="C880" s="126"/>
      <c r="D880" s="126"/>
      <c r="E880" s="127"/>
      <c r="F880" s="127"/>
      <c r="G880" s="127"/>
      <c r="H880" s="130"/>
      <c r="I880" s="123" t="str">
        <f aca="false">IF(COUNTBLANK(E880:H880)&lt;1,ROUNDUP(SUM(F880:G880)*((100+H880*100)%),0),"")</f>
        <v/>
      </c>
      <c r="J880" s="129"/>
      <c r="K880" s="129"/>
    </row>
    <row r="881" customFormat="false" ht="12.75" hidden="false" customHeight="true" outlineLevel="0" collapsed="false">
      <c r="A881" s="121" t="str">
        <f aca="false">IF(B881="","",CONCATENATE(COUNTA(B$4:B881),"."))</f>
        <v/>
      </c>
      <c r="B881" s="126"/>
      <c r="C881" s="126"/>
      <c r="D881" s="126"/>
      <c r="E881" s="127"/>
      <c r="F881" s="127"/>
      <c r="G881" s="127"/>
      <c r="H881" s="130"/>
      <c r="I881" s="123" t="str">
        <f aca="false">IF(COUNTBLANK(E881:H881)&lt;1,ROUNDUP(SUM(F881:G881)*((100+H881*100)%),0),"")</f>
        <v/>
      </c>
      <c r="J881" s="129"/>
      <c r="K881" s="129"/>
    </row>
    <row r="882" customFormat="false" ht="12.75" hidden="false" customHeight="true" outlineLevel="0" collapsed="false">
      <c r="A882" s="121" t="str">
        <f aca="false">IF(B882="","",CONCATENATE(COUNTA(B$4:B882),"."))</f>
        <v/>
      </c>
      <c r="B882" s="126"/>
      <c r="C882" s="126"/>
      <c r="D882" s="126"/>
      <c r="E882" s="127"/>
      <c r="F882" s="127"/>
      <c r="G882" s="127"/>
      <c r="H882" s="130"/>
      <c r="I882" s="123" t="str">
        <f aca="false">IF(COUNTBLANK(E882:H882)&lt;1,ROUNDUP(SUM(F882:G882)*((100+H882*100)%),0),"")</f>
        <v/>
      </c>
      <c r="J882" s="129"/>
      <c r="K882" s="129"/>
    </row>
    <row r="883" customFormat="false" ht="12.75" hidden="false" customHeight="true" outlineLevel="0" collapsed="false">
      <c r="A883" s="121" t="str">
        <f aca="false">IF(B883="","",CONCATENATE(COUNTA(B$4:B883),"."))</f>
        <v/>
      </c>
      <c r="B883" s="126"/>
      <c r="C883" s="126"/>
      <c r="D883" s="126"/>
      <c r="E883" s="127"/>
      <c r="F883" s="127"/>
      <c r="G883" s="127"/>
      <c r="H883" s="130"/>
      <c r="I883" s="123" t="str">
        <f aca="false">IF(COUNTBLANK(E883:H883)&lt;1,ROUNDUP(SUM(F883:G883)*((100+H883*100)%),0),"")</f>
        <v/>
      </c>
      <c r="J883" s="129"/>
      <c r="K883" s="129"/>
    </row>
    <row r="884" customFormat="false" ht="12.75" hidden="false" customHeight="true" outlineLevel="0" collapsed="false">
      <c r="A884" s="121" t="str">
        <f aca="false">IF(B884="","",CONCATENATE(COUNTA(B$4:B884),"."))</f>
        <v/>
      </c>
      <c r="B884" s="126"/>
      <c r="C884" s="126"/>
      <c r="D884" s="126"/>
      <c r="E884" s="127"/>
      <c r="F884" s="127"/>
      <c r="G884" s="127"/>
      <c r="H884" s="130"/>
      <c r="I884" s="123" t="str">
        <f aca="false">IF(COUNTBLANK(E884:H884)&lt;1,ROUNDUP(SUM(F884:G884)*((100+H884*100)%),0),"")</f>
        <v/>
      </c>
      <c r="J884" s="129"/>
      <c r="K884" s="129"/>
    </row>
    <row r="885" customFormat="false" ht="12.75" hidden="false" customHeight="true" outlineLevel="0" collapsed="false">
      <c r="A885" s="121" t="str">
        <f aca="false">IF(B885="","",CONCATENATE(COUNTA(B$4:B885),"."))</f>
        <v/>
      </c>
      <c r="B885" s="126"/>
      <c r="C885" s="126"/>
      <c r="D885" s="126"/>
      <c r="E885" s="127"/>
      <c r="F885" s="127"/>
      <c r="G885" s="127"/>
      <c r="H885" s="130"/>
      <c r="I885" s="123" t="str">
        <f aca="false">IF(COUNTBLANK(E885:H885)&lt;1,ROUNDUP(SUM(F885:G885)*((100+H885*100)%),0),"")</f>
        <v/>
      </c>
      <c r="J885" s="129"/>
      <c r="K885" s="129"/>
    </row>
    <row r="886" customFormat="false" ht="12.75" hidden="false" customHeight="true" outlineLevel="0" collapsed="false">
      <c r="A886" s="121" t="str">
        <f aca="false">IF(B886="","",CONCATENATE(COUNTA(B$4:B886),"."))</f>
        <v/>
      </c>
      <c r="B886" s="126"/>
      <c r="C886" s="126"/>
      <c r="D886" s="126"/>
      <c r="E886" s="127"/>
      <c r="F886" s="127"/>
      <c r="G886" s="127"/>
      <c r="H886" s="130"/>
      <c r="I886" s="123" t="str">
        <f aca="false">IF(COUNTBLANK(E886:H886)&lt;1,ROUNDUP(SUM(F886:G886)*((100+H886*100)%),0),"")</f>
        <v/>
      </c>
      <c r="J886" s="129"/>
      <c r="K886" s="129"/>
    </row>
    <row r="887" customFormat="false" ht="12.75" hidden="false" customHeight="true" outlineLevel="0" collapsed="false">
      <c r="A887" s="121" t="str">
        <f aca="false">IF(B887="","",CONCATENATE(COUNTA(B$4:B887),"."))</f>
        <v/>
      </c>
      <c r="B887" s="126"/>
      <c r="C887" s="126"/>
      <c r="D887" s="126"/>
      <c r="E887" s="127"/>
      <c r="F887" s="127"/>
      <c r="G887" s="127"/>
      <c r="H887" s="130"/>
      <c r="I887" s="123" t="str">
        <f aca="false">IF(COUNTBLANK(E887:H887)&lt;1,ROUNDUP(SUM(F887:G887)*((100+H887*100)%),0),"")</f>
        <v/>
      </c>
      <c r="J887" s="129"/>
      <c r="K887" s="129"/>
    </row>
    <row r="888" customFormat="false" ht="12.75" hidden="false" customHeight="true" outlineLevel="0" collapsed="false">
      <c r="A888" s="121" t="str">
        <f aca="false">IF(B888="","",CONCATENATE(COUNTA(B$4:B888),"."))</f>
        <v/>
      </c>
      <c r="B888" s="126"/>
      <c r="C888" s="126"/>
      <c r="D888" s="126"/>
      <c r="E888" s="127"/>
      <c r="F888" s="127"/>
      <c r="G888" s="127"/>
      <c r="H888" s="130"/>
      <c r="I888" s="123" t="str">
        <f aca="false">IF(COUNTBLANK(E888:H888)&lt;1,ROUNDUP(SUM(F888:G888)*((100+H888*100)%),0),"")</f>
        <v/>
      </c>
      <c r="J888" s="129"/>
      <c r="K888" s="129"/>
    </row>
    <row r="889" customFormat="false" ht="12.75" hidden="false" customHeight="true" outlineLevel="0" collapsed="false">
      <c r="A889" s="121" t="str">
        <f aca="false">IF(B889="","",CONCATENATE(COUNTA(B$4:B889),"."))</f>
        <v/>
      </c>
      <c r="B889" s="126"/>
      <c r="C889" s="126"/>
      <c r="D889" s="126"/>
      <c r="E889" s="127"/>
      <c r="F889" s="127"/>
      <c r="G889" s="127"/>
      <c r="H889" s="130"/>
      <c r="I889" s="123" t="str">
        <f aca="false">IF(COUNTBLANK(E889:H889)&lt;1,ROUNDUP(SUM(F889:G889)*((100+H889*100)%),0),"")</f>
        <v/>
      </c>
      <c r="J889" s="129"/>
      <c r="K889" s="129"/>
    </row>
    <row r="890" customFormat="false" ht="12.75" hidden="false" customHeight="true" outlineLevel="0" collapsed="false">
      <c r="A890" s="121" t="str">
        <f aca="false">IF(B890="","",CONCATENATE(COUNTA(B$4:B890),"."))</f>
        <v/>
      </c>
      <c r="B890" s="126"/>
      <c r="C890" s="126"/>
      <c r="D890" s="126"/>
      <c r="E890" s="127"/>
      <c r="F890" s="127"/>
      <c r="G890" s="127"/>
      <c r="H890" s="130"/>
      <c r="I890" s="123" t="str">
        <f aca="false">IF(COUNTBLANK(E890:H890)&lt;1,ROUNDUP(SUM(F890:G890)*((100+H890*100)%),0),"")</f>
        <v/>
      </c>
      <c r="J890" s="129"/>
      <c r="K890" s="129"/>
    </row>
    <row r="891" customFormat="false" ht="12.75" hidden="false" customHeight="true" outlineLevel="0" collapsed="false">
      <c r="A891" s="121" t="str">
        <f aca="false">IF(B891="","",CONCATENATE(COUNTA(B$4:B891),"."))</f>
        <v/>
      </c>
      <c r="B891" s="126"/>
      <c r="C891" s="126"/>
      <c r="D891" s="126"/>
      <c r="E891" s="127"/>
      <c r="F891" s="127"/>
      <c r="G891" s="127"/>
      <c r="H891" s="130"/>
      <c r="I891" s="123" t="str">
        <f aca="false">IF(COUNTBLANK(E891:H891)&lt;1,ROUNDUP(SUM(F891:G891)*((100+H891*100)%),0),"")</f>
        <v/>
      </c>
      <c r="J891" s="129"/>
      <c r="K891" s="129"/>
    </row>
    <row r="892" customFormat="false" ht="12.75" hidden="false" customHeight="true" outlineLevel="0" collapsed="false">
      <c r="A892" s="121" t="str">
        <f aca="false">IF(B892="","",CONCATENATE(COUNTA(B$4:B892),"."))</f>
        <v/>
      </c>
      <c r="B892" s="126"/>
      <c r="C892" s="126"/>
      <c r="D892" s="126"/>
      <c r="E892" s="127"/>
      <c r="F892" s="127"/>
      <c r="G892" s="127"/>
      <c r="H892" s="130"/>
      <c r="I892" s="123" t="str">
        <f aca="false">IF(COUNTBLANK(E892:H892)&lt;1,ROUNDUP(SUM(F892:G892)*((100+H892*100)%),0),"")</f>
        <v/>
      </c>
      <c r="J892" s="129"/>
      <c r="K892" s="129"/>
    </row>
    <row r="893" customFormat="false" ht="12.75" hidden="false" customHeight="true" outlineLevel="0" collapsed="false">
      <c r="A893" s="121" t="str">
        <f aca="false">IF(B893="","",CONCATENATE(COUNTA(B$4:B893),"."))</f>
        <v/>
      </c>
      <c r="B893" s="126"/>
      <c r="C893" s="126"/>
      <c r="D893" s="126"/>
      <c r="E893" s="127"/>
      <c r="F893" s="127"/>
      <c r="G893" s="127"/>
      <c r="H893" s="130"/>
      <c r="I893" s="123" t="str">
        <f aca="false">IF(COUNTBLANK(E893:H893)&lt;1,ROUNDUP(SUM(F893:G893)*((100+H893*100)%),0),"")</f>
        <v/>
      </c>
      <c r="J893" s="129"/>
      <c r="K893" s="129"/>
    </row>
    <row r="894" customFormat="false" ht="12.75" hidden="false" customHeight="true" outlineLevel="0" collapsed="false">
      <c r="A894" s="121" t="str">
        <f aca="false">IF(B894="","",CONCATENATE(COUNTA(B$4:B894),"."))</f>
        <v/>
      </c>
      <c r="B894" s="126"/>
      <c r="C894" s="126"/>
      <c r="D894" s="126"/>
      <c r="E894" s="127"/>
      <c r="F894" s="127"/>
      <c r="G894" s="127"/>
      <c r="H894" s="130"/>
      <c r="I894" s="123" t="str">
        <f aca="false">IF(COUNTBLANK(E894:H894)&lt;1,ROUNDUP(SUM(F894:G894)*((100+H894*100)%),0),"")</f>
        <v/>
      </c>
      <c r="J894" s="129"/>
      <c r="K894" s="129"/>
    </row>
    <row r="895" customFormat="false" ht="12.75" hidden="false" customHeight="true" outlineLevel="0" collapsed="false">
      <c r="A895" s="121" t="str">
        <f aca="false">IF(B895="","",CONCATENATE(COUNTA(B$4:B895),"."))</f>
        <v/>
      </c>
      <c r="B895" s="126"/>
      <c r="C895" s="126"/>
      <c r="D895" s="126"/>
      <c r="E895" s="127"/>
      <c r="F895" s="127"/>
      <c r="G895" s="127"/>
      <c r="H895" s="130"/>
      <c r="I895" s="123" t="str">
        <f aca="false">IF(COUNTBLANK(E895:H895)&lt;1,ROUNDUP(SUM(F895:G895)*((100+H895*100)%),0),"")</f>
        <v/>
      </c>
      <c r="J895" s="129"/>
      <c r="K895" s="129"/>
    </row>
    <row r="896" customFormat="false" ht="12.75" hidden="false" customHeight="true" outlineLevel="0" collapsed="false">
      <c r="A896" s="121" t="str">
        <f aca="false">IF(B896="","",CONCATENATE(COUNTA(B$4:B896),"."))</f>
        <v/>
      </c>
      <c r="B896" s="126"/>
      <c r="C896" s="126"/>
      <c r="D896" s="126"/>
      <c r="E896" s="127"/>
      <c r="F896" s="127"/>
      <c r="G896" s="127"/>
      <c r="H896" s="130"/>
      <c r="I896" s="123" t="str">
        <f aca="false">IF(COUNTBLANK(E896:H896)&lt;1,ROUNDUP(SUM(F896:G896)*((100+H896*100)%),0),"")</f>
        <v/>
      </c>
      <c r="J896" s="129"/>
      <c r="K896" s="129"/>
    </row>
    <row r="897" customFormat="false" ht="12.75" hidden="false" customHeight="true" outlineLevel="0" collapsed="false">
      <c r="A897" s="121" t="str">
        <f aca="false">IF(B897="","",CONCATENATE(COUNTA(B$4:B897),"."))</f>
        <v/>
      </c>
      <c r="B897" s="126"/>
      <c r="C897" s="126"/>
      <c r="D897" s="126"/>
      <c r="E897" s="127"/>
      <c r="F897" s="127"/>
      <c r="G897" s="127"/>
      <c r="H897" s="130"/>
      <c r="I897" s="123" t="str">
        <f aca="false">IF(COUNTBLANK(E897:H897)&lt;1,ROUNDUP(SUM(F897:G897)*((100+H897*100)%),0),"")</f>
        <v/>
      </c>
      <c r="J897" s="129"/>
      <c r="K897" s="129"/>
    </row>
    <row r="898" customFormat="false" ht="12.75" hidden="false" customHeight="true" outlineLevel="0" collapsed="false">
      <c r="A898" s="121" t="str">
        <f aca="false">IF(B898="","",CONCATENATE(COUNTA(B$4:B898),"."))</f>
        <v/>
      </c>
      <c r="B898" s="126"/>
      <c r="C898" s="126"/>
      <c r="D898" s="126"/>
      <c r="E898" s="127"/>
      <c r="F898" s="127"/>
      <c r="G898" s="127"/>
      <c r="H898" s="130"/>
      <c r="I898" s="123" t="str">
        <f aca="false">IF(COUNTBLANK(E898:H898)&lt;1,ROUNDUP(SUM(F898:G898)*((100+H898*100)%),0),"")</f>
        <v/>
      </c>
      <c r="J898" s="129"/>
      <c r="K898" s="129"/>
    </row>
    <row r="899" customFormat="false" ht="12.75" hidden="false" customHeight="true" outlineLevel="0" collapsed="false">
      <c r="A899" s="121" t="str">
        <f aca="false">IF(B899="","",CONCATENATE(COUNTA(B$4:B899),"."))</f>
        <v/>
      </c>
      <c r="B899" s="126"/>
      <c r="C899" s="126"/>
      <c r="D899" s="126"/>
      <c r="E899" s="127"/>
      <c r="F899" s="127"/>
      <c r="G899" s="127"/>
      <c r="H899" s="130"/>
      <c r="I899" s="123" t="str">
        <f aca="false">IF(COUNTBLANK(E899:H899)&lt;1,ROUNDUP(SUM(F899:G899)*((100+H899*100)%),0),"")</f>
        <v/>
      </c>
      <c r="J899" s="129"/>
      <c r="K899" s="129"/>
    </row>
    <row r="900" customFormat="false" ht="12.75" hidden="false" customHeight="true" outlineLevel="0" collapsed="false">
      <c r="A900" s="121" t="str">
        <f aca="false">IF(B900="","",CONCATENATE(COUNTA(B$4:B900),"."))</f>
        <v/>
      </c>
      <c r="B900" s="126"/>
      <c r="C900" s="126"/>
      <c r="D900" s="126"/>
      <c r="E900" s="127"/>
      <c r="F900" s="127"/>
      <c r="G900" s="127"/>
      <c r="H900" s="130"/>
      <c r="I900" s="123" t="str">
        <f aca="false">IF(COUNTBLANK(E900:H900)&lt;1,ROUNDUP(SUM(F900:G900)*((100+H900*100)%),0),"")</f>
        <v/>
      </c>
      <c r="J900" s="129"/>
      <c r="K900" s="129"/>
    </row>
    <row r="901" customFormat="false" ht="12.75" hidden="false" customHeight="true" outlineLevel="0" collapsed="false">
      <c r="A901" s="121" t="str">
        <f aca="false">IF(B901="","",CONCATENATE(COUNTA(B$4:B901),"."))</f>
        <v/>
      </c>
      <c r="B901" s="126"/>
      <c r="C901" s="126"/>
      <c r="D901" s="126"/>
      <c r="E901" s="127"/>
      <c r="F901" s="127"/>
      <c r="G901" s="127"/>
      <c r="H901" s="130"/>
      <c r="I901" s="123" t="str">
        <f aca="false">IF(COUNTBLANK(E901:H901)&lt;1,ROUNDUP(SUM(F901:G901)*((100+H901*100)%),0),"")</f>
        <v/>
      </c>
      <c r="J901" s="129"/>
      <c r="K901" s="129"/>
    </row>
    <row r="902" customFormat="false" ht="12.75" hidden="false" customHeight="true" outlineLevel="0" collapsed="false">
      <c r="A902" s="121" t="str">
        <f aca="false">IF(B902="","",CONCATENATE(COUNTA(B$4:B902),"."))</f>
        <v/>
      </c>
      <c r="B902" s="126"/>
      <c r="C902" s="126"/>
      <c r="D902" s="126"/>
      <c r="E902" s="127"/>
      <c r="F902" s="127"/>
      <c r="G902" s="127"/>
      <c r="H902" s="130"/>
      <c r="I902" s="123" t="str">
        <f aca="false">IF(COUNTBLANK(E902:H902)&lt;1,ROUNDUP(SUM(F902:G902)*((100+H902*100)%),0),"")</f>
        <v/>
      </c>
      <c r="J902" s="129"/>
      <c r="K902" s="129"/>
    </row>
    <row r="903" customFormat="false" ht="12.75" hidden="false" customHeight="true" outlineLevel="0" collapsed="false">
      <c r="A903" s="121" t="str">
        <f aca="false">IF(B903="","",CONCATENATE(COUNTA(B$4:B903),"."))</f>
        <v/>
      </c>
      <c r="B903" s="126"/>
      <c r="C903" s="126"/>
      <c r="D903" s="126"/>
      <c r="E903" s="127"/>
      <c r="F903" s="127"/>
      <c r="G903" s="127"/>
      <c r="H903" s="130"/>
      <c r="I903" s="123" t="str">
        <f aca="false">IF(COUNTBLANK(E903:H903)&lt;1,ROUNDUP(SUM(F903:G903)*((100+H903*100)%),0),"")</f>
        <v/>
      </c>
      <c r="J903" s="129"/>
      <c r="K903" s="129"/>
    </row>
    <row r="904" customFormat="false" ht="12.75" hidden="false" customHeight="true" outlineLevel="0" collapsed="false">
      <c r="A904" s="121" t="str">
        <f aca="false">IF(B904="","",CONCATENATE(COUNTA(B$4:B904),"."))</f>
        <v/>
      </c>
      <c r="B904" s="126"/>
      <c r="C904" s="126"/>
      <c r="D904" s="126"/>
      <c r="E904" s="127"/>
      <c r="F904" s="127"/>
      <c r="G904" s="127"/>
      <c r="H904" s="130"/>
      <c r="I904" s="123" t="str">
        <f aca="false">IF(COUNTBLANK(E904:H904)&lt;1,ROUNDUP(SUM(F904:G904)*((100+H904*100)%),0),"")</f>
        <v/>
      </c>
      <c r="J904" s="129"/>
      <c r="K904" s="129"/>
    </row>
    <row r="905" customFormat="false" ht="12.75" hidden="false" customHeight="true" outlineLevel="0" collapsed="false">
      <c r="A905" s="121" t="str">
        <f aca="false">IF(B905="","",CONCATENATE(COUNTA(B$4:B905),"."))</f>
        <v/>
      </c>
      <c r="B905" s="126"/>
      <c r="C905" s="126"/>
      <c r="D905" s="126"/>
      <c r="E905" s="127"/>
      <c r="F905" s="127"/>
      <c r="G905" s="127"/>
      <c r="H905" s="130"/>
      <c r="I905" s="123" t="str">
        <f aca="false">IF(COUNTBLANK(E905:H905)&lt;1,ROUNDUP(SUM(F905:G905)*((100+H905*100)%),0),"")</f>
        <v/>
      </c>
      <c r="J905" s="129"/>
      <c r="K905" s="129"/>
    </row>
    <row r="906" customFormat="false" ht="12.75" hidden="false" customHeight="true" outlineLevel="0" collapsed="false">
      <c r="A906" s="121" t="str">
        <f aca="false">IF(B906="","",CONCATENATE(COUNTA(B$4:B906),"."))</f>
        <v/>
      </c>
      <c r="B906" s="126"/>
      <c r="C906" s="126"/>
      <c r="D906" s="126"/>
      <c r="E906" s="127"/>
      <c r="F906" s="127"/>
      <c r="G906" s="127"/>
      <c r="H906" s="130"/>
      <c r="I906" s="123" t="str">
        <f aca="false">IF(COUNTBLANK(E906:H906)&lt;1,ROUNDUP(SUM(F906:G906)*((100+H906*100)%),0),"")</f>
        <v/>
      </c>
      <c r="J906" s="129"/>
      <c r="K906" s="129"/>
    </row>
    <row r="907" customFormat="false" ht="12.75" hidden="false" customHeight="true" outlineLevel="0" collapsed="false">
      <c r="A907" s="121" t="str">
        <f aca="false">IF(B907="","",CONCATENATE(COUNTA(B$4:B907),"."))</f>
        <v/>
      </c>
      <c r="B907" s="126"/>
      <c r="C907" s="126"/>
      <c r="D907" s="126"/>
      <c r="E907" s="127"/>
      <c r="F907" s="127"/>
      <c r="G907" s="127"/>
      <c r="H907" s="130"/>
      <c r="I907" s="123" t="str">
        <f aca="false">IF(COUNTBLANK(E907:H907)&lt;1,ROUNDUP(SUM(F907:G907)*((100+H907*100)%),0),"")</f>
        <v/>
      </c>
      <c r="J907" s="129"/>
      <c r="K907" s="129"/>
    </row>
    <row r="908" customFormat="false" ht="12.75" hidden="false" customHeight="true" outlineLevel="0" collapsed="false">
      <c r="A908" s="121" t="str">
        <f aca="false">IF(B908="","",CONCATENATE(COUNTA(B$4:B908),"."))</f>
        <v/>
      </c>
      <c r="B908" s="126"/>
      <c r="C908" s="126"/>
      <c r="D908" s="126"/>
      <c r="E908" s="127"/>
      <c r="F908" s="127"/>
      <c r="G908" s="127"/>
      <c r="H908" s="130"/>
      <c r="I908" s="123" t="str">
        <f aca="false">IF(COUNTBLANK(E908:H908)&lt;1,ROUNDUP(SUM(F908:G908)*((100+H908*100)%),0),"")</f>
        <v/>
      </c>
      <c r="J908" s="129"/>
      <c r="K908" s="129"/>
    </row>
    <row r="909" customFormat="false" ht="12.75" hidden="false" customHeight="true" outlineLevel="0" collapsed="false">
      <c r="A909" s="121" t="str">
        <f aca="false">IF(B909="","",CONCATENATE(COUNTA(B$4:B909),"."))</f>
        <v/>
      </c>
      <c r="B909" s="126"/>
      <c r="C909" s="126"/>
      <c r="D909" s="126"/>
      <c r="E909" s="127"/>
      <c r="F909" s="127"/>
      <c r="G909" s="127"/>
      <c r="H909" s="130"/>
      <c r="I909" s="123" t="str">
        <f aca="false">IF(COUNTBLANK(E909:H909)&lt;1,ROUNDUP(SUM(F909:G909)*((100+H909*100)%),0),"")</f>
        <v/>
      </c>
      <c r="J909" s="129"/>
      <c r="K909" s="129"/>
    </row>
    <row r="910" customFormat="false" ht="12.75" hidden="false" customHeight="true" outlineLevel="0" collapsed="false">
      <c r="A910" s="121" t="str">
        <f aca="false">IF(B910="","",CONCATENATE(COUNTA(B$4:B910),"."))</f>
        <v/>
      </c>
      <c r="B910" s="126"/>
      <c r="C910" s="126"/>
      <c r="D910" s="126"/>
      <c r="E910" s="127"/>
      <c r="F910" s="127"/>
      <c r="G910" s="127"/>
      <c r="H910" s="130"/>
      <c r="I910" s="123" t="str">
        <f aca="false">IF(COUNTBLANK(E910:H910)&lt;1,ROUNDUP(SUM(F910:G910)*((100+H910*100)%),0),"")</f>
        <v/>
      </c>
      <c r="J910" s="129"/>
      <c r="K910" s="129"/>
    </row>
    <row r="911" customFormat="false" ht="12.75" hidden="false" customHeight="true" outlineLevel="0" collapsed="false">
      <c r="A911" s="121" t="str">
        <f aca="false">IF(B911="","",CONCATENATE(COUNTA(B$4:B911),"."))</f>
        <v/>
      </c>
      <c r="B911" s="126"/>
      <c r="C911" s="126"/>
      <c r="D911" s="126"/>
      <c r="E911" s="127"/>
      <c r="F911" s="127"/>
      <c r="G911" s="127"/>
      <c r="H911" s="130"/>
      <c r="I911" s="123" t="str">
        <f aca="false">IF(COUNTBLANK(E911:H911)&lt;1,ROUNDUP(SUM(F911:G911)*((100+H911*100)%),0),"")</f>
        <v/>
      </c>
      <c r="J911" s="129"/>
      <c r="K911" s="129"/>
    </row>
    <row r="912" customFormat="false" ht="12.75" hidden="false" customHeight="true" outlineLevel="0" collapsed="false">
      <c r="A912" s="121" t="str">
        <f aca="false">IF(B912="","",CONCATENATE(COUNTA(B$4:B912),"."))</f>
        <v/>
      </c>
      <c r="B912" s="126"/>
      <c r="C912" s="126"/>
      <c r="D912" s="126"/>
      <c r="E912" s="127"/>
      <c r="F912" s="127"/>
      <c r="G912" s="127"/>
      <c r="H912" s="130"/>
      <c r="I912" s="123" t="str">
        <f aca="false">IF(COUNTBLANK(E912:H912)&lt;1,ROUNDUP(SUM(F912:G912)*((100+H912*100)%),0),"")</f>
        <v/>
      </c>
      <c r="J912" s="129"/>
      <c r="K912" s="129"/>
    </row>
    <row r="913" customFormat="false" ht="12.75" hidden="false" customHeight="true" outlineLevel="0" collapsed="false">
      <c r="A913" s="121" t="str">
        <f aca="false">IF(B913="","",CONCATENATE(COUNTA(B$4:B913),"."))</f>
        <v/>
      </c>
      <c r="B913" s="126"/>
      <c r="C913" s="126"/>
      <c r="D913" s="126"/>
      <c r="E913" s="127"/>
      <c r="F913" s="127"/>
      <c r="G913" s="127"/>
      <c r="H913" s="130"/>
      <c r="I913" s="123" t="str">
        <f aca="false">IF(COUNTBLANK(E913:H913)&lt;1,ROUNDUP(SUM(F913:G913)*((100+H913*100)%),0),"")</f>
        <v/>
      </c>
      <c r="J913" s="129"/>
      <c r="K913" s="129"/>
    </row>
    <row r="914" customFormat="false" ht="12.75" hidden="false" customHeight="true" outlineLevel="0" collapsed="false">
      <c r="A914" s="121" t="str">
        <f aca="false">IF(B914="","",CONCATENATE(COUNTA(B$4:B914),"."))</f>
        <v/>
      </c>
      <c r="B914" s="126"/>
      <c r="C914" s="126"/>
      <c r="D914" s="126"/>
      <c r="E914" s="127"/>
      <c r="F914" s="127"/>
      <c r="G914" s="127"/>
      <c r="H914" s="130"/>
      <c r="I914" s="123" t="str">
        <f aca="false">IF(COUNTBLANK(E914:H914)&lt;1,ROUNDUP(SUM(F914:G914)*((100+H914*100)%),0),"")</f>
        <v/>
      </c>
      <c r="J914" s="129"/>
      <c r="K914" s="129"/>
    </row>
    <row r="915" customFormat="false" ht="12.75" hidden="false" customHeight="true" outlineLevel="0" collapsed="false">
      <c r="A915" s="121" t="str">
        <f aca="false">IF(B915="","",CONCATENATE(COUNTA(B$4:B915),"."))</f>
        <v/>
      </c>
      <c r="B915" s="126"/>
      <c r="C915" s="126"/>
      <c r="D915" s="126"/>
      <c r="E915" s="127"/>
      <c r="F915" s="127"/>
      <c r="G915" s="127"/>
      <c r="H915" s="130"/>
      <c r="I915" s="123" t="str">
        <f aca="false">IF(COUNTBLANK(E915:H915)&lt;1,ROUNDUP(SUM(F915:G915)*((100+H915*100)%),0),"")</f>
        <v/>
      </c>
      <c r="J915" s="129"/>
      <c r="K915" s="129"/>
    </row>
    <row r="916" customFormat="false" ht="12.75" hidden="false" customHeight="true" outlineLevel="0" collapsed="false">
      <c r="A916" s="121" t="str">
        <f aca="false">IF(B916="","",CONCATENATE(COUNTA(B$4:B916),"."))</f>
        <v/>
      </c>
      <c r="B916" s="126"/>
      <c r="C916" s="126"/>
      <c r="D916" s="126"/>
      <c r="E916" s="127"/>
      <c r="F916" s="127"/>
      <c r="G916" s="127"/>
      <c r="H916" s="130"/>
      <c r="I916" s="123" t="str">
        <f aca="false">IF(COUNTBLANK(E916:H916)&lt;1,ROUNDUP(SUM(F916:G916)*((100+H916*100)%),0),"")</f>
        <v/>
      </c>
      <c r="J916" s="129"/>
      <c r="K916" s="129"/>
    </row>
    <row r="917" customFormat="false" ht="12.75" hidden="false" customHeight="true" outlineLevel="0" collapsed="false">
      <c r="A917" s="121" t="str">
        <f aca="false">IF(B917="","",CONCATENATE(COUNTA(B$4:B917),"."))</f>
        <v/>
      </c>
      <c r="B917" s="126"/>
      <c r="C917" s="126"/>
      <c r="D917" s="126"/>
      <c r="E917" s="127"/>
      <c r="F917" s="127"/>
      <c r="G917" s="127"/>
      <c r="H917" s="130"/>
      <c r="I917" s="123" t="str">
        <f aca="false">IF(COUNTBLANK(E917:H917)&lt;1,ROUNDUP(SUM(F917:G917)*((100+H917*100)%),0),"")</f>
        <v/>
      </c>
      <c r="J917" s="129"/>
      <c r="K917" s="129"/>
    </row>
    <row r="918" customFormat="false" ht="12.75" hidden="false" customHeight="true" outlineLevel="0" collapsed="false">
      <c r="A918" s="121" t="str">
        <f aca="false">IF(B918="","",CONCATENATE(COUNTA(B$4:B918),"."))</f>
        <v/>
      </c>
      <c r="B918" s="126"/>
      <c r="C918" s="126"/>
      <c r="D918" s="126"/>
      <c r="E918" s="127"/>
      <c r="F918" s="127"/>
      <c r="G918" s="127"/>
      <c r="H918" s="130"/>
      <c r="I918" s="123" t="str">
        <f aca="false">IF(COUNTBLANK(E918:H918)&lt;1,ROUNDUP(SUM(F918:G918)*((100+H918*100)%),0),"")</f>
        <v/>
      </c>
      <c r="J918" s="129"/>
      <c r="K918" s="129"/>
    </row>
    <row r="919" customFormat="false" ht="12.75" hidden="false" customHeight="true" outlineLevel="0" collapsed="false">
      <c r="A919" s="121" t="str">
        <f aca="false">IF(B919="","",CONCATENATE(COUNTA(B$4:B919),"."))</f>
        <v/>
      </c>
      <c r="B919" s="126"/>
      <c r="C919" s="126"/>
      <c r="D919" s="126"/>
      <c r="E919" s="127"/>
      <c r="F919" s="127"/>
      <c r="G919" s="127"/>
      <c r="H919" s="130"/>
      <c r="I919" s="123" t="str">
        <f aca="false">IF(COUNTBLANK(E919:H919)&lt;1,ROUNDUP(SUM(F919:G919)*((100+H919*100)%),0),"")</f>
        <v/>
      </c>
      <c r="J919" s="129"/>
      <c r="K919" s="129"/>
    </row>
    <row r="920" customFormat="false" ht="12.75" hidden="false" customHeight="true" outlineLevel="0" collapsed="false">
      <c r="A920" s="121" t="str">
        <f aca="false">IF(B920="","",CONCATENATE(COUNTA(B$4:B920),"."))</f>
        <v/>
      </c>
      <c r="B920" s="126"/>
      <c r="C920" s="126"/>
      <c r="D920" s="126"/>
      <c r="E920" s="127"/>
      <c r="F920" s="127"/>
      <c r="G920" s="127"/>
      <c r="H920" s="130"/>
      <c r="I920" s="123" t="str">
        <f aca="false">IF(COUNTBLANK(E920:H920)&lt;1,ROUNDUP(SUM(F920:G920)*((100+H920*100)%),0),"")</f>
        <v/>
      </c>
      <c r="J920" s="129"/>
      <c r="K920" s="129"/>
    </row>
    <row r="921" customFormat="false" ht="12.75" hidden="false" customHeight="true" outlineLevel="0" collapsed="false">
      <c r="A921" s="121" t="str">
        <f aca="false">IF(B921="","",CONCATENATE(COUNTA(B$4:B921),"."))</f>
        <v/>
      </c>
      <c r="B921" s="126"/>
      <c r="C921" s="126"/>
      <c r="D921" s="126"/>
      <c r="E921" s="127"/>
      <c r="F921" s="127"/>
      <c r="G921" s="127"/>
      <c r="H921" s="130"/>
      <c r="I921" s="123" t="str">
        <f aca="false">IF(COUNTBLANK(E921:H921)&lt;1,ROUNDUP(SUM(F921:G921)*((100+H921*100)%),0),"")</f>
        <v/>
      </c>
      <c r="J921" s="129"/>
      <c r="K921" s="129"/>
    </row>
    <row r="922" customFormat="false" ht="12.75" hidden="false" customHeight="true" outlineLevel="0" collapsed="false">
      <c r="A922" s="121" t="str">
        <f aca="false">IF(B922="","",CONCATENATE(COUNTA(B$4:B922),"."))</f>
        <v/>
      </c>
      <c r="B922" s="126"/>
      <c r="C922" s="126"/>
      <c r="D922" s="126"/>
      <c r="E922" s="127"/>
      <c r="F922" s="127"/>
      <c r="G922" s="127"/>
      <c r="H922" s="130"/>
      <c r="I922" s="123" t="str">
        <f aca="false">IF(COUNTBLANK(E922:H922)&lt;1,ROUNDUP(SUM(F922:G922)*((100+H922*100)%),0),"")</f>
        <v/>
      </c>
      <c r="J922" s="129"/>
      <c r="K922" s="129"/>
    </row>
    <row r="923" customFormat="false" ht="12.75" hidden="false" customHeight="true" outlineLevel="0" collapsed="false">
      <c r="A923" s="121" t="str">
        <f aca="false">IF(B923="","",CONCATENATE(COUNTA(B$4:B923),"."))</f>
        <v/>
      </c>
      <c r="B923" s="126"/>
      <c r="C923" s="126"/>
      <c r="D923" s="126"/>
      <c r="E923" s="127"/>
      <c r="F923" s="127"/>
      <c r="G923" s="127"/>
      <c r="H923" s="130"/>
      <c r="I923" s="123" t="str">
        <f aca="false">IF(COUNTBLANK(E923:H923)&lt;1,ROUNDUP(SUM(F923:G923)*((100+H923*100)%),0),"")</f>
        <v/>
      </c>
      <c r="J923" s="129"/>
      <c r="K923" s="129"/>
    </row>
    <row r="924" customFormat="false" ht="12.75" hidden="false" customHeight="true" outlineLevel="0" collapsed="false">
      <c r="A924" s="121" t="str">
        <f aca="false">IF(B924="","",CONCATENATE(COUNTA(B$4:B924),"."))</f>
        <v/>
      </c>
      <c r="B924" s="126"/>
      <c r="C924" s="126"/>
      <c r="D924" s="126"/>
      <c r="E924" s="127"/>
      <c r="F924" s="127"/>
      <c r="G924" s="127"/>
      <c r="H924" s="130"/>
      <c r="I924" s="123" t="str">
        <f aca="false">IF(COUNTBLANK(E924:H924)&lt;1,ROUNDUP(SUM(F924:G924)*((100+H924*100)%),0),"")</f>
        <v/>
      </c>
      <c r="J924" s="129"/>
      <c r="K924" s="129"/>
    </row>
    <row r="925" customFormat="false" ht="12.75" hidden="false" customHeight="true" outlineLevel="0" collapsed="false">
      <c r="A925" s="121" t="str">
        <f aca="false">IF(B925="","",CONCATENATE(COUNTA(B$4:B925),"."))</f>
        <v/>
      </c>
      <c r="B925" s="126"/>
      <c r="C925" s="126"/>
      <c r="D925" s="126"/>
      <c r="E925" s="127"/>
      <c r="F925" s="127"/>
      <c r="G925" s="127"/>
      <c r="H925" s="130"/>
      <c r="I925" s="123" t="str">
        <f aca="false">IF(COUNTBLANK(E925:H925)&lt;1,ROUNDUP(SUM(F925:G925)*((100+H925*100)%),0),"")</f>
        <v/>
      </c>
      <c r="J925" s="129"/>
      <c r="K925" s="129"/>
    </row>
    <row r="926" customFormat="false" ht="12.75" hidden="false" customHeight="true" outlineLevel="0" collapsed="false">
      <c r="A926" s="121" t="str">
        <f aca="false">IF(B926="","",CONCATENATE(COUNTA(B$4:B926),"."))</f>
        <v/>
      </c>
      <c r="B926" s="126"/>
      <c r="C926" s="126"/>
      <c r="D926" s="126"/>
      <c r="E926" s="127"/>
      <c r="F926" s="127"/>
      <c r="G926" s="127"/>
      <c r="H926" s="130"/>
      <c r="I926" s="123" t="str">
        <f aca="false">IF(COUNTBLANK(E926:H926)&lt;1,ROUNDUP(SUM(F926:G926)*((100+H926*100)%),0),"")</f>
        <v/>
      </c>
      <c r="J926" s="129"/>
      <c r="K926" s="129"/>
    </row>
    <row r="927" customFormat="false" ht="12.75" hidden="false" customHeight="true" outlineLevel="0" collapsed="false">
      <c r="A927" s="121" t="str">
        <f aca="false">IF(B927="","",CONCATENATE(COUNTA(B$4:B927),"."))</f>
        <v/>
      </c>
      <c r="B927" s="126"/>
      <c r="C927" s="126"/>
      <c r="D927" s="126"/>
      <c r="E927" s="127"/>
      <c r="F927" s="127"/>
      <c r="G927" s="127"/>
      <c r="H927" s="130"/>
      <c r="I927" s="123" t="str">
        <f aca="false">IF(COUNTBLANK(E927:H927)&lt;1,ROUNDUP(SUM(F927:G927)*((100+H927*100)%),0),"")</f>
        <v/>
      </c>
      <c r="J927" s="129"/>
      <c r="K927" s="129"/>
    </row>
    <row r="928" customFormat="false" ht="12.75" hidden="false" customHeight="true" outlineLevel="0" collapsed="false">
      <c r="A928" s="121" t="str">
        <f aca="false">IF(B928="","",CONCATENATE(COUNTA(B$4:B928),"."))</f>
        <v/>
      </c>
      <c r="B928" s="126"/>
      <c r="C928" s="126"/>
      <c r="D928" s="126"/>
      <c r="E928" s="127"/>
      <c r="F928" s="127"/>
      <c r="G928" s="127"/>
      <c r="H928" s="130"/>
      <c r="I928" s="123" t="str">
        <f aca="false">IF(COUNTBLANK(E928:H928)&lt;1,ROUNDUP(SUM(F928:G928)*((100+H928*100)%),0),"")</f>
        <v/>
      </c>
      <c r="J928" s="129"/>
      <c r="K928" s="129"/>
    </row>
    <row r="929" customFormat="false" ht="12.75" hidden="false" customHeight="true" outlineLevel="0" collapsed="false">
      <c r="A929" s="121" t="str">
        <f aca="false">IF(B929="","",CONCATENATE(COUNTA(B$4:B929),"."))</f>
        <v/>
      </c>
      <c r="B929" s="126"/>
      <c r="C929" s="126"/>
      <c r="D929" s="126"/>
      <c r="E929" s="127"/>
      <c r="F929" s="127"/>
      <c r="G929" s="127"/>
      <c r="H929" s="130"/>
      <c r="I929" s="123" t="str">
        <f aca="false">IF(COUNTBLANK(E929:H929)&lt;1,ROUNDUP(SUM(F929:G929)*((100+H929*100)%),0),"")</f>
        <v/>
      </c>
      <c r="J929" s="129"/>
      <c r="K929" s="129"/>
    </row>
    <row r="930" customFormat="false" ht="12.75" hidden="false" customHeight="true" outlineLevel="0" collapsed="false">
      <c r="A930" s="121" t="str">
        <f aca="false">IF(B930="","",CONCATENATE(COUNTA(B$4:B930),"."))</f>
        <v/>
      </c>
      <c r="B930" s="126"/>
      <c r="C930" s="126"/>
      <c r="D930" s="126"/>
      <c r="E930" s="127"/>
      <c r="F930" s="127"/>
      <c r="G930" s="127"/>
      <c r="H930" s="130"/>
      <c r="I930" s="123" t="str">
        <f aca="false">IF(COUNTBLANK(E930:H930)&lt;1,ROUNDUP(SUM(F930:G930)*((100+H930*100)%),0),"")</f>
        <v/>
      </c>
      <c r="J930" s="129"/>
      <c r="K930" s="129"/>
    </row>
    <row r="931" customFormat="false" ht="12.75" hidden="false" customHeight="true" outlineLevel="0" collapsed="false">
      <c r="A931" s="121" t="str">
        <f aca="false">IF(B931="","",CONCATENATE(COUNTA(B$4:B931),"."))</f>
        <v/>
      </c>
      <c r="B931" s="126"/>
      <c r="C931" s="126"/>
      <c r="D931" s="126"/>
      <c r="E931" s="127"/>
      <c r="F931" s="127"/>
      <c r="G931" s="127"/>
      <c r="H931" s="130"/>
      <c r="I931" s="123" t="str">
        <f aca="false">IF(COUNTBLANK(E931:H931)&lt;1,ROUNDUP(SUM(F931:G931)*((100+H931*100)%),0),"")</f>
        <v/>
      </c>
      <c r="J931" s="129"/>
      <c r="K931" s="129"/>
    </row>
    <row r="932" customFormat="false" ht="12.75" hidden="false" customHeight="true" outlineLevel="0" collapsed="false">
      <c r="A932" s="121" t="str">
        <f aca="false">IF(B932="","",CONCATENATE(COUNTA(B$4:B932),"."))</f>
        <v/>
      </c>
      <c r="B932" s="126"/>
      <c r="C932" s="126"/>
      <c r="D932" s="126"/>
      <c r="E932" s="127"/>
      <c r="F932" s="127"/>
      <c r="G932" s="127"/>
      <c r="H932" s="130"/>
      <c r="I932" s="123" t="str">
        <f aca="false">IF(COUNTBLANK(E932:H932)&lt;1,ROUNDUP(SUM(F932:G932)*((100+H932*100)%),0),"")</f>
        <v/>
      </c>
      <c r="J932" s="129"/>
      <c r="K932" s="129"/>
    </row>
    <row r="933" customFormat="false" ht="12.75" hidden="false" customHeight="true" outlineLevel="0" collapsed="false">
      <c r="A933" s="121" t="str">
        <f aca="false">IF(B933="","",CONCATENATE(COUNTA(B$4:B933),"."))</f>
        <v/>
      </c>
      <c r="B933" s="126"/>
      <c r="C933" s="126"/>
      <c r="D933" s="126"/>
      <c r="E933" s="127"/>
      <c r="F933" s="127"/>
      <c r="G933" s="127"/>
      <c r="H933" s="130"/>
      <c r="I933" s="123" t="str">
        <f aca="false">IF(COUNTBLANK(E933:H933)&lt;1,ROUNDUP(SUM(F933:G933)*((100+H933*100)%),0),"")</f>
        <v/>
      </c>
      <c r="J933" s="129"/>
      <c r="K933" s="129"/>
    </row>
    <row r="934" customFormat="false" ht="12.75" hidden="false" customHeight="true" outlineLevel="0" collapsed="false">
      <c r="A934" s="121" t="str">
        <f aca="false">IF(B934="","",CONCATENATE(COUNTA(B$4:B934),"."))</f>
        <v/>
      </c>
      <c r="B934" s="126"/>
      <c r="C934" s="126"/>
      <c r="D934" s="126"/>
      <c r="E934" s="127"/>
      <c r="F934" s="127"/>
      <c r="G934" s="127"/>
      <c r="H934" s="130"/>
      <c r="I934" s="123" t="str">
        <f aca="false">IF(COUNTBLANK(E934:H934)&lt;1,ROUNDUP(SUM(F934:G934)*((100+H934*100)%),0),"")</f>
        <v/>
      </c>
      <c r="J934" s="129"/>
      <c r="K934" s="129"/>
    </row>
    <row r="935" customFormat="false" ht="12.75" hidden="false" customHeight="true" outlineLevel="0" collapsed="false">
      <c r="A935" s="121" t="str">
        <f aca="false">IF(B935="","",CONCATENATE(COUNTA(B$4:B935),"."))</f>
        <v/>
      </c>
      <c r="B935" s="126"/>
      <c r="C935" s="126"/>
      <c r="D935" s="126"/>
      <c r="E935" s="127"/>
      <c r="F935" s="127"/>
      <c r="G935" s="127"/>
      <c r="H935" s="130"/>
      <c r="I935" s="123" t="str">
        <f aca="false">IF(COUNTBLANK(E935:H935)&lt;1,ROUNDUP(SUM(F935:G935)*((100+H935*100)%),0),"")</f>
        <v/>
      </c>
      <c r="J935" s="129"/>
      <c r="K935" s="129"/>
    </row>
    <row r="936" customFormat="false" ht="12.75" hidden="false" customHeight="true" outlineLevel="0" collapsed="false">
      <c r="A936" s="121" t="str">
        <f aca="false">IF(B936="","",CONCATENATE(COUNTA(B$4:B936),"."))</f>
        <v/>
      </c>
      <c r="B936" s="126"/>
      <c r="C936" s="126"/>
      <c r="D936" s="126"/>
      <c r="E936" s="127"/>
      <c r="F936" s="127"/>
      <c r="G936" s="127"/>
      <c r="H936" s="130"/>
      <c r="I936" s="123" t="str">
        <f aca="false">IF(COUNTBLANK(E936:H936)&lt;1,ROUNDUP(SUM(F936:G936)*((100+H936*100)%),0),"")</f>
        <v/>
      </c>
      <c r="J936" s="129"/>
      <c r="K936" s="129"/>
    </row>
    <row r="937" customFormat="false" ht="12.75" hidden="false" customHeight="true" outlineLevel="0" collapsed="false">
      <c r="A937" s="121" t="str">
        <f aca="false">IF(B937="","",CONCATENATE(COUNTA(B$4:B937),"."))</f>
        <v/>
      </c>
      <c r="B937" s="126"/>
      <c r="C937" s="126"/>
      <c r="D937" s="126"/>
      <c r="E937" s="127"/>
      <c r="F937" s="127"/>
      <c r="G937" s="127"/>
      <c r="H937" s="130"/>
      <c r="I937" s="123" t="str">
        <f aca="false">IF(COUNTBLANK(E937:H937)&lt;1,ROUNDUP(SUM(F937:G937)*((100+H937*100)%),0),"")</f>
        <v/>
      </c>
      <c r="J937" s="129"/>
      <c r="K937" s="129"/>
    </row>
    <row r="938" customFormat="false" ht="12.75" hidden="false" customHeight="true" outlineLevel="0" collapsed="false">
      <c r="A938" s="121" t="str">
        <f aca="false">IF(B938="","",CONCATENATE(COUNTA(B$4:B938),"."))</f>
        <v/>
      </c>
      <c r="B938" s="126"/>
      <c r="C938" s="126"/>
      <c r="D938" s="126"/>
      <c r="E938" s="127"/>
      <c r="F938" s="127"/>
      <c r="G938" s="127"/>
      <c r="H938" s="130"/>
      <c r="I938" s="123" t="str">
        <f aca="false">IF(COUNTBLANK(E938:H938)&lt;1,ROUNDUP(SUM(F938:G938)*((100+H938*100)%),0),"")</f>
        <v/>
      </c>
      <c r="J938" s="129"/>
      <c r="K938" s="129"/>
    </row>
    <row r="939" customFormat="false" ht="12.75" hidden="false" customHeight="true" outlineLevel="0" collapsed="false">
      <c r="A939" s="121" t="str">
        <f aca="false">IF(B939="","",CONCATENATE(COUNTA(B$4:B939),"."))</f>
        <v/>
      </c>
      <c r="B939" s="126"/>
      <c r="C939" s="126"/>
      <c r="D939" s="126"/>
      <c r="E939" s="127"/>
      <c r="F939" s="127"/>
      <c r="G939" s="127"/>
      <c r="H939" s="130"/>
      <c r="I939" s="123" t="str">
        <f aca="false">IF(COUNTBLANK(E939:H939)&lt;1,ROUNDUP(SUM(F939:G939)*((100+H939*100)%),0),"")</f>
        <v/>
      </c>
      <c r="J939" s="129"/>
      <c r="K939" s="129"/>
    </row>
    <row r="940" customFormat="false" ht="12.75" hidden="false" customHeight="true" outlineLevel="0" collapsed="false">
      <c r="A940" s="121" t="str">
        <f aca="false">IF(B940="","",CONCATENATE(COUNTA(B$4:B940),"."))</f>
        <v/>
      </c>
      <c r="B940" s="126"/>
      <c r="C940" s="126"/>
      <c r="D940" s="126"/>
      <c r="E940" s="127"/>
      <c r="F940" s="127"/>
      <c r="G940" s="127"/>
      <c r="H940" s="130"/>
      <c r="I940" s="123" t="str">
        <f aca="false">IF(COUNTBLANK(E940:H940)&lt;1,ROUNDUP(SUM(F940:G940)*((100+H940*100)%),0),"")</f>
        <v/>
      </c>
      <c r="J940" s="129"/>
      <c r="K940" s="129"/>
    </row>
    <row r="941" customFormat="false" ht="12.75" hidden="false" customHeight="true" outlineLevel="0" collapsed="false">
      <c r="A941" s="121" t="str">
        <f aca="false">IF(B941="","",CONCATENATE(COUNTA(B$4:B941),"."))</f>
        <v/>
      </c>
      <c r="B941" s="126"/>
      <c r="C941" s="126"/>
      <c r="D941" s="126"/>
      <c r="E941" s="127"/>
      <c r="F941" s="127"/>
      <c r="G941" s="127"/>
      <c r="H941" s="130"/>
      <c r="I941" s="123" t="str">
        <f aca="false">IF(COUNTBLANK(E941:H941)&lt;1,ROUNDUP(SUM(F941:G941)*((100+H941*100)%),0),"")</f>
        <v/>
      </c>
      <c r="J941" s="129"/>
      <c r="K941" s="129"/>
    </row>
    <row r="942" customFormat="false" ht="12.75" hidden="false" customHeight="true" outlineLevel="0" collapsed="false">
      <c r="A942" s="121" t="str">
        <f aca="false">IF(B942="","",CONCATENATE(COUNTA(B$4:B942),"."))</f>
        <v/>
      </c>
      <c r="B942" s="126"/>
      <c r="C942" s="126"/>
      <c r="D942" s="126"/>
      <c r="E942" s="127"/>
      <c r="F942" s="127"/>
      <c r="G942" s="127"/>
      <c r="H942" s="130"/>
      <c r="I942" s="123" t="str">
        <f aca="false">IF(COUNTBLANK(E942:H942)&lt;1,ROUNDUP(SUM(F942:G942)*((100+H942*100)%),0),"")</f>
        <v/>
      </c>
      <c r="J942" s="129"/>
      <c r="K942" s="129"/>
    </row>
    <row r="943" customFormat="false" ht="12.75" hidden="false" customHeight="true" outlineLevel="0" collapsed="false">
      <c r="A943" s="121" t="str">
        <f aca="false">IF(B943="","",CONCATENATE(COUNTA(B$4:B943),"."))</f>
        <v/>
      </c>
      <c r="B943" s="126"/>
      <c r="C943" s="126"/>
      <c r="D943" s="126"/>
      <c r="E943" s="127"/>
      <c r="F943" s="127"/>
      <c r="G943" s="127"/>
      <c r="H943" s="130"/>
      <c r="I943" s="123" t="str">
        <f aca="false">IF(COUNTBLANK(E943:H943)&lt;1,ROUNDUP(SUM(F943:G943)*((100+H943*100)%),0),"")</f>
        <v/>
      </c>
      <c r="J943" s="129"/>
      <c r="K943" s="129"/>
    </row>
    <row r="944" customFormat="false" ht="12.75" hidden="false" customHeight="true" outlineLevel="0" collapsed="false">
      <c r="A944" s="121" t="str">
        <f aca="false">IF(B944="","",CONCATENATE(COUNTA(B$4:B944),"."))</f>
        <v/>
      </c>
      <c r="B944" s="126"/>
      <c r="C944" s="126"/>
      <c r="D944" s="126"/>
      <c r="E944" s="127"/>
      <c r="F944" s="127"/>
      <c r="G944" s="127"/>
      <c r="H944" s="130"/>
      <c r="I944" s="123" t="str">
        <f aca="false">IF(COUNTBLANK(E944:H944)&lt;1,ROUNDUP(SUM(F944:G944)*((100+H944*100)%),0),"")</f>
        <v/>
      </c>
      <c r="J944" s="129"/>
      <c r="K944" s="129"/>
    </row>
    <row r="945" customFormat="false" ht="12.75" hidden="false" customHeight="true" outlineLevel="0" collapsed="false">
      <c r="A945" s="121" t="str">
        <f aca="false">IF(B945="","",CONCATENATE(COUNTA(B$4:B945),"."))</f>
        <v/>
      </c>
      <c r="B945" s="126"/>
      <c r="C945" s="126"/>
      <c r="D945" s="126"/>
      <c r="E945" s="127"/>
      <c r="F945" s="127"/>
      <c r="G945" s="127"/>
      <c r="H945" s="130"/>
      <c r="I945" s="123" t="str">
        <f aca="false">IF(COUNTBLANK(E945:H945)&lt;1,ROUNDUP(SUM(F945:G945)*((100+H945*100)%),0),"")</f>
        <v/>
      </c>
      <c r="J945" s="129"/>
      <c r="K945" s="129"/>
    </row>
    <row r="946" customFormat="false" ht="12.75" hidden="false" customHeight="true" outlineLevel="0" collapsed="false">
      <c r="A946" s="121" t="str">
        <f aca="false">IF(B946="","",CONCATENATE(COUNTA(B$4:B946),"."))</f>
        <v/>
      </c>
      <c r="B946" s="126"/>
      <c r="C946" s="126"/>
      <c r="D946" s="126"/>
      <c r="E946" s="127"/>
      <c r="F946" s="127"/>
      <c r="G946" s="127"/>
      <c r="H946" s="130"/>
      <c r="I946" s="123" t="str">
        <f aca="false">IF(COUNTBLANK(E946:H946)&lt;1,ROUNDUP(SUM(F946:G946)*((100+H946*100)%),0),"")</f>
        <v/>
      </c>
      <c r="J946" s="129"/>
      <c r="K946" s="129"/>
    </row>
    <row r="947" customFormat="false" ht="12.75" hidden="false" customHeight="true" outlineLevel="0" collapsed="false">
      <c r="A947" s="121" t="str">
        <f aca="false">IF(B947="","",CONCATENATE(COUNTA(B$4:B947),"."))</f>
        <v/>
      </c>
      <c r="B947" s="126"/>
      <c r="C947" s="126"/>
      <c r="D947" s="126"/>
      <c r="E947" s="127"/>
      <c r="F947" s="127"/>
      <c r="G947" s="127"/>
      <c r="H947" s="130"/>
      <c r="I947" s="123" t="str">
        <f aca="false">IF(COUNTBLANK(E947:H947)&lt;1,ROUNDUP(SUM(F947:G947)*((100+H947*100)%),0),"")</f>
        <v/>
      </c>
      <c r="J947" s="129"/>
      <c r="K947" s="129"/>
    </row>
    <row r="948" customFormat="false" ht="12.75" hidden="false" customHeight="true" outlineLevel="0" collapsed="false">
      <c r="A948" s="121" t="str">
        <f aca="false">IF(B948="","",CONCATENATE(COUNTA(B$4:B948),"."))</f>
        <v/>
      </c>
      <c r="B948" s="126"/>
      <c r="C948" s="126"/>
      <c r="D948" s="126"/>
      <c r="E948" s="127"/>
      <c r="F948" s="127"/>
      <c r="G948" s="127"/>
      <c r="H948" s="130"/>
      <c r="I948" s="123" t="str">
        <f aca="false">IF(COUNTBLANK(E948:H948)&lt;1,ROUNDUP(SUM(F948:G948)*((100+H948*100)%),0),"")</f>
        <v/>
      </c>
      <c r="J948" s="129"/>
      <c r="K948" s="129"/>
    </row>
    <row r="949" customFormat="false" ht="12.75" hidden="false" customHeight="true" outlineLevel="0" collapsed="false">
      <c r="A949" s="121" t="str">
        <f aca="false">IF(B949="","",CONCATENATE(COUNTA(B$4:B949),"."))</f>
        <v/>
      </c>
      <c r="B949" s="126"/>
      <c r="C949" s="126"/>
      <c r="D949" s="126"/>
      <c r="E949" s="127"/>
      <c r="F949" s="127"/>
      <c r="G949" s="127"/>
      <c r="H949" s="130"/>
      <c r="I949" s="123" t="str">
        <f aca="false">IF(COUNTBLANK(E949:H949)&lt;1,ROUNDUP(SUM(F949:G949)*((100+H949*100)%),0),"")</f>
        <v/>
      </c>
      <c r="J949" s="129"/>
      <c r="K949" s="129"/>
    </row>
    <row r="950" customFormat="false" ht="12.75" hidden="false" customHeight="true" outlineLevel="0" collapsed="false">
      <c r="A950" s="121" t="str">
        <f aca="false">IF(B950="","",CONCATENATE(COUNTA(B$4:B950),"."))</f>
        <v/>
      </c>
      <c r="B950" s="126"/>
      <c r="C950" s="126"/>
      <c r="D950" s="126"/>
      <c r="E950" s="127"/>
      <c r="F950" s="127"/>
      <c r="G950" s="127"/>
      <c r="H950" s="130"/>
      <c r="I950" s="123" t="str">
        <f aca="false">IF(COUNTBLANK(E950:H950)&lt;1,ROUNDUP(SUM(F950:G950)*((100+H950*100)%),0),"")</f>
        <v/>
      </c>
      <c r="J950" s="129"/>
      <c r="K950" s="129"/>
    </row>
    <row r="951" customFormat="false" ht="12.75" hidden="false" customHeight="true" outlineLevel="0" collapsed="false">
      <c r="A951" s="121" t="str">
        <f aca="false">IF(B951="","",CONCATENATE(COUNTA(B$4:B951),"."))</f>
        <v/>
      </c>
      <c r="B951" s="126"/>
      <c r="C951" s="126"/>
      <c r="D951" s="126"/>
      <c r="E951" s="127"/>
      <c r="F951" s="127"/>
      <c r="G951" s="127"/>
      <c r="H951" s="130"/>
      <c r="I951" s="123" t="str">
        <f aca="false">IF(COUNTBLANK(E951:H951)&lt;1,ROUNDUP(SUM(F951:G951)*((100+H951*100)%),0),"")</f>
        <v/>
      </c>
      <c r="J951" s="129"/>
      <c r="K951" s="129"/>
    </row>
    <row r="952" customFormat="false" ht="12.75" hidden="false" customHeight="true" outlineLevel="0" collapsed="false">
      <c r="A952" s="121" t="str">
        <f aca="false">IF(B952="","",CONCATENATE(COUNTA(B$4:B952),"."))</f>
        <v/>
      </c>
      <c r="B952" s="126"/>
      <c r="C952" s="126"/>
      <c r="D952" s="126"/>
      <c r="E952" s="127"/>
      <c r="F952" s="127"/>
      <c r="G952" s="127"/>
      <c r="H952" s="130"/>
      <c r="I952" s="123" t="str">
        <f aca="false">IF(COUNTBLANK(E952:H952)&lt;1,ROUNDUP(SUM(F952:G952)*((100+H952*100)%),0),"")</f>
        <v/>
      </c>
      <c r="J952" s="129"/>
      <c r="K952" s="129"/>
    </row>
    <row r="953" customFormat="false" ht="12.75" hidden="false" customHeight="true" outlineLevel="0" collapsed="false">
      <c r="A953" s="121" t="str">
        <f aca="false">IF(B953="","",CONCATENATE(COUNTA(B$4:B953),"."))</f>
        <v/>
      </c>
      <c r="B953" s="126"/>
      <c r="C953" s="126"/>
      <c r="D953" s="126"/>
      <c r="E953" s="127"/>
      <c r="F953" s="127"/>
      <c r="G953" s="127"/>
      <c r="H953" s="130"/>
      <c r="I953" s="123" t="str">
        <f aca="false">IF(COUNTBLANK(E953:H953)&lt;1,ROUNDUP(SUM(F953:G953)*((100+H953*100)%),0),"")</f>
        <v/>
      </c>
      <c r="J953" s="129"/>
      <c r="K953" s="129"/>
    </row>
    <row r="954" customFormat="false" ht="12.75" hidden="false" customHeight="true" outlineLevel="0" collapsed="false">
      <c r="A954" s="121" t="str">
        <f aca="false">IF(B954="","",CONCATENATE(COUNTA(B$4:B954),"."))</f>
        <v/>
      </c>
      <c r="B954" s="126"/>
      <c r="C954" s="126"/>
      <c r="D954" s="126"/>
      <c r="E954" s="127"/>
      <c r="F954" s="127"/>
      <c r="G954" s="127"/>
      <c r="H954" s="130"/>
      <c r="I954" s="123" t="str">
        <f aca="false">IF(COUNTBLANK(E954:H954)&lt;1,ROUNDUP(SUM(F954:G954)*((100+H954*100)%),0),"")</f>
        <v/>
      </c>
      <c r="J954" s="129"/>
      <c r="K954" s="129"/>
    </row>
    <row r="955" customFormat="false" ht="12.75" hidden="false" customHeight="true" outlineLevel="0" collapsed="false">
      <c r="A955" s="121" t="str">
        <f aca="false">IF(B955="","",CONCATENATE(COUNTA(B$4:B955),"."))</f>
        <v/>
      </c>
      <c r="B955" s="126"/>
      <c r="C955" s="126"/>
      <c r="D955" s="126"/>
      <c r="E955" s="127"/>
      <c r="F955" s="127"/>
      <c r="G955" s="127"/>
      <c r="H955" s="130"/>
      <c r="I955" s="123" t="str">
        <f aca="false">IF(COUNTBLANK(E955:H955)&lt;1,ROUNDUP(SUM(F955:G955)*((100+H955*100)%),0),"")</f>
        <v/>
      </c>
      <c r="J955" s="129"/>
      <c r="K955" s="129"/>
    </row>
    <row r="956" customFormat="false" ht="12.75" hidden="false" customHeight="true" outlineLevel="0" collapsed="false">
      <c r="A956" s="121" t="str">
        <f aca="false">IF(B956="","",CONCATENATE(COUNTA(B$4:B956),"."))</f>
        <v/>
      </c>
      <c r="B956" s="126"/>
      <c r="C956" s="126"/>
      <c r="D956" s="126"/>
      <c r="E956" s="127"/>
      <c r="F956" s="127"/>
      <c r="G956" s="127"/>
      <c r="H956" s="130"/>
      <c r="I956" s="123" t="str">
        <f aca="false">IF(COUNTBLANK(E956:H956)&lt;1,ROUNDUP(SUM(F956:G956)*((100+H956*100)%),0),"")</f>
        <v/>
      </c>
      <c r="J956" s="129"/>
      <c r="K956" s="129"/>
    </row>
    <row r="957" customFormat="false" ht="12.75" hidden="false" customHeight="true" outlineLevel="0" collapsed="false">
      <c r="A957" s="121" t="str">
        <f aca="false">IF(B957="","",CONCATENATE(COUNTA(B$4:B957),"."))</f>
        <v/>
      </c>
      <c r="B957" s="126"/>
      <c r="C957" s="126"/>
      <c r="D957" s="126"/>
      <c r="E957" s="127"/>
      <c r="F957" s="127"/>
      <c r="G957" s="127"/>
      <c r="H957" s="130"/>
      <c r="I957" s="123" t="str">
        <f aca="false">IF(COUNTBLANK(E957:H957)&lt;1,ROUNDUP(SUM(F957:G957)*((100+H957*100)%),0),"")</f>
        <v/>
      </c>
      <c r="J957" s="129"/>
      <c r="K957" s="129"/>
    </row>
    <row r="958" customFormat="false" ht="12.75" hidden="false" customHeight="true" outlineLevel="0" collapsed="false">
      <c r="A958" s="121" t="str">
        <f aca="false">IF(B958="","",CONCATENATE(COUNTA(B$4:B958),"."))</f>
        <v/>
      </c>
      <c r="B958" s="126"/>
      <c r="C958" s="126"/>
      <c r="D958" s="126"/>
      <c r="E958" s="127"/>
      <c r="F958" s="127"/>
      <c r="G958" s="127"/>
      <c r="H958" s="130"/>
      <c r="I958" s="123" t="str">
        <f aca="false">IF(COUNTBLANK(E958:H958)&lt;1,ROUNDUP(SUM(F958:G958)*((100+H958*100)%),0),"")</f>
        <v/>
      </c>
      <c r="J958" s="129"/>
      <c r="K958" s="129"/>
    </row>
    <row r="959" customFormat="false" ht="12.75" hidden="false" customHeight="true" outlineLevel="0" collapsed="false">
      <c r="A959" s="121" t="str">
        <f aca="false">IF(B959="","",CONCATENATE(COUNTA(B$4:B959),"."))</f>
        <v/>
      </c>
      <c r="B959" s="126"/>
      <c r="C959" s="126"/>
      <c r="D959" s="126"/>
      <c r="E959" s="127"/>
      <c r="F959" s="127"/>
      <c r="G959" s="127"/>
      <c r="H959" s="130"/>
      <c r="I959" s="123" t="str">
        <f aca="false">IF(COUNTBLANK(E959:H959)&lt;1,ROUNDUP(SUM(F959:G959)*((100+H959*100)%),0),"")</f>
        <v/>
      </c>
      <c r="J959" s="129"/>
      <c r="K959" s="129"/>
    </row>
    <row r="960" customFormat="false" ht="12.75" hidden="false" customHeight="true" outlineLevel="0" collapsed="false">
      <c r="A960" s="121" t="str">
        <f aca="false">IF(B960="","",CONCATENATE(COUNTA(B$4:B960),"."))</f>
        <v/>
      </c>
      <c r="B960" s="126"/>
      <c r="C960" s="126"/>
      <c r="D960" s="126"/>
      <c r="E960" s="127"/>
      <c r="F960" s="127"/>
      <c r="G960" s="127"/>
      <c r="H960" s="130"/>
      <c r="I960" s="123" t="str">
        <f aca="false">IF(COUNTBLANK(E960:H960)&lt;1,ROUNDUP(SUM(F960:G960)*((100+H960*100)%),0),"")</f>
        <v/>
      </c>
      <c r="J960" s="129"/>
      <c r="K960" s="129"/>
    </row>
    <row r="961" customFormat="false" ht="12.75" hidden="false" customHeight="true" outlineLevel="0" collapsed="false">
      <c r="A961" s="121" t="str">
        <f aca="false">IF(B961="","",CONCATENATE(COUNTA(B$4:B961),"."))</f>
        <v/>
      </c>
      <c r="B961" s="126"/>
      <c r="C961" s="126"/>
      <c r="D961" s="126"/>
      <c r="E961" s="127"/>
      <c r="F961" s="127"/>
      <c r="G961" s="127"/>
      <c r="H961" s="130"/>
      <c r="I961" s="123" t="str">
        <f aca="false">IF(COUNTBLANK(E961:H961)&lt;1,ROUNDUP(SUM(F961:G961)*((100+H961*100)%),0),"")</f>
        <v/>
      </c>
      <c r="J961" s="129"/>
      <c r="K961" s="129"/>
    </row>
    <row r="962" customFormat="false" ht="12.75" hidden="false" customHeight="true" outlineLevel="0" collapsed="false">
      <c r="A962" s="121" t="str">
        <f aca="false">IF(B962="","",CONCATENATE(COUNTA(B$4:B962),"."))</f>
        <v/>
      </c>
      <c r="B962" s="126"/>
      <c r="C962" s="126"/>
      <c r="D962" s="126"/>
      <c r="E962" s="127"/>
      <c r="F962" s="127"/>
      <c r="G962" s="127"/>
      <c r="H962" s="130"/>
      <c r="I962" s="123" t="str">
        <f aca="false">IF(COUNTBLANK(E962:H962)&lt;1,ROUNDUP(SUM(F962:G962)*((100+H962*100)%),0),"")</f>
        <v/>
      </c>
      <c r="J962" s="129"/>
      <c r="K962" s="129"/>
    </row>
    <row r="963" customFormat="false" ht="12.75" hidden="false" customHeight="true" outlineLevel="0" collapsed="false">
      <c r="A963" s="121" t="str">
        <f aca="false">IF(B963="","",CONCATENATE(COUNTA(B$4:B963),"."))</f>
        <v/>
      </c>
      <c r="B963" s="126"/>
      <c r="C963" s="126"/>
      <c r="D963" s="126"/>
      <c r="E963" s="127"/>
      <c r="F963" s="127"/>
      <c r="G963" s="127"/>
      <c r="H963" s="130"/>
      <c r="I963" s="123" t="str">
        <f aca="false">IF(COUNTBLANK(E963:H963)&lt;1,ROUNDUP(SUM(F963:G963)*((100+H963*100)%),0),"")</f>
        <v/>
      </c>
      <c r="J963" s="129"/>
      <c r="K963" s="129"/>
    </row>
    <row r="964" customFormat="false" ht="12.75" hidden="false" customHeight="true" outlineLevel="0" collapsed="false">
      <c r="A964" s="121" t="str">
        <f aca="false">IF(B964="","",CONCATENATE(COUNTA(B$4:B964),"."))</f>
        <v/>
      </c>
      <c r="B964" s="126"/>
      <c r="C964" s="126"/>
      <c r="D964" s="126"/>
      <c r="E964" s="127"/>
      <c r="F964" s="127"/>
      <c r="G964" s="127"/>
      <c r="H964" s="130"/>
      <c r="I964" s="123" t="str">
        <f aca="false">IF(COUNTBLANK(E964:H964)&lt;1,ROUNDUP(SUM(F964:G964)*((100+H964*100)%),0),"")</f>
        <v/>
      </c>
      <c r="J964" s="129"/>
      <c r="K964" s="129"/>
    </row>
    <row r="965" customFormat="false" ht="12.75" hidden="false" customHeight="true" outlineLevel="0" collapsed="false">
      <c r="A965" s="121" t="str">
        <f aca="false">IF(B965="","",CONCATENATE(COUNTA(B$4:B965),"."))</f>
        <v/>
      </c>
      <c r="B965" s="126"/>
      <c r="C965" s="126"/>
      <c r="D965" s="126"/>
      <c r="E965" s="127"/>
      <c r="F965" s="127"/>
      <c r="G965" s="127"/>
      <c r="H965" s="130"/>
      <c r="I965" s="123" t="str">
        <f aca="false">IF(COUNTBLANK(E965:H965)&lt;1,ROUNDUP(SUM(F965:G965)*((100+H965*100)%),0),"")</f>
        <v/>
      </c>
      <c r="J965" s="129"/>
      <c r="K965" s="129"/>
    </row>
    <row r="966" customFormat="false" ht="12.75" hidden="false" customHeight="true" outlineLevel="0" collapsed="false">
      <c r="A966" s="121" t="str">
        <f aca="false">IF(B966="","",CONCATENATE(COUNTA(B$4:B966),"."))</f>
        <v/>
      </c>
      <c r="B966" s="126"/>
      <c r="C966" s="126"/>
      <c r="D966" s="126"/>
      <c r="E966" s="127"/>
      <c r="F966" s="127"/>
      <c r="G966" s="127"/>
      <c r="H966" s="130"/>
      <c r="I966" s="123" t="str">
        <f aca="false">IF(COUNTBLANK(E966:H966)&lt;1,ROUNDUP(SUM(F966:G966)*((100+H966*100)%),0),"")</f>
        <v/>
      </c>
      <c r="J966" s="129"/>
      <c r="K966" s="129"/>
    </row>
    <row r="967" customFormat="false" ht="12.75" hidden="false" customHeight="true" outlineLevel="0" collapsed="false">
      <c r="A967" s="121" t="str">
        <f aca="false">IF(B967="","",CONCATENATE(COUNTA(B$4:B967),"."))</f>
        <v/>
      </c>
      <c r="B967" s="126"/>
      <c r="C967" s="126"/>
      <c r="D967" s="126"/>
      <c r="E967" s="127"/>
      <c r="F967" s="127"/>
      <c r="G967" s="127"/>
      <c r="H967" s="130"/>
      <c r="I967" s="123" t="str">
        <f aca="false">IF(COUNTBLANK(E967:H967)&lt;1,ROUNDUP(SUM(F967:G967)*((100+H967*100)%),0),"")</f>
        <v/>
      </c>
      <c r="J967" s="129"/>
      <c r="K967" s="129"/>
    </row>
    <row r="968" customFormat="false" ht="12.75" hidden="false" customHeight="true" outlineLevel="0" collapsed="false">
      <c r="A968" s="121" t="str">
        <f aca="false">IF(B968="","",CONCATENATE(COUNTA(B$4:B968),"."))</f>
        <v/>
      </c>
      <c r="B968" s="126"/>
      <c r="C968" s="126"/>
      <c r="D968" s="126"/>
      <c r="E968" s="127"/>
      <c r="F968" s="127"/>
      <c r="G968" s="127"/>
      <c r="H968" s="130"/>
      <c r="I968" s="123" t="str">
        <f aca="false">IF(COUNTBLANK(E968:H968)&lt;1,ROUNDUP(SUM(F968:G968)*((100+H968*100)%),0),"")</f>
        <v/>
      </c>
      <c r="J968" s="129"/>
      <c r="K968" s="129"/>
    </row>
    <row r="969" customFormat="false" ht="12.75" hidden="false" customHeight="true" outlineLevel="0" collapsed="false">
      <c r="A969" s="121" t="str">
        <f aca="false">IF(B969="","",CONCATENATE(COUNTA(B$4:B969),"."))</f>
        <v/>
      </c>
      <c r="B969" s="126"/>
      <c r="C969" s="126"/>
      <c r="D969" s="126"/>
      <c r="E969" s="127"/>
      <c r="F969" s="127"/>
      <c r="G969" s="127"/>
      <c r="H969" s="130"/>
      <c r="I969" s="123" t="str">
        <f aca="false">IF(COUNTBLANK(E969:H969)&lt;1,ROUNDUP(SUM(F969:G969)*((100+H969*100)%),0),"")</f>
        <v/>
      </c>
      <c r="J969" s="129"/>
      <c r="K969" s="129"/>
    </row>
    <row r="970" customFormat="false" ht="12.75" hidden="false" customHeight="true" outlineLevel="0" collapsed="false">
      <c r="A970" s="121" t="str">
        <f aca="false">IF(B970="","",CONCATENATE(COUNTA(B$4:B970),"."))</f>
        <v/>
      </c>
      <c r="B970" s="126"/>
      <c r="C970" s="126"/>
      <c r="D970" s="126"/>
      <c r="E970" s="127"/>
      <c r="F970" s="127"/>
      <c r="G970" s="127"/>
      <c r="H970" s="130"/>
      <c r="I970" s="123" t="str">
        <f aca="false">IF(COUNTBLANK(E970:H970)&lt;1,ROUNDUP(SUM(F970:G970)*((100+H970*100)%),0),"")</f>
        <v/>
      </c>
      <c r="J970" s="129"/>
      <c r="K970" s="129"/>
    </row>
    <row r="971" customFormat="false" ht="12.75" hidden="false" customHeight="true" outlineLevel="0" collapsed="false">
      <c r="A971" s="121" t="str">
        <f aca="false">IF(B971="","",CONCATENATE(COUNTA(B$4:B971),"."))</f>
        <v/>
      </c>
      <c r="B971" s="126"/>
      <c r="C971" s="126"/>
      <c r="D971" s="126"/>
      <c r="E971" s="127"/>
      <c r="F971" s="127"/>
      <c r="G971" s="127"/>
      <c r="H971" s="130"/>
      <c r="I971" s="123" t="str">
        <f aca="false">IF(COUNTBLANK(E971:H971)&lt;1,ROUNDUP(SUM(F971:G971)*((100+H971*100)%),0),"")</f>
        <v/>
      </c>
      <c r="J971" s="129"/>
      <c r="K971" s="129"/>
    </row>
    <row r="972" customFormat="false" ht="12.75" hidden="false" customHeight="true" outlineLevel="0" collapsed="false">
      <c r="A972" s="121" t="str">
        <f aca="false">IF(B972="","",CONCATENATE(COUNTA(B$4:B972),"."))</f>
        <v/>
      </c>
      <c r="B972" s="126"/>
      <c r="C972" s="126"/>
      <c r="D972" s="126"/>
      <c r="E972" s="127"/>
      <c r="F972" s="127"/>
      <c r="G972" s="127"/>
      <c r="H972" s="130"/>
      <c r="I972" s="123" t="str">
        <f aca="false">IF(COUNTBLANK(E972:H972)&lt;1,ROUNDUP(SUM(F972:G972)*((100+H972*100)%),0),"")</f>
        <v/>
      </c>
      <c r="J972" s="129"/>
      <c r="K972" s="129"/>
    </row>
    <row r="973" customFormat="false" ht="12.75" hidden="false" customHeight="true" outlineLevel="0" collapsed="false">
      <c r="A973" s="121" t="str">
        <f aca="false">IF(B973="","",CONCATENATE(COUNTA(B$4:B973),"."))</f>
        <v/>
      </c>
      <c r="B973" s="126"/>
      <c r="C973" s="126"/>
      <c r="D973" s="126"/>
      <c r="E973" s="127"/>
      <c r="F973" s="127"/>
      <c r="G973" s="127"/>
      <c r="H973" s="130"/>
      <c r="I973" s="123" t="str">
        <f aca="false">IF(COUNTBLANK(E973:H973)&lt;1,ROUNDUP(SUM(F973:G973)*((100+H973*100)%),0),"")</f>
        <v/>
      </c>
      <c r="J973" s="129"/>
      <c r="K973" s="129"/>
    </row>
    <row r="974" customFormat="false" ht="12.75" hidden="false" customHeight="true" outlineLevel="0" collapsed="false">
      <c r="A974" s="121" t="str">
        <f aca="false">IF(B974="","",CONCATENATE(COUNTA(B$4:B974),"."))</f>
        <v/>
      </c>
      <c r="B974" s="126"/>
      <c r="C974" s="126"/>
      <c r="D974" s="126"/>
      <c r="E974" s="127"/>
      <c r="F974" s="127"/>
      <c r="G974" s="127"/>
      <c r="H974" s="130"/>
      <c r="I974" s="123" t="str">
        <f aca="false">IF(COUNTBLANK(E974:H974)&lt;1,ROUNDUP(SUM(F974:G974)*((100+H974*100)%),0),"")</f>
        <v/>
      </c>
      <c r="J974" s="129"/>
      <c r="K974" s="129"/>
    </row>
    <row r="975" customFormat="false" ht="12.75" hidden="false" customHeight="true" outlineLevel="0" collapsed="false">
      <c r="A975" s="121" t="str">
        <f aca="false">IF(B975="","",CONCATENATE(COUNTA(B$4:B975),"."))</f>
        <v/>
      </c>
      <c r="B975" s="126"/>
      <c r="C975" s="126"/>
      <c r="D975" s="126"/>
      <c r="E975" s="127"/>
      <c r="F975" s="127"/>
      <c r="G975" s="127"/>
      <c r="H975" s="130"/>
      <c r="I975" s="123" t="str">
        <f aca="false">IF(COUNTBLANK(E975:H975)&lt;1,ROUNDUP(SUM(F975:G975)*((100+H975*100)%),0),"")</f>
        <v/>
      </c>
      <c r="J975" s="129"/>
      <c r="K975" s="129"/>
    </row>
    <row r="976" customFormat="false" ht="12.75" hidden="false" customHeight="true" outlineLevel="0" collapsed="false">
      <c r="A976" s="121" t="str">
        <f aca="false">IF(B976="","",CONCATENATE(COUNTA(B$4:B976),"."))</f>
        <v/>
      </c>
      <c r="B976" s="126"/>
      <c r="C976" s="126"/>
      <c r="D976" s="126"/>
      <c r="E976" s="127"/>
      <c r="F976" s="127"/>
      <c r="G976" s="127"/>
      <c r="H976" s="130"/>
      <c r="I976" s="123" t="str">
        <f aca="false">IF(COUNTBLANK(E976:H976)&lt;1,ROUNDUP(SUM(F976:G976)*((100+H976*100)%),0),"")</f>
        <v/>
      </c>
      <c r="J976" s="129"/>
      <c r="K976" s="129"/>
    </row>
    <row r="977" customFormat="false" ht="12.75" hidden="false" customHeight="true" outlineLevel="0" collapsed="false">
      <c r="A977" s="121" t="str">
        <f aca="false">IF(B977="","",CONCATENATE(COUNTA(B$4:B977),"."))</f>
        <v/>
      </c>
      <c r="B977" s="126"/>
      <c r="C977" s="126"/>
      <c r="D977" s="126"/>
      <c r="E977" s="127"/>
      <c r="F977" s="127"/>
      <c r="G977" s="127"/>
      <c r="H977" s="130"/>
      <c r="I977" s="123" t="str">
        <f aca="false">IF(COUNTBLANK(E977:H977)&lt;1,ROUNDUP(SUM(F977:G977)*((100+H977*100)%),0),"")</f>
        <v/>
      </c>
      <c r="J977" s="129"/>
      <c r="K977" s="129"/>
    </row>
    <row r="978" customFormat="false" ht="12.75" hidden="false" customHeight="true" outlineLevel="0" collapsed="false">
      <c r="A978" s="121" t="str">
        <f aca="false">IF(B978="","",CONCATENATE(COUNTA(B$4:B978),"."))</f>
        <v/>
      </c>
      <c r="B978" s="126"/>
      <c r="C978" s="126"/>
      <c r="D978" s="126"/>
      <c r="E978" s="127"/>
      <c r="F978" s="127"/>
      <c r="G978" s="127"/>
      <c r="H978" s="130"/>
      <c r="I978" s="123" t="str">
        <f aca="false">IF(COUNTBLANK(E978:H978)&lt;1,ROUNDUP(SUM(F978:G978)*((100+H978*100)%),0),"")</f>
        <v/>
      </c>
      <c r="J978" s="129"/>
      <c r="K978" s="129"/>
    </row>
    <row r="979" customFormat="false" ht="12.75" hidden="false" customHeight="true" outlineLevel="0" collapsed="false">
      <c r="A979" s="121" t="str">
        <f aca="false">IF(B979="","",CONCATENATE(COUNTA(B$4:B979),"."))</f>
        <v/>
      </c>
      <c r="B979" s="126"/>
      <c r="C979" s="126"/>
      <c r="D979" s="126"/>
      <c r="E979" s="127"/>
      <c r="F979" s="127"/>
      <c r="G979" s="127"/>
      <c r="H979" s="130"/>
      <c r="I979" s="123" t="str">
        <f aca="false">IF(COUNTBLANK(E979:H979)&lt;1,ROUNDUP(SUM(F979:G979)*((100+H979*100)%),0),"")</f>
        <v/>
      </c>
      <c r="J979" s="129"/>
      <c r="K979" s="129"/>
    </row>
    <row r="980" customFormat="false" ht="12.75" hidden="false" customHeight="true" outlineLevel="0" collapsed="false">
      <c r="A980" s="121" t="str">
        <f aca="false">IF(B980="","",CONCATENATE(COUNTA(B$4:B980),"."))</f>
        <v/>
      </c>
      <c r="B980" s="126"/>
      <c r="C980" s="126"/>
      <c r="D980" s="126"/>
      <c r="E980" s="127"/>
      <c r="F980" s="127"/>
      <c r="G980" s="127"/>
      <c r="H980" s="130"/>
      <c r="I980" s="123" t="str">
        <f aca="false">IF(COUNTBLANK(E980:H980)&lt;1,ROUNDUP(SUM(F980:G980)*((100+H980*100)%),0),"")</f>
        <v/>
      </c>
      <c r="J980" s="129"/>
      <c r="K980" s="129"/>
    </row>
    <row r="981" customFormat="false" ht="12.75" hidden="false" customHeight="true" outlineLevel="0" collapsed="false">
      <c r="A981" s="121" t="str">
        <f aca="false">IF(B981="","",CONCATENATE(COUNTA(B$4:B981),"."))</f>
        <v/>
      </c>
      <c r="B981" s="126"/>
      <c r="C981" s="126"/>
      <c r="D981" s="126"/>
      <c r="E981" s="127"/>
      <c r="F981" s="127"/>
      <c r="G981" s="127"/>
      <c r="H981" s="130"/>
      <c r="I981" s="123" t="str">
        <f aca="false">IF(COUNTBLANK(E981:H981)&lt;1,ROUNDUP(SUM(F981:G981)*((100+H981*100)%),0),"")</f>
        <v/>
      </c>
      <c r="J981" s="129"/>
      <c r="K981" s="129"/>
    </row>
    <row r="982" customFormat="false" ht="12.75" hidden="false" customHeight="true" outlineLevel="0" collapsed="false">
      <c r="A982" s="121" t="str">
        <f aca="false">IF(B982="","",CONCATENATE(COUNTA(B$4:B982),"."))</f>
        <v/>
      </c>
      <c r="B982" s="126"/>
      <c r="C982" s="126"/>
      <c r="D982" s="126"/>
      <c r="E982" s="127"/>
      <c r="F982" s="127"/>
      <c r="G982" s="127"/>
      <c r="H982" s="130"/>
      <c r="I982" s="123" t="str">
        <f aca="false">IF(COUNTBLANK(E982:H982)&lt;1,ROUNDUP(SUM(F982:G982)*((100+H982*100)%),0),"")</f>
        <v/>
      </c>
      <c r="J982" s="129"/>
      <c r="K982" s="129"/>
    </row>
    <row r="983" customFormat="false" ht="12.75" hidden="false" customHeight="true" outlineLevel="0" collapsed="false">
      <c r="A983" s="121" t="str">
        <f aca="false">IF(B983="","",CONCATENATE(COUNTA(B$4:B983),"."))</f>
        <v/>
      </c>
      <c r="B983" s="126"/>
      <c r="C983" s="126"/>
      <c r="D983" s="126"/>
      <c r="E983" s="127"/>
      <c r="F983" s="127"/>
      <c r="G983" s="127"/>
      <c r="H983" s="130"/>
      <c r="I983" s="123" t="str">
        <f aca="false">IF(COUNTBLANK(E983:H983)&lt;1,ROUNDUP(SUM(F983:G983)*((100+H983*100)%),0),"")</f>
        <v/>
      </c>
      <c r="J983" s="129"/>
      <c r="K983" s="129"/>
    </row>
    <row r="984" customFormat="false" ht="12.75" hidden="false" customHeight="true" outlineLevel="0" collapsed="false">
      <c r="A984" s="121" t="str">
        <f aca="false">IF(B984="","",CONCATENATE(COUNTA(B$4:B984),"."))</f>
        <v/>
      </c>
      <c r="B984" s="126"/>
      <c r="C984" s="126"/>
      <c r="D984" s="126"/>
      <c r="E984" s="127"/>
      <c r="F984" s="127"/>
      <c r="G984" s="127"/>
      <c r="H984" s="130"/>
      <c r="I984" s="123" t="str">
        <f aca="false">IF(COUNTBLANK(E984:H984)&lt;1,ROUNDUP(SUM(F984:G984)*((100+H984*100)%),0),"")</f>
        <v/>
      </c>
      <c r="J984" s="129"/>
      <c r="K984" s="129"/>
    </row>
    <row r="985" customFormat="false" ht="12.75" hidden="false" customHeight="true" outlineLevel="0" collapsed="false">
      <c r="A985" s="121" t="str">
        <f aca="false">IF(B985="","",CONCATENATE(COUNTA(B$4:B985),"."))</f>
        <v/>
      </c>
      <c r="B985" s="126"/>
      <c r="C985" s="126"/>
      <c r="D985" s="126"/>
      <c r="E985" s="127"/>
      <c r="F985" s="127"/>
      <c r="G985" s="127"/>
      <c r="H985" s="130"/>
      <c r="I985" s="123" t="str">
        <f aca="false">IF(COUNTBLANK(E985:H985)&lt;1,ROUNDUP(SUM(F985:G985)*((100+H985*100)%),0),"")</f>
        <v/>
      </c>
      <c r="J985" s="129"/>
      <c r="K985" s="129"/>
    </row>
    <row r="986" customFormat="false" ht="12.75" hidden="false" customHeight="true" outlineLevel="0" collapsed="false">
      <c r="A986" s="121" t="str">
        <f aca="false">IF(B986="","",CONCATENATE(COUNTA(B$4:B986),"."))</f>
        <v/>
      </c>
      <c r="B986" s="126"/>
      <c r="C986" s="126"/>
      <c r="D986" s="126"/>
      <c r="E986" s="127"/>
      <c r="F986" s="127"/>
      <c r="G986" s="127"/>
      <c r="H986" s="130"/>
      <c r="I986" s="123" t="str">
        <f aca="false">IF(COUNTBLANK(E986:H986)&lt;1,ROUNDUP(SUM(F986:G986)*((100+H986*100)%),0),"")</f>
        <v/>
      </c>
      <c r="J986" s="129"/>
      <c r="K986" s="129"/>
    </row>
    <row r="987" customFormat="false" ht="12.75" hidden="false" customHeight="true" outlineLevel="0" collapsed="false">
      <c r="A987" s="121" t="str">
        <f aca="false">IF(B987="","",CONCATENATE(COUNTA(B$4:B987),"."))</f>
        <v/>
      </c>
      <c r="B987" s="126"/>
      <c r="C987" s="126"/>
      <c r="D987" s="126"/>
      <c r="E987" s="127"/>
      <c r="F987" s="127"/>
      <c r="G987" s="127"/>
      <c r="H987" s="130"/>
      <c r="I987" s="123" t="str">
        <f aca="false">IF(COUNTBLANK(E987:H987)&lt;1,ROUNDUP(SUM(F987:G987)*((100+H987*100)%),0),"")</f>
        <v/>
      </c>
      <c r="J987" s="129"/>
      <c r="K987" s="129"/>
    </row>
    <row r="988" customFormat="false" ht="12.75" hidden="false" customHeight="true" outlineLevel="0" collapsed="false">
      <c r="A988" s="121" t="str">
        <f aca="false">IF(B988="","",CONCATENATE(COUNTA(B$4:B988),"."))</f>
        <v/>
      </c>
      <c r="B988" s="126"/>
      <c r="C988" s="126"/>
      <c r="D988" s="126"/>
      <c r="E988" s="127"/>
      <c r="F988" s="127"/>
      <c r="G988" s="127"/>
      <c r="H988" s="130"/>
      <c r="I988" s="123" t="str">
        <f aca="false">IF(COUNTBLANK(E988:H988)&lt;1,ROUNDUP(SUM(F988:G988)*((100+H988*100)%),0),"")</f>
        <v/>
      </c>
      <c r="J988" s="129"/>
      <c r="K988" s="129"/>
    </row>
    <row r="989" customFormat="false" ht="12.75" hidden="false" customHeight="true" outlineLevel="0" collapsed="false">
      <c r="A989" s="121" t="str">
        <f aca="false">IF(B989="","",CONCATENATE(COUNTA(B$4:B989),"."))</f>
        <v/>
      </c>
      <c r="B989" s="126"/>
      <c r="C989" s="126"/>
      <c r="D989" s="126"/>
      <c r="E989" s="127"/>
      <c r="F989" s="127"/>
      <c r="G989" s="127"/>
      <c r="H989" s="130"/>
      <c r="I989" s="123" t="str">
        <f aca="false">IF(COUNTBLANK(E989:H989)&lt;1,ROUNDUP(SUM(F989:G989)*((100+H989*100)%),0),"")</f>
        <v/>
      </c>
      <c r="J989" s="129"/>
      <c r="K989" s="129"/>
    </row>
    <row r="990" customFormat="false" ht="12.75" hidden="false" customHeight="true" outlineLevel="0" collapsed="false">
      <c r="A990" s="121" t="str">
        <f aca="false">IF(B990="","",CONCATENATE(COUNTA(B$4:B990),"."))</f>
        <v/>
      </c>
      <c r="B990" s="126"/>
      <c r="C990" s="126"/>
      <c r="D990" s="126"/>
      <c r="E990" s="127"/>
      <c r="F990" s="127"/>
      <c r="G990" s="127"/>
      <c r="H990" s="130"/>
      <c r="I990" s="123" t="str">
        <f aca="false">IF(COUNTBLANK(E990:H990)&lt;1,ROUNDUP(SUM(F990:G990)*((100+H990*100)%),0),"")</f>
        <v/>
      </c>
      <c r="J990" s="129"/>
      <c r="K990" s="129"/>
    </row>
    <row r="991" customFormat="false" ht="12.75" hidden="false" customHeight="true" outlineLevel="0" collapsed="false">
      <c r="A991" s="121" t="str">
        <f aca="false">IF(B991="","",CONCATENATE(COUNTA(B$4:B991),"."))</f>
        <v/>
      </c>
      <c r="B991" s="126"/>
      <c r="C991" s="126"/>
      <c r="D991" s="126"/>
      <c r="E991" s="127"/>
      <c r="F991" s="127"/>
      <c r="G991" s="127"/>
      <c r="H991" s="130"/>
      <c r="I991" s="123" t="str">
        <f aca="false">IF(COUNTBLANK(E991:H991)&lt;1,ROUNDUP(SUM(F991:G991)*((100+H991*100)%),0),"")</f>
        <v/>
      </c>
      <c r="J991" s="129"/>
      <c r="K991" s="129"/>
    </row>
    <row r="992" customFormat="false" ht="12.75" hidden="false" customHeight="true" outlineLevel="0" collapsed="false">
      <c r="A992" s="121" t="str">
        <f aca="false">IF(B992="","",CONCATENATE(COUNTA(B$4:B992),"."))</f>
        <v/>
      </c>
      <c r="B992" s="126"/>
      <c r="C992" s="126"/>
      <c r="D992" s="126"/>
      <c r="E992" s="127"/>
      <c r="F992" s="127"/>
      <c r="G992" s="127"/>
      <c r="H992" s="130"/>
      <c r="I992" s="123" t="str">
        <f aca="false">IF(COUNTBLANK(E992:H992)&lt;1,ROUNDUP(SUM(F992:G992)*((100+H992*100)%),0),"")</f>
        <v/>
      </c>
      <c r="J992" s="129"/>
      <c r="K992" s="129"/>
    </row>
    <row r="993" customFormat="false" ht="12.75" hidden="false" customHeight="true" outlineLevel="0" collapsed="false">
      <c r="A993" s="121" t="str">
        <f aca="false">IF(B993="","",CONCATENATE(COUNTA(B$4:B993),"."))</f>
        <v/>
      </c>
      <c r="B993" s="126"/>
      <c r="C993" s="126"/>
      <c r="D993" s="126"/>
      <c r="E993" s="127"/>
      <c r="F993" s="127"/>
      <c r="G993" s="127"/>
      <c r="H993" s="130"/>
      <c r="I993" s="123" t="str">
        <f aca="false">IF(COUNTBLANK(E993:H993)&lt;1,ROUNDUP(SUM(F993:G993)*((100+H993*100)%),0),"")</f>
        <v/>
      </c>
      <c r="J993" s="129"/>
      <c r="K993" s="129"/>
    </row>
    <row r="994" customFormat="false" ht="12.75" hidden="false" customHeight="true" outlineLevel="0" collapsed="false">
      <c r="A994" s="121" t="str">
        <f aca="false">IF(B994="","",CONCATENATE(COUNTA(B$4:B994),"."))</f>
        <v/>
      </c>
      <c r="B994" s="126"/>
      <c r="C994" s="126"/>
      <c r="D994" s="126"/>
      <c r="E994" s="127"/>
      <c r="F994" s="127"/>
      <c r="G994" s="127"/>
      <c r="H994" s="130"/>
      <c r="I994" s="123" t="str">
        <f aca="false">IF(COUNTBLANK(E994:H994)&lt;1,ROUNDUP(SUM(F994:G994)*((100+H994*100)%),0),"")</f>
        <v/>
      </c>
      <c r="J994" s="129"/>
      <c r="K994" s="129"/>
    </row>
    <row r="995" customFormat="false" ht="12.75" hidden="false" customHeight="true" outlineLevel="0" collapsed="false">
      <c r="A995" s="121" t="str">
        <f aca="false">IF(B995="","",CONCATENATE(COUNTA(B$4:B995),"."))</f>
        <v/>
      </c>
      <c r="B995" s="126"/>
      <c r="C995" s="126"/>
      <c r="D995" s="126"/>
      <c r="E995" s="127"/>
      <c r="F995" s="127"/>
      <c r="G995" s="127"/>
      <c r="H995" s="130"/>
      <c r="I995" s="123" t="str">
        <f aca="false">IF(COUNTBLANK(E995:H995)&lt;1,ROUNDUP(SUM(F995:G995)*((100+H995*100)%),0),"")</f>
        <v/>
      </c>
      <c r="J995" s="129"/>
      <c r="K995" s="129"/>
    </row>
    <row r="996" customFormat="false" ht="12.75" hidden="false" customHeight="true" outlineLevel="0" collapsed="false">
      <c r="A996" s="121" t="str">
        <f aca="false">IF(B996="","",CONCATENATE(COUNTA(B$4:B996),"."))</f>
        <v/>
      </c>
      <c r="B996" s="126"/>
      <c r="C996" s="126"/>
      <c r="D996" s="126"/>
      <c r="E996" s="127"/>
      <c r="F996" s="127"/>
      <c r="G996" s="127"/>
      <c r="H996" s="130"/>
      <c r="I996" s="123" t="str">
        <f aca="false">IF(COUNTBLANK(E996:H996)&lt;1,ROUNDUP(SUM(F996:G996)*((100+H996*100)%),0),"")</f>
        <v/>
      </c>
      <c r="J996" s="129"/>
      <c r="K996" s="129"/>
    </row>
    <row r="997" customFormat="false" ht="12.75" hidden="false" customHeight="true" outlineLevel="0" collapsed="false">
      <c r="A997" s="121" t="str">
        <f aca="false">IF(B997="","",CONCATENATE(COUNTA(B$4:B997),"."))</f>
        <v/>
      </c>
      <c r="B997" s="126"/>
      <c r="C997" s="126"/>
      <c r="D997" s="126"/>
      <c r="E997" s="127"/>
      <c r="F997" s="127"/>
      <c r="G997" s="127"/>
      <c r="H997" s="130"/>
      <c r="I997" s="123" t="str">
        <f aca="false">IF(COUNTBLANK(E997:H997)&lt;1,ROUNDUP(SUM(F997:G997)*((100+H997*100)%),0),"")</f>
        <v/>
      </c>
      <c r="J997" s="129"/>
      <c r="K997" s="129"/>
    </row>
    <row r="998" customFormat="false" ht="12.75" hidden="false" customHeight="true" outlineLevel="0" collapsed="false">
      <c r="A998" s="121" t="str">
        <f aca="false">IF(B998="","",CONCATENATE(COUNTA(B$4:B998),"."))</f>
        <v/>
      </c>
      <c r="B998" s="126"/>
      <c r="C998" s="126"/>
      <c r="D998" s="126"/>
      <c r="E998" s="127"/>
      <c r="F998" s="127"/>
      <c r="G998" s="127"/>
      <c r="H998" s="130"/>
      <c r="I998" s="123" t="str">
        <f aca="false">IF(COUNTBLANK(E998:H998)&lt;1,ROUNDUP(SUM(F998:G998)*((100+H998*100)%),0),"")</f>
        <v/>
      </c>
      <c r="J998" s="129"/>
      <c r="K998" s="129"/>
    </row>
    <row r="999" customFormat="false" ht="12" hidden="false" customHeight="true" outlineLevel="0" collapsed="false">
      <c r="A999" s="131"/>
    </row>
    <row r="1000" customFormat="false" ht="12" hidden="false" customHeight="true" outlineLevel="0" collapsed="false">
      <c r="A1000" s="131"/>
    </row>
  </sheetData>
  <mergeCells count="1001">
    <mergeCell ref="A1:A3"/>
    <mergeCell ref="B1:C1"/>
    <mergeCell ref="D1:G1"/>
    <mergeCell ref="H1:K1"/>
    <mergeCell ref="B2:G2"/>
    <mergeCell ref="J3:K3"/>
    <mergeCell ref="J4:K4"/>
    <mergeCell ref="J5:K5"/>
    <mergeCell ref="J6:K6"/>
    <mergeCell ref="J7:K7"/>
    <mergeCell ref="J8:K8"/>
    <mergeCell ref="J9:K9"/>
    <mergeCell ref="J10:K10"/>
    <mergeCell ref="J11:K11"/>
    <mergeCell ref="J12:K12"/>
    <mergeCell ref="J13:K13"/>
    <mergeCell ref="J14:K14"/>
    <mergeCell ref="J15:K15"/>
    <mergeCell ref="J16:K16"/>
    <mergeCell ref="J17:K17"/>
    <mergeCell ref="J18:K18"/>
    <mergeCell ref="J19:K19"/>
    <mergeCell ref="J20:K20"/>
    <mergeCell ref="J21:K21"/>
    <mergeCell ref="J22:K22"/>
    <mergeCell ref="J23:K23"/>
    <mergeCell ref="J24:K24"/>
    <mergeCell ref="J25:K25"/>
    <mergeCell ref="J26:K26"/>
    <mergeCell ref="J27:K27"/>
    <mergeCell ref="J28:K28"/>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J77:K77"/>
    <mergeCell ref="J78:K78"/>
    <mergeCell ref="J79:K79"/>
    <mergeCell ref="J80:K80"/>
    <mergeCell ref="J81:K81"/>
    <mergeCell ref="J82:K82"/>
    <mergeCell ref="J83:K8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J114:K114"/>
    <mergeCell ref="J115:K115"/>
    <mergeCell ref="J116:K116"/>
    <mergeCell ref="J117:K117"/>
    <mergeCell ref="J118:K118"/>
    <mergeCell ref="J119:K119"/>
    <mergeCell ref="J120:K120"/>
    <mergeCell ref="J121:K121"/>
    <mergeCell ref="J122:K122"/>
    <mergeCell ref="J123:K123"/>
    <mergeCell ref="J124:K124"/>
    <mergeCell ref="J125:K125"/>
    <mergeCell ref="J126:K126"/>
    <mergeCell ref="J127:K127"/>
    <mergeCell ref="J128:K128"/>
    <mergeCell ref="J129:K129"/>
    <mergeCell ref="J130:K130"/>
    <mergeCell ref="J131:K131"/>
    <mergeCell ref="J132:K132"/>
    <mergeCell ref="J133:K133"/>
    <mergeCell ref="J134:K134"/>
    <mergeCell ref="J135:K135"/>
    <mergeCell ref="J136:K136"/>
    <mergeCell ref="J137:K137"/>
    <mergeCell ref="J138:K138"/>
    <mergeCell ref="J139:K139"/>
    <mergeCell ref="J140:K140"/>
    <mergeCell ref="J141:K141"/>
    <mergeCell ref="J142:K142"/>
    <mergeCell ref="J143:K143"/>
    <mergeCell ref="J144:K144"/>
    <mergeCell ref="J145:K145"/>
    <mergeCell ref="J146:K146"/>
    <mergeCell ref="J147:K147"/>
    <mergeCell ref="J148:K148"/>
    <mergeCell ref="J149:K149"/>
    <mergeCell ref="J150:K150"/>
    <mergeCell ref="J151:K151"/>
    <mergeCell ref="J152:K152"/>
    <mergeCell ref="J153:K153"/>
    <mergeCell ref="J154:K154"/>
    <mergeCell ref="J155:K155"/>
    <mergeCell ref="J156:K156"/>
    <mergeCell ref="J157:K157"/>
    <mergeCell ref="J158:K158"/>
    <mergeCell ref="J159:K159"/>
    <mergeCell ref="J160:K160"/>
    <mergeCell ref="J161:K161"/>
    <mergeCell ref="J162:K162"/>
    <mergeCell ref="J163:K163"/>
    <mergeCell ref="J164:K164"/>
    <mergeCell ref="J165:K165"/>
    <mergeCell ref="J166:K166"/>
    <mergeCell ref="J167:K167"/>
    <mergeCell ref="J168:K168"/>
    <mergeCell ref="J169:K169"/>
    <mergeCell ref="J170:K170"/>
    <mergeCell ref="J171:K171"/>
    <mergeCell ref="J172:K172"/>
    <mergeCell ref="J173:K173"/>
    <mergeCell ref="J174:K174"/>
    <mergeCell ref="J175:K175"/>
    <mergeCell ref="J176:K176"/>
    <mergeCell ref="J177:K177"/>
    <mergeCell ref="J178:K178"/>
    <mergeCell ref="J179:K179"/>
    <mergeCell ref="J180:K180"/>
    <mergeCell ref="J181:K181"/>
    <mergeCell ref="J182:K182"/>
    <mergeCell ref="J183:K183"/>
    <mergeCell ref="J184:K184"/>
    <mergeCell ref="J185:K185"/>
    <mergeCell ref="J186:K186"/>
    <mergeCell ref="J187:K187"/>
    <mergeCell ref="J188:K188"/>
    <mergeCell ref="J189:K189"/>
    <mergeCell ref="J190:K190"/>
    <mergeCell ref="J191:K191"/>
    <mergeCell ref="J192:K192"/>
    <mergeCell ref="J193:K193"/>
    <mergeCell ref="J194:K194"/>
    <mergeCell ref="J195:K195"/>
    <mergeCell ref="J196:K196"/>
    <mergeCell ref="J197:K197"/>
    <mergeCell ref="J198:K198"/>
    <mergeCell ref="J199:K199"/>
    <mergeCell ref="J200:K200"/>
    <mergeCell ref="J201:K201"/>
    <mergeCell ref="J202:K202"/>
    <mergeCell ref="J203:K203"/>
    <mergeCell ref="J204:K204"/>
    <mergeCell ref="J205:K205"/>
    <mergeCell ref="J206:K206"/>
    <mergeCell ref="J207:K207"/>
    <mergeCell ref="J208:K208"/>
    <mergeCell ref="J209:K209"/>
    <mergeCell ref="J210:K210"/>
    <mergeCell ref="J211:K211"/>
    <mergeCell ref="J212:K212"/>
    <mergeCell ref="J213:K213"/>
    <mergeCell ref="J214:K214"/>
    <mergeCell ref="J215:K215"/>
    <mergeCell ref="J216:K216"/>
    <mergeCell ref="J217:K217"/>
    <mergeCell ref="J218:K218"/>
    <mergeCell ref="J219:K219"/>
    <mergeCell ref="J220:K220"/>
    <mergeCell ref="J221:K221"/>
    <mergeCell ref="J222:K222"/>
    <mergeCell ref="J223:K223"/>
    <mergeCell ref="J224:K224"/>
    <mergeCell ref="J225:K225"/>
    <mergeCell ref="J226:K226"/>
    <mergeCell ref="J227:K227"/>
    <mergeCell ref="J228:K228"/>
    <mergeCell ref="J229:K229"/>
    <mergeCell ref="J230:K230"/>
    <mergeCell ref="J231:K231"/>
    <mergeCell ref="J232:K232"/>
    <mergeCell ref="J233:K233"/>
    <mergeCell ref="J234:K234"/>
    <mergeCell ref="J235:K235"/>
    <mergeCell ref="J236:K236"/>
    <mergeCell ref="J237:K237"/>
    <mergeCell ref="J238:K238"/>
    <mergeCell ref="J239:K239"/>
    <mergeCell ref="J240:K240"/>
    <mergeCell ref="J241:K241"/>
    <mergeCell ref="J242:K242"/>
    <mergeCell ref="J243:K243"/>
    <mergeCell ref="J244:K244"/>
    <mergeCell ref="J245:K245"/>
    <mergeCell ref="J246:K246"/>
    <mergeCell ref="J247:K247"/>
    <mergeCell ref="J248:K248"/>
    <mergeCell ref="J249:K249"/>
    <mergeCell ref="J250:K250"/>
    <mergeCell ref="J251:K251"/>
    <mergeCell ref="J252:K252"/>
    <mergeCell ref="J253:K253"/>
    <mergeCell ref="J254:K254"/>
    <mergeCell ref="J255:K255"/>
    <mergeCell ref="J256:K256"/>
    <mergeCell ref="J257:K257"/>
    <mergeCell ref="J258:K258"/>
    <mergeCell ref="J259:K259"/>
    <mergeCell ref="J260:K260"/>
    <mergeCell ref="J261:K261"/>
    <mergeCell ref="J262:K262"/>
    <mergeCell ref="J263:K263"/>
    <mergeCell ref="J264:K264"/>
    <mergeCell ref="J265:K265"/>
    <mergeCell ref="J266:K266"/>
    <mergeCell ref="J267:K267"/>
    <mergeCell ref="J268:K268"/>
    <mergeCell ref="J269:K269"/>
    <mergeCell ref="J270:K270"/>
    <mergeCell ref="J271:K271"/>
    <mergeCell ref="J272:K272"/>
    <mergeCell ref="J273:K273"/>
    <mergeCell ref="J274:K274"/>
    <mergeCell ref="J275:K275"/>
    <mergeCell ref="J276:K276"/>
    <mergeCell ref="J277:K277"/>
    <mergeCell ref="J278:K278"/>
    <mergeCell ref="J279:K279"/>
    <mergeCell ref="J280:K280"/>
    <mergeCell ref="J281:K281"/>
    <mergeCell ref="J282:K282"/>
    <mergeCell ref="J283:K283"/>
    <mergeCell ref="J284:K284"/>
    <mergeCell ref="J285:K285"/>
    <mergeCell ref="J286:K286"/>
    <mergeCell ref="J287:K287"/>
    <mergeCell ref="J288:K288"/>
    <mergeCell ref="J289:K289"/>
    <mergeCell ref="J290:K290"/>
    <mergeCell ref="J291:K291"/>
    <mergeCell ref="J292:K292"/>
    <mergeCell ref="J293:K293"/>
    <mergeCell ref="J294:K294"/>
    <mergeCell ref="J295:K295"/>
    <mergeCell ref="J296:K296"/>
    <mergeCell ref="J297:K297"/>
    <mergeCell ref="J298:K298"/>
    <mergeCell ref="J299:K299"/>
    <mergeCell ref="J300:K300"/>
    <mergeCell ref="J301:K301"/>
    <mergeCell ref="J302:K302"/>
    <mergeCell ref="J303:K303"/>
    <mergeCell ref="J304:K304"/>
    <mergeCell ref="J305:K305"/>
    <mergeCell ref="J306:K306"/>
    <mergeCell ref="J307:K307"/>
    <mergeCell ref="J308:K308"/>
    <mergeCell ref="J309:K309"/>
    <mergeCell ref="J310:K310"/>
    <mergeCell ref="J311:K311"/>
    <mergeCell ref="J312:K312"/>
    <mergeCell ref="J313:K313"/>
    <mergeCell ref="J314:K314"/>
    <mergeCell ref="J315:K315"/>
    <mergeCell ref="J316:K316"/>
    <mergeCell ref="J317:K317"/>
    <mergeCell ref="J318:K318"/>
    <mergeCell ref="J319:K319"/>
    <mergeCell ref="J320:K320"/>
    <mergeCell ref="J321:K321"/>
    <mergeCell ref="J322:K322"/>
    <mergeCell ref="J323:K323"/>
    <mergeCell ref="J324:K324"/>
    <mergeCell ref="J325:K325"/>
    <mergeCell ref="J326:K326"/>
    <mergeCell ref="J327:K327"/>
    <mergeCell ref="J328:K328"/>
    <mergeCell ref="J329:K329"/>
    <mergeCell ref="J330:K330"/>
    <mergeCell ref="J331:K331"/>
    <mergeCell ref="J332:K332"/>
    <mergeCell ref="J333:K333"/>
    <mergeCell ref="J334:K334"/>
    <mergeCell ref="J335:K335"/>
    <mergeCell ref="J336:K336"/>
    <mergeCell ref="J337:K337"/>
    <mergeCell ref="J338:K338"/>
    <mergeCell ref="J339:K339"/>
    <mergeCell ref="J340:K340"/>
    <mergeCell ref="J341:K341"/>
    <mergeCell ref="J342:K342"/>
    <mergeCell ref="J343:K343"/>
    <mergeCell ref="J344:K344"/>
    <mergeCell ref="J345:K345"/>
    <mergeCell ref="J346:K346"/>
    <mergeCell ref="J347:K347"/>
    <mergeCell ref="J348:K348"/>
    <mergeCell ref="J349:K349"/>
    <mergeCell ref="J350:K350"/>
    <mergeCell ref="J351:K351"/>
    <mergeCell ref="J352:K352"/>
    <mergeCell ref="J353:K353"/>
    <mergeCell ref="J354:K354"/>
    <mergeCell ref="J355:K355"/>
    <mergeCell ref="J356:K356"/>
    <mergeCell ref="J357:K357"/>
    <mergeCell ref="J358:K358"/>
    <mergeCell ref="J359:K359"/>
    <mergeCell ref="J360:K360"/>
    <mergeCell ref="J361:K361"/>
    <mergeCell ref="J362:K362"/>
    <mergeCell ref="J363:K363"/>
    <mergeCell ref="J364:K364"/>
    <mergeCell ref="J365:K365"/>
    <mergeCell ref="J366:K366"/>
    <mergeCell ref="J367:K367"/>
    <mergeCell ref="J368:K368"/>
    <mergeCell ref="J369:K369"/>
    <mergeCell ref="J370:K370"/>
    <mergeCell ref="J371:K371"/>
    <mergeCell ref="J372:K372"/>
    <mergeCell ref="J373:K373"/>
    <mergeCell ref="J374:K374"/>
    <mergeCell ref="J375:K375"/>
    <mergeCell ref="J376:K376"/>
    <mergeCell ref="J377:K377"/>
    <mergeCell ref="J378:K378"/>
    <mergeCell ref="J379:K379"/>
    <mergeCell ref="J380:K380"/>
    <mergeCell ref="J381:K381"/>
    <mergeCell ref="J382:K382"/>
    <mergeCell ref="J383:K383"/>
    <mergeCell ref="J384:K384"/>
    <mergeCell ref="J385:K385"/>
    <mergeCell ref="J386:K386"/>
    <mergeCell ref="J387:K387"/>
    <mergeCell ref="J388:K388"/>
    <mergeCell ref="J389:K389"/>
    <mergeCell ref="J390:K390"/>
    <mergeCell ref="J391:K391"/>
    <mergeCell ref="J392:K392"/>
    <mergeCell ref="J393:K393"/>
    <mergeCell ref="J394:K394"/>
    <mergeCell ref="J395:K395"/>
    <mergeCell ref="J396:K396"/>
    <mergeCell ref="J397:K397"/>
    <mergeCell ref="J398:K398"/>
    <mergeCell ref="J399:K399"/>
    <mergeCell ref="J400:K400"/>
    <mergeCell ref="J401:K401"/>
    <mergeCell ref="J402:K402"/>
    <mergeCell ref="J403:K403"/>
    <mergeCell ref="J404:K404"/>
    <mergeCell ref="J405:K405"/>
    <mergeCell ref="J406:K406"/>
    <mergeCell ref="J407:K407"/>
    <mergeCell ref="J408:K408"/>
    <mergeCell ref="J409:K409"/>
    <mergeCell ref="J410:K410"/>
    <mergeCell ref="J411:K411"/>
    <mergeCell ref="J412:K412"/>
    <mergeCell ref="J413:K413"/>
    <mergeCell ref="J414:K414"/>
    <mergeCell ref="J415:K415"/>
    <mergeCell ref="J416:K416"/>
    <mergeCell ref="J417:K417"/>
    <mergeCell ref="J418:K418"/>
    <mergeCell ref="J419:K419"/>
    <mergeCell ref="J420:K420"/>
    <mergeCell ref="J421:K421"/>
    <mergeCell ref="J422:K422"/>
    <mergeCell ref="J423:K423"/>
    <mergeCell ref="J424:K424"/>
    <mergeCell ref="J425:K425"/>
    <mergeCell ref="J426:K426"/>
    <mergeCell ref="J427:K427"/>
    <mergeCell ref="J428:K428"/>
    <mergeCell ref="J429:K429"/>
    <mergeCell ref="J430:K430"/>
    <mergeCell ref="J431:K431"/>
    <mergeCell ref="J432:K432"/>
    <mergeCell ref="J433:K433"/>
    <mergeCell ref="J434:K434"/>
    <mergeCell ref="J435:K435"/>
    <mergeCell ref="J436:K436"/>
    <mergeCell ref="J437:K437"/>
    <mergeCell ref="J438:K438"/>
    <mergeCell ref="J439:K439"/>
    <mergeCell ref="J440:K440"/>
    <mergeCell ref="J441:K441"/>
    <mergeCell ref="J442:K442"/>
    <mergeCell ref="J443:K443"/>
    <mergeCell ref="J444:K444"/>
    <mergeCell ref="J445:K445"/>
    <mergeCell ref="J446:K446"/>
    <mergeCell ref="J447:K447"/>
    <mergeCell ref="J448:K448"/>
    <mergeCell ref="J449:K449"/>
    <mergeCell ref="J450:K450"/>
    <mergeCell ref="J451:K451"/>
    <mergeCell ref="J452:K452"/>
    <mergeCell ref="J453:K453"/>
    <mergeCell ref="J454:K454"/>
    <mergeCell ref="J455:K455"/>
    <mergeCell ref="J456:K456"/>
    <mergeCell ref="J457:K457"/>
    <mergeCell ref="J458:K458"/>
    <mergeCell ref="J459:K459"/>
    <mergeCell ref="J460:K460"/>
    <mergeCell ref="J461:K461"/>
    <mergeCell ref="J462:K462"/>
    <mergeCell ref="J463:K463"/>
    <mergeCell ref="J464:K464"/>
    <mergeCell ref="J465:K465"/>
    <mergeCell ref="J466:K466"/>
    <mergeCell ref="J467:K467"/>
    <mergeCell ref="J468:K468"/>
    <mergeCell ref="J469:K469"/>
    <mergeCell ref="J470:K470"/>
    <mergeCell ref="J471:K471"/>
    <mergeCell ref="J472:K472"/>
    <mergeCell ref="J473:K473"/>
    <mergeCell ref="J474:K474"/>
    <mergeCell ref="J475:K475"/>
    <mergeCell ref="J476:K476"/>
    <mergeCell ref="J477:K477"/>
    <mergeCell ref="J478:K478"/>
    <mergeCell ref="J479:K479"/>
    <mergeCell ref="J480:K480"/>
    <mergeCell ref="J481:K481"/>
    <mergeCell ref="J482:K482"/>
    <mergeCell ref="J483:K483"/>
    <mergeCell ref="J484:K484"/>
    <mergeCell ref="J485:K485"/>
    <mergeCell ref="J486:K486"/>
    <mergeCell ref="J487:K487"/>
    <mergeCell ref="J488:K488"/>
    <mergeCell ref="J489:K489"/>
    <mergeCell ref="J490:K490"/>
    <mergeCell ref="J491:K491"/>
    <mergeCell ref="J492:K492"/>
    <mergeCell ref="J493:K493"/>
    <mergeCell ref="J494:K494"/>
    <mergeCell ref="J495:K495"/>
    <mergeCell ref="J496:K496"/>
    <mergeCell ref="J497:K497"/>
    <mergeCell ref="J498:K498"/>
    <mergeCell ref="J499:K499"/>
    <mergeCell ref="J500:K500"/>
    <mergeCell ref="J501:K501"/>
    <mergeCell ref="J502:K502"/>
    <mergeCell ref="J503:K503"/>
    <mergeCell ref="J504:K504"/>
    <mergeCell ref="J505:K505"/>
    <mergeCell ref="J506:K506"/>
    <mergeCell ref="J507:K507"/>
    <mergeCell ref="J508:K508"/>
    <mergeCell ref="J509:K509"/>
    <mergeCell ref="J510:K510"/>
    <mergeCell ref="J511:K511"/>
    <mergeCell ref="J512:K512"/>
    <mergeCell ref="J513:K513"/>
    <mergeCell ref="J514:K514"/>
    <mergeCell ref="J515:K515"/>
    <mergeCell ref="J516:K516"/>
    <mergeCell ref="J517:K517"/>
    <mergeCell ref="J518:K518"/>
    <mergeCell ref="J519:K519"/>
    <mergeCell ref="J520:K520"/>
    <mergeCell ref="J521:K521"/>
    <mergeCell ref="J522:K522"/>
    <mergeCell ref="J523:K523"/>
    <mergeCell ref="J524:K524"/>
    <mergeCell ref="J525:K525"/>
    <mergeCell ref="J526:K526"/>
    <mergeCell ref="J527:K527"/>
    <mergeCell ref="J528:K528"/>
    <mergeCell ref="J529:K529"/>
    <mergeCell ref="J530:K530"/>
    <mergeCell ref="J531:K531"/>
    <mergeCell ref="J532:K532"/>
    <mergeCell ref="J533:K533"/>
    <mergeCell ref="J534:K534"/>
    <mergeCell ref="J535:K535"/>
    <mergeCell ref="J536:K536"/>
    <mergeCell ref="J537:K537"/>
    <mergeCell ref="J538:K538"/>
    <mergeCell ref="J539:K539"/>
    <mergeCell ref="J540:K540"/>
    <mergeCell ref="J541:K541"/>
    <mergeCell ref="J542:K542"/>
    <mergeCell ref="J543:K543"/>
    <mergeCell ref="J544:K544"/>
    <mergeCell ref="J545:K545"/>
    <mergeCell ref="J546:K546"/>
    <mergeCell ref="J547:K547"/>
    <mergeCell ref="J548:K548"/>
    <mergeCell ref="J549:K549"/>
    <mergeCell ref="J550:K550"/>
    <mergeCell ref="J551:K551"/>
    <mergeCell ref="J552:K552"/>
    <mergeCell ref="J553:K553"/>
    <mergeCell ref="J554:K554"/>
    <mergeCell ref="J555:K555"/>
    <mergeCell ref="J556:K556"/>
    <mergeCell ref="J557:K557"/>
    <mergeCell ref="J558:K558"/>
    <mergeCell ref="J559:K559"/>
    <mergeCell ref="J560:K560"/>
    <mergeCell ref="J561:K561"/>
    <mergeCell ref="J562:K562"/>
    <mergeCell ref="J563:K563"/>
    <mergeCell ref="J564:K564"/>
    <mergeCell ref="J565:K565"/>
    <mergeCell ref="J566:K566"/>
    <mergeCell ref="J567:K567"/>
    <mergeCell ref="J568:K568"/>
    <mergeCell ref="J569:K569"/>
    <mergeCell ref="J570:K570"/>
    <mergeCell ref="J571:K571"/>
    <mergeCell ref="J572:K572"/>
    <mergeCell ref="J573:K573"/>
    <mergeCell ref="J574:K574"/>
    <mergeCell ref="J575:K575"/>
    <mergeCell ref="J576:K576"/>
    <mergeCell ref="J577:K577"/>
    <mergeCell ref="J578:K578"/>
    <mergeCell ref="J579:K579"/>
    <mergeCell ref="J580:K580"/>
    <mergeCell ref="J581:K581"/>
    <mergeCell ref="J582:K582"/>
    <mergeCell ref="J583:K583"/>
    <mergeCell ref="J584:K584"/>
    <mergeCell ref="J585:K585"/>
    <mergeCell ref="J586:K586"/>
    <mergeCell ref="J587:K587"/>
    <mergeCell ref="J588:K588"/>
    <mergeCell ref="J589:K589"/>
    <mergeCell ref="J590:K590"/>
    <mergeCell ref="J591:K591"/>
    <mergeCell ref="J592:K592"/>
    <mergeCell ref="J593:K593"/>
    <mergeCell ref="J594:K594"/>
    <mergeCell ref="J595:K595"/>
    <mergeCell ref="J596:K596"/>
    <mergeCell ref="J597:K597"/>
    <mergeCell ref="J598:K598"/>
    <mergeCell ref="J599:K599"/>
    <mergeCell ref="J600:K600"/>
    <mergeCell ref="J601:K601"/>
    <mergeCell ref="J602:K602"/>
    <mergeCell ref="J603:K603"/>
    <mergeCell ref="J604:K604"/>
    <mergeCell ref="J605:K605"/>
    <mergeCell ref="J606:K606"/>
    <mergeCell ref="J607:K607"/>
    <mergeCell ref="J608:K608"/>
    <mergeCell ref="J609:K609"/>
    <mergeCell ref="J610:K610"/>
    <mergeCell ref="J611:K611"/>
    <mergeCell ref="J612:K612"/>
    <mergeCell ref="J613:K613"/>
    <mergeCell ref="J614:K614"/>
    <mergeCell ref="J615:K615"/>
    <mergeCell ref="J616:K616"/>
    <mergeCell ref="J617:K617"/>
    <mergeCell ref="J618:K618"/>
    <mergeCell ref="J619:K619"/>
    <mergeCell ref="J620:K620"/>
    <mergeCell ref="J621:K621"/>
    <mergeCell ref="J622:K622"/>
    <mergeCell ref="J623:K623"/>
    <mergeCell ref="J624:K624"/>
    <mergeCell ref="J625:K625"/>
    <mergeCell ref="J626:K626"/>
    <mergeCell ref="J627:K627"/>
    <mergeCell ref="J628:K628"/>
    <mergeCell ref="J629:K629"/>
    <mergeCell ref="J630:K630"/>
    <mergeCell ref="J631:K631"/>
    <mergeCell ref="J632:K632"/>
    <mergeCell ref="J633:K633"/>
    <mergeCell ref="J634:K634"/>
    <mergeCell ref="J635:K635"/>
    <mergeCell ref="J636:K636"/>
    <mergeCell ref="J637:K637"/>
    <mergeCell ref="J638:K638"/>
    <mergeCell ref="J639:K639"/>
    <mergeCell ref="J640:K640"/>
    <mergeCell ref="J641:K641"/>
    <mergeCell ref="J642:K642"/>
    <mergeCell ref="J643:K643"/>
    <mergeCell ref="J644:K644"/>
    <mergeCell ref="J645:K645"/>
    <mergeCell ref="J646:K646"/>
    <mergeCell ref="J647:K647"/>
    <mergeCell ref="J648:K648"/>
    <mergeCell ref="J649:K649"/>
    <mergeCell ref="J650:K650"/>
    <mergeCell ref="J651:K651"/>
    <mergeCell ref="J652:K652"/>
    <mergeCell ref="J653:K653"/>
    <mergeCell ref="J654:K654"/>
    <mergeCell ref="J655:K655"/>
    <mergeCell ref="J656:K656"/>
    <mergeCell ref="J657:K657"/>
    <mergeCell ref="J658:K658"/>
    <mergeCell ref="J659:K659"/>
    <mergeCell ref="J660:K660"/>
    <mergeCell ref="J661:K661"/>
    <mergeCell ref="J662:K662"/>
    <mergeCell ref="J663:K663"/>
    <mergeCell ref="J664:K664"/>
    <mergeCell ref="J665:K665"/>
    <mergeCell ref="J666:K666"/>
    <mergeCell ref="J667:K667"/>
    <mergeCell ref="J668:K668"/>
    <mergeCell ref="J669:K669"/>
    <mergeCell ref="J670:K670"/>
    <mergeCell ref="J671:K671"/>
    <mergeCell ref="J672:K672"/>
    <mergeCell ref="J673:K673"/>
    <mergeCell ref="J674:K674"/>
    <mergeCell ref="J675:K675"/>
    <mergeCell ref="J676:K676"/>
    <mergeCell ref="J677:K677"/>
    <mergeCell ref="J678:K678"/>
    <mergeCell ref="J679:K679"/>
    <mergeCell ref="J680:K680"/>
    <mergeCell ref="J681:K681"/>
    <mergeCell ref="J682:K682"/>
    <mergeCell ref="J683:K683"/>
    <mergeCell ref="J684:K684"/>
    <mergeCell ref="J685:K685"/>
    <mergeCell ref="J686:K686"/>
    <mergeCell ref="J687:K687"/>
    <mergeCell ref="J688:K688"/>
    <mergeCell ref="J689:K689"/>
    <mergeCell ref="J690:K690"/>
    <mergeCell ref="J691:K691"/>
    <mergeCell ref="J692:K692"/>
    <mergeCell ref="J693:K693"/>
    <mergeCell ref="J694:K694"/>
    <mergeCell ref="J695:K695"/>
    <mergeCell ref="J696:K696"/>
    <mergeCell ref="J697:K697"/>
    <mergeCell ref="J698:K698"/>
    <mergeCell ref="J699:K699"/>
    <mergeCell ref="J700:K700"/>
    <mergeCell ref="J701:K701"/>
    <mergeCell ref="J702:K702"/>
    <mergeCell ref="J703:K703"/>
    <mergeCell ref="J704:K704"/>
    <mergeCell ref="J705:K705"/>
    <mergeCell ref="J706:K706"/>
    <mergeCell ref="J707:K707"/>
    <mergeCell ref="J708:K708"/>
    <mergeCell ref="J709:K709"/>
    <mergeCell ref="J710:K710"/>
    <mergeCell ref="J711:K711"/>
    <mergeCell ref="J712:K712"/>
    <mergeCell ref="J713:K713"/>
    <mergeCell ref="J714:K714"/>
    <mergeCell ref="J715:K715"/>
    <mergeCell ref="J716:K716"/>
    <mergeCell ref="J717:K717"/>
    <mergeCell ref="J718:K718"/>
    <mergeCell ref="J719:K719"/>
    <mergeCell ref="J720:K720"/>
    <mergeCell ref="J721:K721"/>
    <mergeCell ref="J722:K722"/>
    <mergeCell ref="J723:K723"/>
    <mergeCell ref="J724:K724"/>
    <mergeCell ref="J725:K725"/>
    <mergeCell ref="J726:K726"/>
    <mergeCell ref="J727:K727"/>
    <mergeCell ref="J728:K728"/>
    <mergeCell ref="J729:K729"/>
    <mergeCell ref="J730:K730"/>
    <mergeCell ref="J731:K731"/>
    <mergeCell ref="J732:K732"/>
    <mergeCell ref="J733:K733"/>
    <mergeCell ref="J734:K734"/>
    <mergeCell ref="J735:K735"/>
    <mergeCell ref="J736:K736"/>
    <mergeCell ref="J737:K737"/>
    <mergeCell ref="J738:K738"/>
    <mergeCell ref="J739:K739"/>
    <mergeCell ref="J740:K740"/>
    <mergeCell ref="J741:K741"/>
    <mergeCell ref="J742:K742"/>
    <mergeCell ref="J743:K743"/>
    <mergeCell ref="J744:K744"/>
    <mergeCell ref="J745:K745"/>
    <mergeCell ref="J746:K746"/>
    <mergeCell ref="J747:K747"/>
    <mergeCell ref="J748:K748"/>
    <mergeCell ref="J749:K749"/>
    <mergeCell ref="J750:K750"/>
    <mergeCell ref="J751:K751"/>
    <mergeCell ref="J752:K752"/>
    <mergeCell ref="J753:K753"/>
    <mergeCell ref="J754:K754"/>
    <mergeCell ref="J755:K755"/>
    <mergeCell ref="J756:K756"/>
    <mergeCell ref="J757:K757"/>
    <mergeCell ref="J758:K758"/>
    <mergeCell ref="J759:K759"/>
    <mergeCell ref="J760:K760"/>
    <mergeCell ref="J761:K761"/>
    <mergeCell ref="J762:K762"/>
    <mergeCell ref="J763:K763"/>
    <mergeCell ref="J764:K764"/>
    <mergeCell ref="J765:K765"/>
    <mergeCell ref="J766:K766"/>
    <mergeCell ref="J767:K767"/>
    <mergeCell ref="J768:K768"/>
    <mergeCell ref="J769:K769"/>
    <mergeCell ref="J770:K770"/>
    <mergeCell ref="J771:K771"/>
    <mergeCell ref="J772:K772"/>
    <mergeCell ref="J773:K773"/>
    <mergeCell ref="J774:K774"/>
    <mergeCell ref="J775:K775"/>
    <mergeCell ref="J776:K776"/>
    <mergeCell ref="J777:K777"/>
    <mergeCell ref="J778:K778"/>
    <mergeCell ref="J779:K779"/>
    <mergeCell ref="J780:K780"/>
    <mergeCell ref="J781:K781"/>
    <mergeCell ref="J782:K782"/>
    <mergeCell ref="J783:K783"/>
    <mergeCell ref="J784:K784"/>
    <mergeCell ref="J785:K785"/>
    <mergeCell ref="J786:K786"/>
    <mergeCell ref="J787:K787"/>
    <mergeCell ref="J788:K788"/>
    <mergeCell ref="J789:K789"/>
    <mergeCell ref="J790:K790"/>
    <mergeCell ref="J791:K791"/>
    <mergeCell ref="J792:K792"/>
    <mergeCell ref="J793:K793"/>
    <mergeCell ref="J794:K794"/>
    <mergeCell ref="J795:K795"/>
    <mergeCell ref="J796:K796"/>
    <mergeCell ref="J797:K797"/>
    <mergeCell ref="J798:K798"/>
    <mergeCell ref="J799:K799"/>
    <mergeCell ref="J800:K800"/>
    <mergeCell ref="J801:K801"/>
    <mergeCell ref="J802:K802"/>
    <mergeCell ref="J803:K803"/>
    <mergeCell ref="J804:K804"/>
    <mergeCell ref="J805:K805"/>
    <mergeCell ref="J806:K806"/>
    <mergeCell ref="J807:K807"/>
    <mergeCell ref="J808:K808"/>
    <mergeCell ref="J809:K809"/>
    <mergeCell ref="J810:K810"/>
    <mergeCell ref="J811:K811"/>
    <mergeCell ref="J812:K812"/>
    <mergeCell ref="J813:K813"/>
    <mergeCell ref="J814:K814"/>
    <mergeCell ref="J815:K815"/>
    <mergeCell ref="J816:K816"/>
    <mergeCell ref="J817:K817"/>
    <mergeCell ref="J818:K818"/>
    <mergeCell ref="J819:K819"/>
    <mergeCell ref="J820:K820"/>
    <mergeCell ref="J821:K821"/>
    <mergeCell ref="J822:K822"/>
    <mergeCell ref="J823:K823"/>
    <mergeCell ref="J824:K824"/>
    <mergeCell ref="J825:K825"/>
    <mergeCell ref="J826:K826"/>
    <mergeCell ref="J827:K827"/>
    <mergeCell ref="J828:K828"/>
    <mergeCell ref="J829:K829"/>
    <mergeCell ref="J830:K830"/>
    <mergeCell ref="J831:K831"/>
    <mergeCell ref="J832:K832"/>
    <mergeCell ref="J833:K833"/>
    <mergeCell ref="J834:K834"/>
    <mergeCell ref="J835:K835"/>
    <mergeCell ref="J836:K836"/>
    <mergeCell ref="J837:K837"/>
    <mergeCell ref="J838:K838"/>
    <mergeCell ref="J839:K839"/>
    <mergeCell ref="J840:K840"/>
    <mergeCell ref="J841:K841"/>
    <mergeCell ref="J842:K842"/>
    <mergeCell ref="J843:K843"/>
    <mergeCell ref="J844:K844"/>
    <mergeCell ref="J845:K845"/>
    <mergeCell ref="J846:K846"/>
    <mergeCell ref="J847:K847"/>
    <mergeCell ref="J848:K848"/>
    <mergeCell ref="J849:K849"/>
    <mergeCell ref="J850:K850"/>
    <mergeCell ref="J851:K851"/>
    <mergeCell ref="J852:K852"/>
    <mergeCell ref="J853:K853"/>
    <mergeCell ref="J854:K854"/>
    <mergeCell ref="J855:K855"/>
    <mergeCell ref="J856:K856"/>
    <mergeCell ref="J857:K857"/>
    <mergeCell ref="J858:K858"/>
    <mergeCell ref="J859:K859"/>
    <mergeCell ref="J860:K860"/>
    <mergeCell ref="J861:K861"/>
    <mergeCell ref="J862:K862"/>
    <mergeCell ref="J863:K863"/>
    <mergeCell ref="J864:K864"/>
    <mergeCell ref="J865:K865"/>
    <mergeCell ref="J866:K866"/>
    <mergeCell ref="J867:K867"/>
    <mergeCell ref="J868:K868"/>
    <mergeCell ref="J869:K869"/>
    <mergeCell ref="J870:K870"/>
    <mergeCell ref="J871:K871"/>
    <mergeCell ref="J872:K872"/>
    <mergeCell ref="J873:K873"/>
    <mergeCell ref="J874:K874"/>
    <mergeCell ref="J875:K875"/>
    <mergeCell ref="J876:K876"/>
    <mergeCell ref="J877:K877"/>
    <mergeCell ref="J878:K878"/>
    <mergeCell ref="J879:K879"/>
    <mergeCell ref="J880:K880"/>
    <mergeCell ref="J881:K881"/>
    <mergeCell ref="J882:K882"/>
    <mergeCell ref="J883:K883"/>
    <mergeCell ref="J884:K884"/>
    <mergeCell ref="J885:K885"/>
    <mergeCell ref="J886:K886"/>
    <mergeCell ref="J887:K887"/>
    <mergeCell ref="J888:K888"/>
    <mergeCell ref="J889:K889"/>
    <mergeCell ref="J890:K890"/>
    <mergeCell ref="J891:K891"/>
    <mergeCell ref="J892:K892"/>
    <mergeCell ref="J893:K893"/>
    <mergeCell ref="J894:K894"/>
    <mergeCell ref="J895:K895"/>
    <mergeCell ref="J896:K896"/>
    <mergeCell ref="J897:K897"/>
    <mergeCell ref="J898:K898"/>
    <mergeCell ref="J899:K899"/>
    <mergeCell ref="J900:K900"/>
    <mergeCell ref="J901:K901"/>
    <mergeCell ref="J902:K902"/>
    <mergeCell ref="J903:K903"/>
    <mergeCell ref="J904:K904"/>
    <mergeCell ref="J905:K905"/>
    <mergeCell ref="J906:K906"/>
    <mergeCell ref="J907:K907"/>
    <mergeCell ref="J908:K908"/>
    <mergeCell ref="J909:K909"/>
    <mergeCell ref="J910:K910"/>
    <mergeCell ref="J911:K911"/>
    <mergeCell ref="J912:K912"/>
    <mergeCell ref="J913:K913"/>
    <mergeCell ref="J914:K914"/>
    <mergeCell ref="J915:K915"/>
    <mergeCell ref="J916:K916"/>
    <mergeCell ref="J917:K917"/>
    <mergeCell ref="J918:K918"/>
    <mergeCell ref="J919:K919"/>
    <mergeCell ref="J920:K920"/>
    <mergeCell ref="J921:K921"/>
    <mergeCell ref="J922:K922"/>
    <mergeCell ref="J923:K923"/>
    <mergeCell ref="J924:K924"/>
    <mergeCell ref="J925:K925"/>
    <mergeCell ref="J926:K926"/>
    <mergeCell ref="J927:K927"/>
    <mergeCell ref="J928:K928"/>
    <mergeCell ref="J929:K929"/>
    <mergeCell ref="J930:K930"/>
    <mergeCell ref="J931:K931"/>
    <mergeCell ref="J932:K932"/>
    <mergeCell ref="J933:K933"/>
    <mergeCell ref="J934:K934"/>
    <mergeCell ref="J935:K935"/>
    <mergeCell ref="J936:K936"/>
    <mergeCell ref="J937:K937"/>
    <mergeCell ref="J938:K938"/>
    <mergeCell ref="J939:K939"/>
    <mergeCell ref="J940:K940"/>
    <mergeCell ref="J941:K941"/>
    <mergeCell ref="J942:K942"/>
    <mergeCell ref="J943:K943"/>
    <mergeCell ref="J944:K944"/>
    <mergeCell ref="J945:K945"/>
    <mergeCell ref="J946:K946"/>
    <mergeCell ref="J947:K947"/>
    <mergeCell ref="J948:K948"/>
    <mergeCell ref="J949:K949"/>
    <mergeCell ref="J950:K950"/>
    <mergeCell ref="J951:K951"/>
    <mergeCell ref="J952:K952"/>
    <mergeCell ref="J953:K953"/>
    <mergeCell ref="J954:K954"/>
    <mergeCell ref="J955:K955"/>
    <mergeCell ref="J956:K956"/>
    <mergeCell ref="J957:K957"/>
    <mergeCell ref="J958:K958"/>
    <mergeCell ref="J959:K959"/>
    <mergeCell ref="J960:K960"/>
    <mergeCell ref="J961:K961"/>
    <mergeCell ref="J962:K962"/>
    <mergeCell ref="J963:K963"/>
    <mergeCell ref="J964:K964"/>
    <mergeCell ref="J965:K965"/>
    <mergeCell ref="J966:K966"/>
    <mergeCell ref="J967:K967"/>
    <mergeCell ref="J968:K968"/>
    <mergeCell ref="J969:K969"/>
    <mergeCell ref="J970:K970"/>
    <mergeCell ref="J971:K971"/>
    <mergeCell ref="J972:K972"/>
    <mergeCell ref="J973:K973"/>
    <mergeCell ref="J974:K974"/>
    <mergeCell ref="J975:K975"/>
    <mergeCell ref="J976:K976"/>
    <mergeCell ref="J977:K977"/>
    <mergeCell ref="J978:K978"/>
    <mergeCell ref="J979:K979"/>
    <mergeCell ref="J980:K980"/>
    <mergeCell ref="J981:K981"/>
    <mergeCell ref="J982:K982"/>
    <mergeCell ref="J983:K983"/>
    <mergeCell ref="J984:K984"/>
    <mergeCell ref="J985:K985"/>
    <mergeCell ref="J986:K986"/>
    <mergeCell ref="J987:K987"/>
    <mergeCell ref="J988:K988"/>
    <mergeCell ref="J989:K989"/>
    <mergeCell ref="J990:K990"/>
    <mergeCell ref="J991:K991"/>
    <mergeCell ref="J992:K992"/>
    <mergeCell ref="J993:K993"/>
    <mergeCell ref="J994:K994"/>
    <mergeCell ref="J995:K995"/>
    <mergeCell ref="J996:K996"/>
    <mergeCell ref="J997:K997"/>
    <mergeCell ref="J998:K99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O10" activeCellId="0" sqref="O10"/>
    </sheetView>
  </sheetViews>
  <sheetFormatPr defaultColWidth="14.42578125" defaultRowHeight="15.75" zeroHeight="false" outlineLevelRow="0" outlineLevelCol="0"/>
  <cols>
    <col collapsed="false" customWidth="true" hidden="false" outlineLevel="0" max="1" min="1" style="0" width="6.71"/>
    <col collapsed="false" customWidth="true" hidden="false" outlineLevel="0" max="2" min="2" style="0" width="14.71"/>
    <col collapsed="false" customWidth="true" hidden="false" outlineLevel="0" max="3" min="3" style="0" width="39.29"/>
    <col collapsed="false" customWidth="true" hidden="false" outlineLevel="0" max="4" min="4" style="0" width="12"/>
    <col collapsed="false" customWidth="true" hidden="false" outlineLevel="0" max="6" min="5" style="0" width="11.71"/>
    <col collapsed="false" customWidth="true" hidden="false" outlineLevel="0" max="7" min="7" style="0" width="11"/>
    <col collapsed="false" customWidth="true" hidden="false" outlineLevel="0" max="8" min="8" style="0" width="16.29"/>
    <col collapsed="false" customWidth="true" hidden="false" outlineLevel="0" max="9" min="9" style="0" width="19.57"/>
    <col collapsed="false" customWidth="true" hidden="false" outlineLevel="0" max="10" min="10" style="0" width="16.29"/>
    <col collapsed="false" customWidth="true" hidden="false" outlineLevel="0" max="14" min="14" style="0" width="31.57"/>
    <col collapsed="false" customWidth="true" hidden="false" outlineLevel="0" max="17" min="15" style="0" width="12.57"/>
  </cols>
  <sheetData>
    <row r="1" customFormat="false" ht="15.75" hidden="false" customHeight="true" outlineLevel="0" collapsed="false">
      <c r="A1" s="105"/>
      <c r="B1" s="132" t="s">
        <v>199</v>
      </c>
      <c r="C1" s="132"/>
      <c r="D1" s="132"/>
      <c r="E1" s="132"/>
      <c r="F1" s="132"/>
      <c r="G1" s="132"/>
      <c r="H1" s="132" t="s">
        <v>200</v>
      </c>
      <c r="I1" s="132"/>
      <c r="J1" s="132"/>
      <c r="K1" s="132"/>
      <c r="L1" s="132"/>
    </row>
    <row r="2" customFormat="false" ht="15.75" hidden="false" customHeight="true" outlineLevel="0" collapsed="false">
      <c r="A2" s="105"/>
      <c r="B2" s="133"/>
      <c r="C2" s="133"/>
      <c r="D2" s="134"/>
      <c r="E2" s="134"/>
      <c r="F2" s="134"/>
      <c r="G2" s="134"/>
      <c r="H2" s="135" t="s">
        <v>201</v>
      </c>
      <c r="I2" s="136" t="n">
        <f aca="false">ROUNDUP((K2/60),)</f>
        <v>2</v>
      </c>
      <c r="J2" s="137" t="s">
        <v>232</v>
      </c>
      <c r="K2" s="138" t="n">
        <f aca="false">SUM(I4:I999)</f>
        <v>94</v>
      </c>
      <c r="L2" s="139"/>
    </row>
    <row r="3" customFormat="false" ht="42.75" hidden="false" customHeight="true" outlineLevel="0" collapsed="false">
      <c r="A3" s="105"/>
      <c r="B3" s="109" t="s">
        <v>233</v>
      </c>
      <c r="C3" s="109" t="s">
        <v>234</v>
      </c>
      <c r="D3" s="140" t="s">
        <v>235</v>
      </c>
      <c r="E3" s="140" t="s">
        <v>236</v>
      </c>
      <c r="F3" s="141" t="s">
        <v>237</v>
      </c>
      <c r="G3" s="141" t="s">
        <v>238</v>
      </c>
      <c r="H3" s="110" t="s">
        <v>239</v>
      </c>
      <c r="I3" s="142" t="s">
        <v>240</v>
      </c>
      <c r="J3" s="110" t="s">
        <v>207</v>
      </c>
      <c r="K3" s="110"/>
      <c r="L3" s="110"/>
      <c r="N3" s="143" t="s">
        <v>241</v>
      </c>
      <c r="O3" s="144" t="s">
        <v>242</v>
      </c>
      <c r="P3" s="144" t="s">
        <v>243</v>
      </c>
      <c r="Q3" s="144" t="s">
        <v>85</v>
      </c>
    </row>
    <row r="4" customFormat="false" ht="15.75" hidden="false" customHeight="true" outlineLevel="0" collapsed="false">
      <c r="A4" s="121" t="str">
        <f aca="false">IF(B4="","",CONCATENATE(COUNTA($B$4:B4),"."))</f>
        <v>1.</v>
      </c>
      <c r="B4" s="145" t="s">
        <v>244</v>
      </c>
      <c r="C4" s="122" t="s">
        <v>245</v>
      </c>
      <c r="D4" s="123" t="n">
        <v>1</v>
      </c>
      <c r="E4" s="123" t="n">
        <f aca="false">D4*P4</f>
        <v>25</v>
      </c>
      <c r="F4" s="123" t="n">
        <v>1</v>
      </c>
      <c r="G4" s="123" t="n">
        <f aca="false">F4*P5</f>
        <v>60</v>
      </c>
      <c r="H4" s="124" t="n">
        <f aca="false">$P$6</f>
        <v>0.15</v>
      </c>
      <c r="I4" s="146" t="n">
        <f aca="false">(E4+G4)+(G4*H4)</f>
        <v>94</v>
      </c>
      <c r="J4" s="147" t="s">
        <v>210</v>
      </c>
      <c r="K4" s="147"/>
      <c r="L4" s="147"/>
      <c r="N4" s="148" t="s">
        <v>246</v>
      </c>
      <c r="O4" s="149" t="n">
        <v>15</v>
      </c>
      <c r="P4" s="149" t="n">
        <v>25</v>
      </c>
      <c r="Q4" s="149" t="n">
        <v>40</v>
      </c>
    </row>
    <row r="5" customFormat="false" ht="15.75" hidden="false" customHeight="true" outlineLevel="0" collapsed="false">
      <c r="A5" s="121" t="str">
        <f aca="false">IF(B5="","",CONCATENATE(COUNTA($B$4:B5),"."))</f>
        <v>2.</v>
      </c>
      <c r="B5" s="150" t="s">
        <v>247</v>
      </c>
      <c r="C5" s="122" t="s">
        <v>245</v>
      </c>
      <c r="D5" s="123" t="n">
        <v>0</v>
      </c>
      <c r="E5" s="123" t="n">
        <f aca="false">D5*P4</f>
        <v>0</v>
      </c>
      <c r="F5" s="123" t="n">
        <v>0</v>
      </c>
      <c r="G5" s="123" t="n">
        <f aca="false">F5*P5</f>
        <v>0</v>
      </c>
      <c r="H5" s="124" t="n">
        <f aca="false">$P$6</f>
        <v>0.15</v>
      </c>
      <c r="I5" s="146" t="n">
        <f aca="false">(E5+G5)+(G5*H5)</f>
        <v>0</v>
      </c>
      <c r="J5" s="147" t="s">
        <v>210</v>
      </c>
      <c r="K5" s="147"/>
      <c r="L5" s="147"/>
      <c r="N5" s="148" t="s">
        <v>248</v>
      </c>
      <c r="O5" s="149" t="n">
        <v>40</v>
      </c>
      <c r="P5" s="149" t="n">
        <v>60</v>
      </c>
      <c r="Q5" s="149" t="n">
        <v>90</v>
      </c>
    </row>
    <row r="6" customFormat="false" ht="15.75" hidden="false" customHeight="true" outlineLevel="0" collapsed="false">
      <c r="A6" s="121" t="str">
        <f aca="false">IF(B6="","",CONCATENATE(COUNTA($B$4:B6),"."))</f>
        <v>3.</v>
      </c>
      <c r="B6" s="145" t="s">
        <v>249</v>
      </c>
      <c r="C6" s="122" t="s">
        <v>245</v>
      </c>
      <c r="D6" s="123" t="n">
        <v>0</v>
      </c>
      <c r="E6" s="123" t="n">
        <f aca="false">D6*P4</f>
        <v>0</v>
      </c>
      <c r="F6" s="123" t="n">
        <v>0</v>
      </c>
      <c r="G6" s="123" t="n">
        <f aca="false">F6*P5</f>
        <v>0</v>
      </c>
      <c r="H6" s="124" t="n">
        <f aca="false">$P$6</f>
        <v>0.15</v>
      </c>
      <c r="I6" s="146" t="n">
        <f aca="false">(E6+G6)+(G6*H6)</f>
        <v>0</v>
      </c>
      <c r="J6" s="147" t="s">
        <v>210</v>
      </c>
      <c r="K6" s="147"/>
      <c r="L6" s="147"/>
      <c r="N6" s="151" t="s">
        <v>239</v>
      </c>
      <c r="O6" s="152" t="n">
        <v>0.1</v>
      </c>
      <c r="P6" s="152" t="n">
        <v>0.15</v>
      </c>
      <c r="Q6" s="152" t="n">
        <v>0.2</v>
      </c>
    </row>
    <row r="7" customFormat="false" ht="15.75" hidden="false" customHeight="true" outlineLevel="0" collapsed="false">
      <c r="A7" s="121" t="str">
        <f aca="false">IF(B7="","",CONCATENATE(COUNTA($B$4:B7),"."))</f>
        <v>4.</v>
      </c>
      <c r="B7" s="150" t="s">
        <v>250</v>
      </c>
      <c r="C7" s="122" t="s">
        <v>245</v>
      </c>
      <c r="D7" s="123" t="n">
        <v>0</v>
      </c>
      <c r="E7" s="123" t="n">
        <f aca="false">D7*P7</f>
        <v>0</v>
      </c>
      <c r="F7" s="123" t="n">
        <v>0</v>
      </c>
      <c r="G7" s="123" t="n">
        <f aca="false">F7*P8</f>
        <v>0</v>
      </c>
      <c r="H7" s="124" t="n">
        <f aca="false">$P$6</f>
        <v>0.15</v>
      </c>
      <c r="I7" s="146" t="n">
        <f aca="false">(E7+G7)+(G7*H7)</f>
        <v>0</v>
      </c>
      <c r="J7" s="147" t="s">
        <v>210</v>
      </c>
      <c r="K7" s="147"/>
      <c r="L7" s="147"/>
    </row>
    <row r="8" customFormat="false" ht="15.75" hidden="false" customHeight="true" outlineLevel="0" collapsed="false">
      <c r="A8" s="121" t="str">
        <f aca="false">IF(B8="","",CONCATENATE(COUNTA($B$4:B8),"."))</f>
        <v>5.</v>
      </c>
      <c r="B8" s="145" t="s">
        <v>251</v>
      </c>
      <c r="C8" s="122" t="s">
        <v>245</v>
      </c>
      <c r="D8" s="123" t="n">
        <v>0</v>
      </c>
      <c r="E8" s="123" t="n">
        <f aca="false">D8*P8</f>
        <v>0</v>
      </c>
      <c r="F8" s="123" t="n">
        <v>0</v>
      </c>
      <c r="G8" s="123" t="n">
        <f aca="false">F8*P9</f>
        <v>0</v>
      </c>
      <c r="H8" s="124" t="n">
        <f aca="false">$P$6</f>
        <v>0.15</v>
      </c>
      <c r="I8" s="146" t="n">
        <f aca="false">(E8+G8)+(G8*H8)</f>
        <v>0</v>
      </c>
      <c r="J8" s="147" t="s">
        <v>210</v>
      </c>
      <c r="K8" s="147"/>
      <c r="L8" s="147"/>
    </row>
    <row r="9" customFormat="false" ht="15.75" hidden="false" customHeight="true" outlineLevel="0" collapsed="false">
      <c r="A9" s="121" t="str">
        <f aca="false">IF(B9="","",CONCATENATE(COUNTA($B$4:B9),"."))</f>
        <v/>
      </c>
      <c r="B9" s="150"/>
      <c r="C9" s="122"/>
      <c r="D9" s="127"/>
      <c r="E9" s="127"/>
      <c r="F9" s="123"/>
      <c r="G9" s="127"/>
      <c r="H9" s="123"/>
      <c r="I9" s="153"/>
      <c r="J9" s="154" t="str">
        <f aca="false">IF(H9="","",ROUNDUP(H9*I9*F9*G9,0))</f>
        <v/>
      </c>
      <c r="K9" s="155"/>
      <c r="L9" s="155"/>
      <c r="N9" s="2"/>
    </row>
    <row r="10" customFormat="false" ht="15.75" hidden="false" customHeight="true" outlineLevel="0" collapsed="false">
      <c r="A10" s="121" t="str">
        <f aca="false">IF(B10="","",CONCATENATE(COUNTA($B$4:B10),"."))</f>
        <v/>
      </c>
      <c r="B10" s="145"/>
      <c r="C10" s="122"/>
      <c r="D10" s="127"/>
      <c r="E10" s="127"/>
      <c r="F10" s="123"/>
      <c r="G10" s="127"/>
      <c r="H10" s="123"/>
      <c r="I10" s="123"/>
      <c r="J10" s="154" t="str">
        <f aca="false">IF(H10="","",ROUNDUP(H10*I10*F10*G10,0))</f>
        <v/>
      </c>
      <c r="K10" s="155"/>
      <c r="L10" s="155"/>
    </row>
    <row r="11" customFormat="false" ht="15.75" hidden="false" customHeight="true" outlineLevel="0" collapsed="false">
      <c r="A11" s="121" t="str">
        <f aca="false">IF(B11="","",CONCATENATE(COUNTA($B$4:B11),"."))</f>
        <v/>
      </c>
      <c r="B11" s="150"/>
      <c r="C11" s="122"/>
      <c r="D11" s="156"/>
      <c r="E11" s="127"/>
      <c r="F11" s="123"/>
      <c r="G11" s="127"/>
      <c r="H11" s="123"/>
      <c r="I11" s="123"/>
      <c r="J11" s="154" t="str">
        <f aca="false">IF(H11="","",ROUNDUP(H11*I11*F11*G11,0))</f>
        <v/>
      </c>
      <c r="K11" s="155"/>
      <c r="L11" s="155"/>
      <c r="N11" s="157"/>
    </row>
    <row r="12" customFormat="false" ht="15.75" hidden="false" customHeight="true" outlineLevel="0" collapsed="false">
      <c r="A12" s="121" t="str">
        <f aca="false">IF(B12="","",CONCATENATE(COUNTA($B$4:B12),"."))</f>
        <v/>
      </c>
      <c r="B12" s="150"/>
      <c r="D12" s="158"/>
      <c r="E12" s="159"/>
      <c r="F12" s="159"/>
      <c r="G12" s="159"/>
      <c r="H12" s="159"/>
      <c r="I12" s="159"/>
      <c r="J12" s="154" t="str">
        <f aca="false">IF(H12="","",ROUNDUP(H12*I12*F12*G12,0))</f>
        <v/>
      </c>
      <c r="K12" s="155"/>
      <c r="L12" s="155"/>
    </row>
    <row r="13" customFormat="false" ht="15.75" hidden="false" customHeight="true" outlineLevel="0" collapsed="false">
      <c r="A13" s="121" t="str">
        <f aca="false">IF(B13="","",CONCATENATE(COUNTA($B$4:B13),"."))</f>
        <v/>
      </c>
      <c r="B13" s="112"/>
      <c r="C13" s="112"/>
      <c r="D13" s="160"/>
      <c r="E13" s="81"/>
      <c r="F13" s="81"/>
      <c r="G13" s="81"/>
      <c r="H13" s="81"/>
      <c r="I13" s="161"/>
      <c r="J13" s="154" t="str">
        <f aca="false">IF(H13="","",ROUNDUP(H13*I13*F13*G13,0))</f>
        <v/>
      </c>
      <c r="K13" s="155"/>
      <c r="L13" s="155"/>
    </row>
    <row r="14" customFormat="false" ht="15.75" hidden="false" customHeight="true" outlineLevel="0" collapsed="false">
      <c r="A14" s="121" t="str">
        <f aca="false">IF(B14="","",CONCATENATE(COUNTA($B$4:B14),"."))</f>
        <v/>
      </c>
      <c r="B14" s="112"/>
      <c r="C14" s="112"/>
      <c r="D14" s="81"/>
      <c r="E14" s="81"/>
      <c r="F14" s="81"/>
      <c r="G14" s="81"/>
      <c r="H14" s="81"/>
      <c r="I14" s="161"/>
      <c r="J14" s="154" t="str">
        <f aca="false">IF(H14="","",ROUNDUP(H14*I14*F14*G14,0))</f>
        <v/>
      </c>
      <c r="K14" s="155"/>
      <c r="L14" s="155"/>
    </row>
    <row r="15" customFormat="false" ht="15.75" hidden="false" customHeight="true" outlineLevel="0" collapsed="false">
      <c r="A15" s="121" t="str">
        <f aca="false">IF(B15="","",CONCATENATE(COUNTA($B$4:B15),"."))</f>
        <v/>
      </c>
      <c r="B15" s="112"/>
      <c r="C15" s="112"/>
      <c r="D15" s="81"/>
      <c r="E15" s="81"/>
      <c r="F15" s="81"/>
      <c r="G15" s="81"/>
      <c r="H15" s="81"/>
      <c r="I15" s="161"/>
      <c r="J15" s="154" t="str">
        <f aca="false">IF(H15="","",ROUNDUP(H15*I15*F15*G15,0))</f>
        <v/>
      </c>
      <c r="K15" s="113"/>
      <c r="L15" s="113"/>
    </row>
    <row r="16" customFormat="false" ht="15.75" hidden="false" customHeight="true" outlineLevel="0" collapsed="false">
      <c r="A16" s="121" t="str">
        <f aca="false">IF(B16="","",CONCATENATE(COUNTA($B$4:B16),"."))</f>
        <v/>
      </c>
      <c r="B16" s="112"/>
      <c r="C16" s="112"/>
      <c r="D16" s="81"/>
      <c r="E16" s="81"/>
      <c r="F16" s="81"/>
      <c r="G16" s="81"/>
      <c r="H16" s="81"/>
      <c r="I16" s="161"/>
      <c r="J16" s="154" t="str">
        <f aca="false">IF(H16="","",ROUNDUP(H16*I16*F16*G16,0))</f>
        <v/>
      </c>
      <c r="K16" s="113"/>
      <c r="L16" s="113"/>
    </row>
    <row r="17" customFormat="false" ht="15.75" hidden="false" customHeight="true" outlineLevel="0" collapsed="false">
      <c r="A17" s="121" t="str">
        <f aca="false">IF(B17="","",CONCATENATE(COUNTA($B$4:B17),"."))</f>
        <v/>
      </c>
      <c r="B17" s="112"/>
      <c r="C17" s="112"/>
      <c r="D17" s="81"/>
      <c r="E17" s="81"/>
      <c r="F17" s="81"/>
      <c r="G17" s="81"/>
      <c r="H17" s="81"/>
      <c r="I17" s="161"/>
      <c r="J17" s="154" t="str">
        <f aca="false">IF(H17="","",ROUNDUP(H17*I17*F17*G17,0))</f>
        <v/>
      </c>
      <c r="K17" s="113"/>
      <c r="L17" s="113"/>
    </row>
    <row r="18" customFormat="false" ht="15.75" hidden="false" customHeight="true" outlineLevel="0" collapsed="false">
      <c r="A18" s="121" t="str">
        <f aca="false">IF(B18="","",CONCATENATE(COUNTA($B$4:B18),"."))</f>
        <v/>
      </c>
      <c r="B18" s="112"/>
      <c r="C18" s="112"/>
      <c r="D18" s="81"/>
      <c r="E18" s="81"/>
      <c r="F18" s="81"/>
      <c r="G18" s="81"/>
      <c r="H18" s="81"/>
      <c r="I18" s="161"/>
      <c r="J18" s="154" t="str">
        <f aca="false">IF(H18="","",ROUNDUP(H18*I18*F18*G18,0))</f>
        <v/>
      </c>
      <c r="K18" s="113"/>
      <c r="L18" s="113"/>
    </row>
    <row r="19" customFormat="false" ht="15.75" hidden="false" customHeight="true" outlineLevel="0" collapsed="false">
      <c r="A19" s="121" t="str">
        <f aca="false">IF(B19="","",CONCATENATE(COUNTA($B$4:B19),"."))</f>
        <v/>
      </c>
      <c r="B19" s="112"/>
      <c r="C19" s="112"/>
      <c r="D19" s="81"/>
      <c r="E19" s="81"/>
      <c r="F19" s="81"/>
      <c r="G19" s="81"/>
      <c r="H19" s="81"/>
      <c r="I19" s="161"/>
      <c r="J19" s="154" t="str">
        <f aca="false">IF(H19="","",ROUNDUP(H19*I19*F19*G19,0))</f>
        <v/>
      </c>
      <c r="K19" s="113"/>
      <c r="L19" s="113"/>
    </row>
    <row r="20" customFormat="false" ht="12.75" hidden="false" customHeight="true" outlineLevel="0" collapsed="false">
      <c r="A20" s="121" t="str">
        <f aca="false">IF(B20="","",CONCATENATE(COUNTA($B$4:B20),"."))</f>
        <v/>
      </c>
      <c r="B20" s="112"/>
      <c r="C20" s="112"/>
      <c r="D20" s="81"/>
      <c r="E20" s="81"/>
      <c r="F20" s="81"/>
      <c r="G20" s="81"/>
      <c r="H20" s="81"/>
      <c r="I20" s="161"/>
      <c r="J20" s="154" t="str">
        <f aca="false">IF(H20="","",ROUNDUP(H20*I20*F20*G20,0))</f>
        <v/>
      </c>
      <c r="K20" s="113"/>
      <c r="L20" s="113"/>
    </row>
    <row r="21" customFormat="false" ht="12.75" hidden="false" customHeight="true" outlineLevel="0" collapsed="false">
      <c r="A21" s="121" t="str">
        <f aca="false">IF(B21="","",CONCATENATE(COUNTA($B$4:B21),"."))</f>
        <v/>
      </c>
      <c r="B21" s="112"/>
      <c r="C21" s="112"/>
      <c r="D21" s="81"/>
      <c r="E21" s="81"/>
      <c r="F21" s="81"/>
      <c r="G21" s="81"/>
      <c r="H21" s="81"/>
      <c r="I21" s="161"/>
      <c r="J21" s="154" t="str">
        <f aca="false">IF(H21="","",ROUNDUP(H21*I21*F21*G21,0))</f>
        <v/>
      </c>
      <c r="K21" s="113"/>
      <c r="L21" s="113"/>
    </row>
    <row r="22" customFormat="false" ht="12.75" hidden="false" customHeight="true" outlineLevel="0" collapsed="false">
      <c r="A22" s="121" t="str">
        <f aca="false">IF(B22="","",CONCATENATE(COUNTA($B$4:B22),"."))</f>
        <v/>
      </c>
      <c r="B22" s="112"/>
      <c r="C22" s="112"/>
      <c r="D22" s="81"/>
      <c r="E22" s="81"/>
      <c r="F22" s="81"/>
      <c r="G22" s="81"/>
      <c r="H22" s="81"/>
      <c r="I22" s="161"/>
      <c r="J22" s="154" t="str">
        <f aca="false">IF(H22="","",ROUNDUP(H22*I22*F22*G22,0))</f>
        <v/>
      </c>
      <c r="K22" s="113"/>
      <c r="L22" s="113"/>
    </row>
    <row r="23" customFormat="false" ht="12.75" hidden="false" customHeight="true" outlineLevel="0" collapsed="false">
      <c r="A23" s="121" t="str">
        <f aca="false">IF(B23="","",CONCATENATE(COUNTA($B$4:B23),"."))</f>
        <v/>
      </c>
      <c r="B23" s="112"/>
      <c r="C23" s="112"/>
      <c r="D23" s="81"/>
      <c r="E23" s="81"/>
      <c r="F23" s="81"/>
      <c r="G23" s="81"/>
      <c r="H23" s="81"/>
      <c r="I23" s="161"/>
      <c r="J23" s="154" t="str">
        <f aca="false">IF(H23="","",ROUNDUP(H23*I23*F23*G23,0))</f>
        <v/>
      </c>
      <c r="K23" s="113"/>
      <c r="L23" s="113"/>
    </row>
    <row r="24" customFormat="false" ht="12.75" hidden="false" customHeight="true" outlineLevel="0" collapsed="false">
      <c r="A24" s="121" t="str">
        <f aca="false">IF(B24="","",CONCATENATE(COUNTA($B$4:B24),"."))</f>
        <v/>
      </c>
      <c r="B24" s="112"/>
      <c r="C24" s="112"/>
      <c r="D24" s="81"/>
      <c r="E24" s="81"/>
      <c r="F24" s="81"/>
      <c r="G24" s="81"/>
      <c r="H24" s="81"/>
      <c r="I24" s="161"/>
      <c r="J24" s="154" t="str">
        <f aca="false">IF(H24="","",ROUNDUP(H24*I24*F24*G24,0))</f>
        <v/>
      </c>
      <c r="K24" s="113"/>
      <c r="L24" s="113"/>
    </row>
    <row r="25" customFormat="false" ht="12.75" hidden="false" customHeight="true" outlineLevel="0" collapsed="false">
      <c r="A25" s="121" t="str">
        <f aca="false">IF(B25="","",CONCATENATE(COUNTA($B$4:B25),"."))</f>
        <v/>
      </c>
      <c r="B25" s="112"/>
      <c r="C25" s="112"/>
      <c r="D25" s="81"/>
      <c r="E25" s="81"/>
      <c r="F25" s="81"/>
      <c r="G25" s="81"/>
      <c r="H25" s="81"/>
      <c r="I25" s="161"/>
      <c r="J25" s="154" t="str">
        <f aca="false">IF(H25="","",ROUNDUP(H25*I25*F25*G25,0))</f>
        <v/>
      </c>
      <c r="K25" s="113"/>
      <c r="L25" s="113"/>
    </row>
    <row r="26" customFormat="false" ht="12.75" hidden="false" customHeight="true" outlineLevel="0" collapsed="false">
      <c r="A26" s="121" t="str">
        <f aca="false">IF(B26="","",CONCATENATE(COUNTA($B$4:B26),"."))</f>
        <v/>
      </c>
      <c r="B26" s="112"/>
      <c r="C26" s="112"/>
      <c r="D26" s="81"/>
      <c r="E26" s="81"/>
      <c r="F26" s="81"/>
      <c r="G26" s="81"/>
      <c r="H26" s="81"/>
      <c r="I26" s="161"/>
      <c r="J26" s="154" t="str">
        <f aca="false">IF(H26="","",ROUNDUP(H26*I26*F26*G26,0))</f>
        <v/>
      </c>
      <c r="K26" s="113"/>
      <c r="L26" s="113"/>
    </row>
    <row r="27" customFormat="false" ht="12.75" hidden="false" customHeight="true" outlineLevel="0" collapsed="false">
      <c r="A27" s="121" t="str">
        <f aca="false">IF(B27="","",CONCATENATE(COUNTA($B$4:B27),"."))</f>
        <v/>
      </c>
      <c r="B27" s="112"/>
      <c r="C27" s="112"/>
      <c r="D27" s="81"/>
      <c r="E27" s="81"/>
      <c r="F27" s="81"/>
      <c r="G27" s="81"/>
      <c r="H27" s="81"/>
      <c r="I27" s="161"/>
      <c r="J27" s="154" t="str">
        <f aca="false">IF(H27="","",ROUNDUP(H27*I27*F27*G27,0))</f>
        <v/>
      </c>
      <c r="K27" s="113"/>
      <c r="L27" s="113"/>
    </row>
    <row r="28" customFormat="false" ht="12.75" hidden="false" customHeight="true" outlineLevel="0" collapsed="false">
      <c r="A28" s="121" t="str">
        <f aca="false">IF(B28="","",CONCATENATE(COUNTA($B$4:B28),"."))</f>
        <v/>
      </c>
      <c r="B28" s="112"/>
      <c r="C28" s="112"/>
      <c r="D28" s="81"/>
      <c r="E28" s="81"/>
      <c r="F28" s="81"/>
      <c r="G28" s="81"/>
      <c r="H28" s="81"/>
      <c r="I28" s="161"/>
      <c r="J28" s="154" t="str">
        <f aca="false">IF(H28="","",ROUNDUP(H28*I28*F28*G28,0))</f>
        <v/>
      </c>
      <c r="K28" s="113"/>
      <c r="L28" s="113"/>
    </row>
    <row r="29" customFormat="false" ht="12.75" hidden="false" customHeight="true" outlineLevel="0" collapsed="false">
      <c r="A29" s="121" t="str">
        <f aca="false">IF(B29="","",CONCATENATE(COUNTA($B$4:B29),"."))</f>
        <v/>
      </c>
      <c r="B29" s="112"/>
      <c r="C29" s="112"/>
      <c r="D29" s="81"/>
      <c r="E29" s="81"/>
      <c r="F29" s="81"/>
      <c r="G29" s="81"/>
      <c r="H29" s="81"/>
      <c r="I29" s="161"/>
      <c r="J29" s="154" t="str">
        <f aca="false">IF(H29="","",ROUNDUP(H29*I29*F29*G29,0))</f>
        <v/>
      </c>
      <c r="K29" s="113"/>
      <c r="L29" s="113"/>
    </row>
    <row r="30" customFormat="false" ht="12.75" hidden="false" customHeight="true" outlineLevel="0" collapsed="false">
      <c r="A30" s="121" t="str">
        <f aca="false">IF(B30="","",CONCATENATE(COUNTA($B$4:B30),"."))</f>
        <v/>
      </c>
      <c r="B30" s="112"/>
      <c r="C30" s="112"/>
      <c r="D30" s="81"/>
      <c r="E30" s="81"/>
      <c r="F30" s="81"/>
      <c r="G30" s="81"/>
      <c r="H30" s="81"/>
      <c r="I30" s="161"/>
      <c r="J30" s="154" t="str">
        <f aca="false">IF(H30="","",ROUNDUP(H30*I30*F30*G30,0))</f>
        <v/>
      </c>
      <c r="K30" s="113"/>
      <c r="L30" s="113"/>
    </row>
    <row r="31" customFormat="false" ht="12.75" hidden="false" customHeight="true" outlineLevel="0" collapsed="false">
      <c r="A31" s="121" t="str">
        <f aca="false">IF(B31="","",CONCATENATE(COUNTA($B$4:B31),"."))</f>
        <v/>
      </c>
      <c r="B31" s="112"/>
      <c r="C31" s="112"/>
      <c r="D31" s="81"/>
      <c r="E31" s="81"/>
      <c r="F31" s="81"/>
      <c r="G31" s="81"/>
      <c r="H31" s="81"/>
      <c r="I31" s="161"/>
      <c r="J31" s="154" t="str">
        <f aca="false">IF(H31="","",ROUNDUP(H31*I31*F31*G31,0))</f>
        <v/>
      </c>
      <c r="K31" s="113"/>
      <c r="L31" s="113"/>
    </row>
    <row r="32" customFormat="false" ht="12.75" hidden="false" customHeight="true" outlineLevel="0" collapsed="false">
      <c r="A32" s="121" t="str">
        <f aca="false">IF(B32="","",CONCATENATE(COUNTA($B$4:B32),"."))</f>
        <v/>
      </c>
      <c r="B32" s="112"/>
      <c r="C32" s="112"/>
      <c r="D32" s="81"/>
      <c r="E32" s="81"/>
      <c r="F32" s="81"/>
      <c r="G32" s="81"/>
      <c r="H32" s="81"/>
      <c r="I32" s="161"/>
      <c r="J32" s="154" t="str">
        <f aca="false">IF(H32="","",ROUNDUP(H32*I32*F32*G32,0))</f>
        <v/>
      </c>
      <c r="K32" s="113"/>
      <c r="L32" s="113"/>
    </row>
    <row r="33" customFormat="false" ht="12.75" hidden="false" customHeight="true" outlineLevel="0" collapsed="false">
      <c r="A33" s="121" t="str">
        <f aca="false">IF(B33="","",CONCATENATE(COUNTA($B$4:B33),"."))</f>
        <v/>
      </c>
      <c r="B33" s="112"/>
      <c r="C33" s="112"/>
      <c r="D33" s="81"/>
      <c r="E33" s="81"/>
      <c r="F33" s="81"/>
      <c r="G33" s="81"/>
      <c r="H33" s="81"/>
      <c r="I33" s="161"/>
      <c r="J33" s="154" t="str">
        <f aca="false">IF(H33="","",ROUNDUP(H33*I33*F33*G33,0))</f>
        <v/>
      </c>
      <c r="K33" s="113"/>
      <c r="L33" s="113"/>
    </row>
    <row r="34" customFormat="false" ht="12.75" hidden="false" customHeight="true" outlineLevel="0" collapsed="false">
      <c r="A34" s="121" t="str">
        <f aca="false">IF(B34="","",CONCATENATE(COUNTA($B$4:B34),"."))</f>
        <v/>
      </c>
      <c r="B34" s="112"/>
      <c r="C34" s="112"/>
      <c r="D34" s="81"/>
      <c r="E34" s="81"/>
      <c r="F34" s="81"/>
      <c r="G34" s="81"/>
      <c r="H34" s="81"/>
      <c r="I34" s="161"/>
      <c r="J34" s="154" t="str">
        <f aca="false">IF(H34="","",ROUNDUP(H34*I34*F34*G34,0))</f>
        <v/>
      </c>
      <c r="K34" s="113"/>
      <c r="L34" s="113"/>
    </row>
    <row r="35" customFormat="false" ht="12.75" hidden="false" customHeight="true" outlineLevel="0" collapsed="false">
      <c r="A35" s="121" t="str">
        <f aca="false">IF(B35="","",CONCATENATE(COUNTA($B$4:B35),"."))</f>
        <v/>
      </c>
      <c r="B35" s="112"/>
      <c r="C35" s="112"/>
      <c r="D35" s="81"/>
      <c r="E35" s="81"/>
      <c r="F35" s="81"/>
      <c r="G35" s="81"/>
      <c r="H35" s="81"/>
      <c r="I35" s="161"/>
      <c r="J35" s="154" t="str">
        <f aca="false">IF(H35="","",ROUNDUP(H35*I35*F35*G35,0))</f>
        <v/>
      </c>
      <c r="K35" s="113"/>
      <c r="L35" s="113"/>
    </row>
    <row r="36" customFormat="false" ht="12.75" hidden="false" customHeight="true" outlineLevel="0" collapsed="false">
      <c r="A36" s="121" t="str">
        <f aca="false">IF(B36="","",CONCATENATE(COUNTA($B$4:B36),"."))</f>
        <v/>
      </c>
      <c r="B36" s="112"/>
      <c r="C36" s="112"/>
      <c r="D36" s="81"/>
      <c r="E36" s="81"/>
      <c r="F36" s="81"/>
      <c r="G36" s="81"/>
      <c r="H36" s="81"/>
      <c r="I36" s="161"/>
      <c r="J36" s="154" t="str">
        <f aca="false">IF(H36="","",ROUNDUP(H36*I36*F36*G36,0))</f>
        <v/>
      </c>
      <c r="K36" s="113"/>
      <c r="L36" s="113"/>
    </row>
    <row r="37" customFormat="false" ht="12.75" hidden="false" customHeight="true" outlineLevel="0" collapsed="false">
      <c r="A37" s="121" t="str">
        <f aca="false">IF(B37="","",CONCATENATE(COUNTA($B$4:B37),"."))</f>
        <v/>
      </c>
      <c r="B37" s="112"/>
      <c r="C37" s="112"/>
      <c r="D37" s="81"/>
      <c r="E37" s="81"/>
      <c r="F37" s="81"/>
      <c r="G37" s="81"/>
      <c r="H37" s="81"/>
      <c r="I37" s="161"/>
      <c r="J37" s="154" t="str">
        <f aca="false">IF(H37="","",ROUNDUP(H37*I37*F37*G37,0))</f>
        <v/>
      </c>
      <c r="K37" s="113"/>
      <c r="L37" s="113"/>
    </row>
    <row r="38" customFormat="false" ht="12.75" hidden="false" customHeight="true" outlineLevel="0" collapsed="false">
      <c r="A38" s="121" t="str">
        <f aca="false">IF(B38="","",CONCATENATE(COUNTA($B$4:B38),"."))</f>
        <v/>
      </c>
      <c r="B38" s="112"/>
      <c r="C38" s="112"/>
      <c r="D38" s="81"/>
      <c r="E38" s="81"/>
      <c r="F38" s="81"/>
      <c r="G38" s="81"/>
      <c r="H38" s="81"/>
      <c r="I38" s="161"/>
      <c r="J38" s="154" t="str">
        <f aca="false">IF(H38="","",ROUNDUP(H38*I38*F38*G38,0))</f>
        <v/>
      </c>
      <c r="K38" s="113"/>
      <c r="L38" s="113"/>
    </row>
    <row r="39" customFormat="false" ht="12.75" hidden="false" customHeight="true" outlineLevel="0" collapsed="false">
      <c r="A39" s="121" t="str">
        <f aca="false">IF(B39="","",CONCATENATE(COUNTA($B$4:B39),"."))</f>
        <v/>
      </c>
      <c r="B39" s="112"/>
      <c r="C39" s="112"/>
      <c r="D39" s="81"/>
      <c r="E39" s="81"/>
      <c r="F39" s="81"/>
      <c r="G39" s="81"/>
      <c r="H39" s="81"/>
      <c r="I39" s="161"/>
      <c r="J39" s="154" t="str">
        <f aca="false">IF(H39="","",ROUNDUP(H39*I39*F39*G39,0))</f>
        <v/>
      </c>
      <c r="K39" s="113"/>
      <c r="L39" s="113"/>
    </row>
    <row r="40" customFormat="false" ht="12.75" hidden="false" customHeight="true" outlineLevel="0" collapsed="false">
      <c r="A40" s="121" t="str">
        <f aca="false">IF(B40="","",CONCATENATE(COUNTA($B$4:B40),"."))</f>
        <v/>
      </c>
      <c r="B40" s="112"/>
      <c r="C40" s="112"/>
      <c r="D40" s="81"/>
      <c r="E40" s="81"/>
      <c r="F40" s="81"/>
      <c r="G40" s="81"/>
      <c r="H40" s="81"/>
      <c r="I40" s="161"/>
      <c r="J40" s="154" t="str">
        <f aca="false">IF(H40="","",ROUNDUP(H40*I40*F40*G40,0))</f>
        <v/>
      </c>
      <c r="K40" s="113"/>
      <c r="L40" s="113"/>
    </row>
    <row r="41" customFormat="false" ht="12.75" hidden="false" customHeight="true" outlineLevel="0" collapsed="false">
      <c r="A41" s="121" t="str">
        <f aca="false">IF(B41="","",CONCATENATE(COUNTA($B$4:B41),"."))</f>
        <v/>
      </c>
      <c r="B41" s="112"/>
      <c r="C41" s="112"/>
      <c r="D41" s="81"/>
      <c r="E41" s="81"/>
      <c r="F41" s="81"/>
      <c r="G41" s="81"/>
      <c r="H41" s="81"/>
      <c r="I41" s="161"/>
      <c r="J41" s="154" t="str">
        <f aca="false">IF(H41="","",ROUNDUP(H41*I41*F41*G41,0))</f>
        <v/>
      </c>
      <c r="K41" s="113"/>
      <c r="L41" s="113"/>
    </row>
    <row r="42" customFormat="false" ht="12.75" hidden="false" customHeight="true" outlineLevel="0" collapsed="false">
      <c r="A42" s="121" t="str">
        <f aca="false">IF(B42="","",CONCATENATE(COUNTA($B$4:B42),"."))</f>
        <v/>
      </c>
      <c r="B42" s="112"/>
      <c r="C42" s="112"/>
      <c r="D42" s="81"/>
      <c r="E42" s="81"/>
      <c r="F42" s="81"/>
      <c r="G42" s="81"/>
      <c r="H42" s="81"/>
      <c r="I42" s="161"/>
      <c r="J42" s="154" t="str">
        <f aca="false">IF(H42="","",ROUNDUP(H42*I42*F42*G42,0))</f>
        <v/>
      </c>
      <c r="K42" s="113"/>
      <c r="L42" s="113"/>
    </row>
    <row r="43" customFormat="false" ht="12.75" hidden="false" customHeight="true" outlineLevel="0" collapsed="false">
      <c r="A43" s="121" t="str">
        <f aca="false">IF(B43="","",CONCATENATE(COUNTA($B$4:B43),"."))</f>
        <v/>
      </c>
      <c r="B43" s="112"/>
      <c r="C43" s="112"/>
      <c r="D43" s="81"/>
      <c r="E43" s="81"/>
      <c r="F43" s="81"/>
      <c r="G43" s="81"/>
      <c r="H43" s="81"/>
      <c r="I43" s="161"/>
      <c r="J43" s="154" t="str">
        <f aca="false">IF(H43="","",ROUNDUP(H43*I43*F43*G43,0))</f>
        <v/>
      </c>
      <c r="K43" s="113"/>
      <c r="L43" s="113"/>
    </row>
    <row r="44" customFormat="false" ht="12.75" hidden="false" customHeight="true" outlineLevel="0" collapsed="false">
      <c r="A44" s="121" t="str">
        <f aca="false">IF(B44="","",CONCATENATE(COUNTA($B$4:B44),"."))</f>
        <v/>
      </c>
      <c r="B44" s="112"/>
      <c r="C44" s="112"/>
      <c r="D44" s="81"/>
      <c r="E44" s="81"/>
      <c r="F44" s="81"/>
      <c r="G44" s="81"/>
      <c r="H44" s="81"/>
      <c r="I44" s="161"/>
      <c r="J44" s="154" t="str">
        <f aca="false">IF(H44="","",ROUNDUP(H44*I44*F44*G44,0))</f>
        <v/>
      </c>
      <c r="K44" s="113"/>
      <c r="L44" s="113"/>
    </row>
    <row r="45" customFormat="false" ht="12.75" hidden="false" customHeight="true" outlineLevel="0" collapsed="false">
      <c r="A45" s="121" t="str">
        <f aca="false">IF(B45="","",CONCATENATE(COUNTA($B$4:B45),"."))</f>
        <v/>
      </c>
      <c r="B45" s="112"/>
      <c r="C45" s="112"/>
      <c r="D45" s="81"/>
      <c r="E45" s="81"/>
      <c r="F45" s="81"/>
      <c r="G45" s="81"/>
      <c r="H45" s="81"/>
      <c r="I45" s="161"/>
      <c r="J45" s="154" t="str">
        <f aca="false">IF(H45="","",ROUNDUP(H45*I45*F45*G45,0))</f>
        <v/>
      </c>
      <c r="K45" s="113"/>
      <c r="L45" s="113"/>
    </row>
    <row r="46" customFormat="false" ht="12.75" hidden="false" customHeight="true" outlineLevel="0" collapsed="false">
      <c r="A46" s="121" t="str">
        <f aca="false">IF(B46="","",CONCATENATE(COUNTA($B$4:B46),"."))</f>
        <v/>
      </c>
      <c r="B46" s="112"/>
      <c r="C46" s="112"/>
      <c r="D46" s="81"/>
      <c r="E46" s="81"/>
      <c r="F46" s="81"/>
      <c r="G46" s="81"/>
      <c r="H46" s="81"/>
      <c r="I46" s="161"/>
      <c r="J46" s="154" t="str">
        <f aca="false">IF(H46="","",ROUNDUP(H46*I46*F46*G46,0))</f>
        <v/>
      </c>
      <c r="K46" s="113"/>
      <c r="L46" s="113"/>
    </row>
    <row r="47" customFormat="false" ht="12.75" hidden="false" customHeight="true" outlineLevel="0" collapsed="false">
      <c r="A47" s="121" t="str">
        <f aca="false">IF(B47="","",CONCATENATE(COUNTA($B$4:B47),"."))</f>
        <v/>
      </c>
      <c r="B47" s="112"/>
      <c r="C47" s="112"/>
      <c r="D47" s="81"/>
      <c r="E47" s="81"/>
      <c r="F47" s="81"/>
      <c r="G47" s="81"/>
      <c r="H47" s="81"/>
      <c r="I47" s="161"/>
      <c r="J47" s="154" t="str">
        <f aca="false">IF(H47="","",ROUNDUP(H47*I47*F47*G47,0))</f>
        <v/>
      </c>
      <c r="K47" s="113"/>
      <c r="L47" s="113"/>
    </row>
    <row r="48" customFormat="false" ht="12.75" hidden="false" customHeight="true" outlineLevel="0" collapsed="false">
      <c r="A48" s="121" t="str">
        <f aca="false">IF(B48="","",CONCATENATE(COUNTA($B$4:B48),"."))</f>
        <v/>
      </c>
      <c r="B48" s="112"/>
      <c r="C48" s="112"/>
      <c r="D48" s="81"/>
      <c r="E48" s="81"/>
      <c r="F48" s="81"/>
      <c r="G48" s="81"/>
      <c r="H48" s="81"/>
      <c r="I48" s="161"/>
      <c r="J48" s="154" t="str">
        <f aca="false">IF(H48="","",ROUNDUP(H48*I48*F48*G48,0))</f>
        <v/>
      </c>
      <c r="K48" s="113"/>
      <c r="L48" s="113"/>
    </row>
    <row r="49" customFormat="false" ht="12.75" hidden="false" customHeight="true" outlineLevel="0" collapsed="false">
      <c r="A49" s="121" t="str">
        <f aca="false">IF(B49="","",CONCATENATE(COUNTA($B$4:B49),"."))</f>
        <v/>
      </c>
      <c r="B49" s="112"/>
      <c r="C49" s="112"/>
      <c r="D49" s="81"/>
      <c r="E49" s="81"/>
      <c r="F49" s="81"/>
      <c r="G49" s="81"/>
      <c r="H49" s="81"/>
      <c r="I49" s="161"/>
      <c r="J49" s="154" t="str">
        <f aca="false">IF(H49="","",ROUNDUP(H49*I49*F49*G49,0))</f>
        <v/>
      </c>
      <c r="K49" s="113"/>
      <c r="L49" s="113"/>
    </row>
    <row r="50" customFormat="false" ht="12.75" hidden="false" customHeight="true" outlineLevel="0" collapsed="false">
      <c r="A50" s="121" t="str">
        <f aca="false">IF(B50="","",CONCATENATE(COUNTA($B$4:B50),"."))</f>
        <v/>
      </c>
      <c r="B50" s="112"/>
      <c r="C50" s="112"/>
      <c r="D50" s="81"/>
      <c r="E50" s="81"/>
      <c r="F50" s="81"/>
      <c r="G50" s="81"/>
      <c r="H50" s="81"/>
      <c r="I50" s="161"/>
      <c r="J50" s="154" t="str">
        <f aca="false">IF(H50="","",ROUNDUP(H50*I50*F50*G50,0))</f>
        <v/>
      </c>
      <c r="K50" s="113"/>
      <c r="L50" s="113"/>
    </row>
    <row r="51" customFormat="false" ht="12.75" hidden="false" customHeight="true" outlineLevel="0" collapsed="false">
      <c r="A51" s="121" t="str">
        <f aca="false">IF(B51="","",CONCATENATE(COUNTA($B$4:B51),"."))</f>
        <v/>
      </c>
      <c r="B51" s="112"/>
      <c r="C51" s="112"/>
      <c r="D51" s="81"/>
      <c r="E51" s="81"/>
      <c r="F51" s="81"/>
      <c r="G51" s="81"/>
      <c r="H51" s="81"/>
      <c r="I51" s="161"/>
      <c r="J51" s="154" t="str">
        <f aca="false">IF(H51="","",ROUNDUP(H51*I51*F51*G51,0))</f>
        <v/>
      </c>
      <c r="K51" s="113"/>
      <c r="L51" s="113"/>
    </row>
    <row r="52" customFormat="false" ht="12.75" hidden="false" customHeight="true" outlineLevel="0" collapsed="false">
      <c r="A52" s="121" t="str">
        <f aca="false">IF(B52="","",CONCATENATE(COUNTA($B$4:B52),"."))</f>
        <v/>
      </c>
      <c r="B52" s="112"/>
      <c r="C52" s="112"/>
      <c r="D52" s="81"/>
      <c r="E52" s="81"/>
      <c r="F52" s="81"/>
      <c r="G52" s="81"/>
      <c r="H52" s="81"/>
      <c r="I52" s="161"/>
      <c r="J52" s="154" t="str">
        <f aca="false">IF(H52="","",ROUNDUP(H52*I52*F52*G52,0))</f>
        <v/>
      </c>
      <c r="K52" s="113"/>
      <c r="L52" s="113"/>
    </row>
    <row r="53" customFormat="false" ht="12.75" hidden="false" customHeight="true" outlineLevel="0" collapsed="false">
      <c r="A53" s="121" t="str">
        <f aca="false">IF(B53="","",CONCATENATE(COUNTA($B$4:B53),"."))</f>
        <v/>
      </c>
      <c r="B53" s="112"/>
      <c r="C53" s="112"/>
      <c r="D53" s="81"/>
      <c r="E53" s="81"/>
      <c r="F53" s="81"/>
      <c r="G53" s="81"/>
      <c r="H53" s="81"/>
      <c r="I53" s="161"/>
      <c r="J53" s="154" t="str">
        <f aca="false">IF(H53="","",ROUNDUP(H53*I53*F53*G53,0))</f>
        <v/>
      </c>
      <c r="K53" s="113"/>
      <c r="L53" s="113"/>
    </row>
    <row r="54" customFormat="false" ht="12.75" hidden="false" customHeight="true" outlineLevel="0" collapsed="false">
      <c r="A54" s="121" t="str">
        <f aca="false">IF(B54="","",CONCATENATE(COUNTA($B$4:B54),"."))</f>
        <v/>
      </c>
      <c r="B54" s="112"/>
      <c r="C54" s="112"/>
      <c r="D54" s="81"/>
      <c r="E54" s="81"/>
      <c r="F54" s="81"/>
      <c r="G54" s="81"/>
      <c r="H54" s="81"/>
      <c r="I54" s="161"/>
      <c r="J54" s="154" t="str">
        <f aca="false">IF(H54="","",ROUNDUP(H54*I54*F54*G54,0))</f>
        <v/>
      </c>
      <c r="K54" s="113"/>
      <c r="L54" s="113"/>
    </row>
    <row r="55" customFormat="false" ht="12.75" hidden="false" customHeight="true" outlineLevel="0" collapsed="false">
      <c r="A55" s="121" t="str">
        <f aca="false">IF(B55="","",CONCATENATE(COUNTA($B$4:B55),"."))</f>
        <v/>
      </c>
      <c r="B55" s="112"/>
      <c r="C55" s="112"/>
      <c r="D55" s="81"/>
      <c r="E55" s="81"/>
      <c r="F55" s="81"/>
      <c r="G55" s="81"/>
      <c r="H55" s="81"/>
      <c r="I55" s="161"/>
      <c r="J55" s="154" t="str">
        <f aca="false">IF(H55="","",ROUNDUP(H55*I55*F55*G55,0))</f>
        <v/>
      </c>
      <c r="K55" s="113"/>
      <c r="L55" s="113"/>
    </row>
    <row r="56" customFormat="false" ht="12.75" hidden="false" customHeight="true" outlineLevel="0" collapsed="false">
      <c r="A56" s="121" t="str">
        <f aca="false">IF(B56="","",CONCATENATE(COUNTA($B$4:B56),"."))</f>
        <v/>
      </c>
      <c r="B56" s="112"/>
      <c r="C56" s="112"/>
      <c r="D56" s="81"/>
      <c r="E56" s="81"/>
      <c r="F56" s="81"/>
      <c r="G56" s="81"/>
      <c r="H56" s="81"/>
      <c r="I56" s="161"/>
      <c r="J56" s="154" t="str">
        <f aca="false">IF(H56="","",ROUNDUP(H56*I56*F56*G56,0))</f>
        <v/>
      </c>
      <c r="K56" s="113"/>
      <c r="L56" s="113"/>
    </row>
    <row r="57" customFormat="false" ht="12.75" hidden="false" customHeight="true" outlineLevel="0" collapsed="false">
      <c r="A57" s="121" t="str">
        <f aca="false">IF(B57="","",CONCATENATE(COUNTA($B$4:B57),"."))</f>
        <v/>
      </c>
      <c r="B57" s="112"/>
      <c r="C57" s="112"/>
      <c r="D57" s="81"/>
      <c r="E57" s="81"/>
      <c r="F57" s="81"/>
      <c r="G57" s="81"/>
      <c r="H57" s="81"/>
      <c r="I57" s="161"/>
      <c r="J57" s="154" t="str">
        <f aca="false">IF(H57="","",ROUNDUP(H57*I57*F57*G57,0))</f>
        <v/>
      </c>
      <c r="K57" s="113"/>
      <c r="L57" s="113"/>
    </row>
    <row r="58" customFormat="false" ht="12.75" hidden="false" customHeight="true" outlineLevel="0" collapsed="false">
      <c r="A58" s="121" t="str">
        <f aca="false">IF(B58="","",CONCATENATE(COUNTA($B$4:B58),"."))</f>
        <v/>
      </c>
      <c r="B58" s="112"/>
      <c r="C58" s="112"/>
      <c r="D58" s="81"/>
      <c r="E58" s="81"/>
      <c r="F58" s="81"/>
      <c r="G58" s="81"/>
      <c r="H58" s="81"/>
      <c r="I58" s="161"/>
      <c r="J58" s="154" t="str">
        <f aca="false">IF(H58="","",ROUNDUP(H58*I58*F58*G58,0))</f>
        <v/>
      </c>
      <c r="K58" s="113"/>
      <c r="L58" s="113"/>
    </row>
    <row r="59" customFormat="false" ht="12.75" hidden="false" customHeight="true" outlineLevel="0" collapsed="false">
      <c r="A59" s="121" t="str">
        <f aca="false">IF(B59="","",CONCATENATE(COUNTA($B$4:B59),"."))</f>
        <v/>
      </c>
      <c r="B59" s="112"/>
      <c r="C59" s="112"/>
      <c r="D59" s="81"/>
      <c r="E59" s="81"/>
      <c r="F59" s="81"/>
      <c r="G59" s="81"/>
      <c r="H59" s="81"/>
      <c r="I59" s="161"/>
      <c r="J59" s="154" t="str">
        <f aca="false">IF(H59="","",ROUNDUP(H59*I59*F59*G59,0))</f>
        <v/>
      </c>
      <c r="K59" s="113"/>
      <c r="L59" s="113"/>
    </row>
    <row r="60" customFormat="false" ht="12.75" hidden="false" customHeight="true" outlineLevel="0" collapsed="false">
      <c r="A60" s="121" t="str">
        <f aca="false">IF(B60="","",CONCATENATE(COUNTA($B$4:B60),"."))</f>
        <v/>
      </c>
      <c r="B60" s="112"/>
      <c r="C60" s="112"/>
      <c r="D60" s="81"/>
      <c r="E60" s="81"/>
      <c r="F60" s="81"/>
      <c r="G60" s="81"/>
      <c r="H60" s="81"/>
      <c r="I60" s="161"/>
      <c r="J60" s="154" t="str">
        <f aca="false">IF(H60="","",ROUNDUP(H60*I60*F60*G60,0))</f>
        <v/>
      </c>
      <c r="K60" s="113"/>
      <c r="L60" s="113"/>
    </row>
    <row r="61" customFormat="false" ht="12.75" hidden="false" customHeight="true" outlineLevel="0" collapsed="false">
      <c r="A61" s="121" t="str">
        <f aca="false">IF(B61="","",CONCATENATE(COUNTA($B$4:B61),"."))</f>
        <v/>
      </c>
      <c r="B61" s="112"/>
      <c r="C61" s="112"/>
      <c r="D61" s="81"/>
      <c r="E61" s="81"/>
      <c r="F61" s="81"/>
      <c r="G61" s="81"/>
      <c r="H61" s="81"/>
      <c r="I61" s="161"/>
      <c r="J61" s="154" t="str">
        <f aca="false">IF(H61="","",ROUNDUP(H61*I61*F61*G61,0))</f>
        <v/>
      </c>
      <c r="K61" s="113"/>
      <c r="L61" s="113"/>
    </row>
    <row r="62" customFormat="false" ht="12.75" hidden="false" customHeight="true" outlineLevel="0" collapsed="false">
      <c r="A62" s="121" t="str">
        <f aca="false">IF(B62="","",CONCATENATE(COUNTA($B$4:B62),"."))</f>
        <v/>
      </c>
      <c r="B62" s="112"/>
      <c r="C62" s="112"/>
      <c r="D62" s="81"/>
      <c r="E62" s="81"/>
      <c r="F62" s="81"/>
      <c r="G62" s="81"/>
      <c r="H62" s="81"/>
      <c r="I62" s="161"/>
      <c r="J62" s="154" t="str">
        <f aca="false">IF(H62="","",ROUNDUP(H62*I62*F62*G62,0))</f>
        <v/>
      </c>
      <c r="K62" s="113"/>
      <c r="L62" s="113"/>
    </row>
    <row r="63" customFormat="false" ht="12.75" hidden="false" customHeight="true" outlineLevel="0" collapsed="false">
      <c r="A63" s="121" t="str">
        <f aca="false">IF(B63="","",CONCATENATE(COUNTA($B$4:B63),"."))</f>
        <v/>
      </c>
      <c r="B63" s="112"/>
      <c r="C63" s="112"/>
      <c r="D63" s="81"/>
      <c r="E63" s="81"/>
      <c r="F63" s="81"/>
      <c r="G63" s="81"/>
      <c r="H63" s="81"/>
      <c r="I63" s="161"/>
      <c r="J63" s="154" t="str">
        <f aca="false">IF(H63="","",ROUNDUP(H63*I63*F63*G63,0))</f>
        <v/>
      </c>
      <c r="K63" s="113"/>
      <c r="L63" s="113"/>
    </row>
    <row r="64" customFormat="false" ht="12.75" hidden="false" customHeight="true" outlineLevel="0" collapsed="false">
      <c r="A64" s="121" t="str">
        <f aca="false">IF(B64="","",CONCATENATE(COUNTA($B$4:B64),"."))</f>
        <v/>
      </c>
      <c r="B64" s="112"/>
      <c r="C64" s="112"/>
      <c r="D64" s="81"/>
      <c r="E64" s="81"/>
      <c r="F64" s="81"/>
      <c r="G64" s="81"/>
      <c r="H64" s="81"/>
      <c r="I64" s="161"/>
      <c r="J64" s="154" t="str">
        <f aca="false">IF(H64="","",ROUNDUP(H64*I64*F64*G64,0))</f>
        <v/>
      </c>
      <c r="K64" s="113"/>
      <c r="L64" s="113"/>
    </row>
    <row r="65" customFormat="false" ht="12.75" hidden="false" customHeight="true" outlineLevel="0" collapsed="false">
      <c r="A65" s="121" t="str">
        <f aca="false">IF(B65="","",CONCATENATE(COUNTA($B$4:B65),"."))</f>
        <v/>
      </c>
      <c r="B65" s="112"/>
      <c r="C65" s="112"/>
      <c r="D65" s="81"/>
      <c r="E65" s="81"/>
      <c r="F65" s="81"/>
      <c r="G65" s="81"/>
      <c r="H65" s="81"/>
      <c r="I65" s="161"/>
      <c r="J65" s="154" t="str">
        <f aca="false">IF(H65="","",ROUNDUP(H65*I65*F65*G65,0))</f>
        <v/>
      </c>
      <c r="K65" s="113"/>
      <c r="L65" s="113"/>
    </row>
    <row r="66" customFormat="false" ht="12.75" hidden="false" customHeight="true" outlineLevel="0" collapsed="false">
      <c r="A66" s="121" t="str">
        <f aca="false">IF(B66="","",CONCATENATE(COUNTA($B$4:B66),"."))</f>
        <v/>
      </c>
      <c r="B66" s="112"/>
      <c r="C66" s="112"/>
      <c r="D66" s="81"/>
      <c r="E66" s="81"/>
      <c r="F66" s="81"/>
      <c r="G66" s="81"/>
      <c r="H66" s="81"/>
      <c r="I66" s="161"/>
      <c r="J66" s="154" t="str">
        <f aca="false">IF(H66="","",ROUNDUP(H66*I66*F66*G66,0))</f>
        <v/>
      </c>
      <c r="K66" s="113"/>
      <c r="L66" s="113"/>
    </row>
    <row r="67" customFormat="false" ht="12.75" hidden="false" customHeight="true" outlineLevel="0" collapsed="false">
      <c r="A67" s="121" t="str">
        <f aca="false">IF(B67="","",CONCATENATE(COUNTA($B$4:B67),"."))</f>
        <v/>
      </c>
      <c r="B67" s="112"/>
      <c r="C67" s="112"/>
      <c r="D67" s="81"/>
      <c r="E67" s="81"/>
      <c r="F67" s="81"/>
      <c r="G67" s="81"/>
      <c r="H67" s="81"/>
      <c r="I67" s="161"/>
      <c r="J67" s="154" t="str">
        <f aca="false">IF(H67="","",ROUNDUP(H67*I67*F67*G67,0))</f>
        <v/>
      </c>
      <c r="K67" s="113"/>
      <c r="L67" s="113"/>
    </row>
    <row r="68" customFormat="false" ht="12.75" hidden="false" customHeight="true" outlineLevel="0" collapsed="false">
      <c r="A68" s="121" t="str">
        <f aca="false">IF(B68="","",CONCATENATE(COUNTA($B$4:B68),"."))</f>
        <v/>
      </c>
      <c r="B68" s="112"/>
      <c r="C68" s="112"/>
      <c r="D68" s="81"/>
      <c r="E68" s="81"/>
      <c r="F68" s="81"/>
      <c r="G68" s="81"/>
      <c r="H68" s="81"/>
      <c r="I68" s="161"/>
      <c r="J68" s="154" t="str">
        <f aca="false">IF(H68="","",ROUNDUP(H68*I68*F68*G68,0))</f>
        <v/>
      </c>
      <c r="K68" s="113"/>
      <c r="L68" s="113"/>
    </row>
    <row r="69" customFormat="false" ht="12.75" hidden="false" customHeight="true" outlineLevel="0" collapsed="false">
      <c r="A69" s="121" t="str">
        <f aca="false">IF(B69="","",CONCATENATE(COUNTA($B$4:B69),"."))</f>
        <v/>
      </c>
      <c r="B69" s="112"/>
      <c r="C69" s="112"/>
      <c r="D69" s="81"/>
      <c r="E69" s="81"/>
      <c r="F69" s="81"/>
      <c r="G69" s="81"/>
      <c r="H69" s="81"/>
      <c r="I69" s="161"/>
      <c r="J69" s="154" t="str">
        <f aca="false">IF(H69="","",ROUNDUP(H69*I69*F69*G69,0))</f>
        <v/>
      </c>
      <c r="K69" s="113"/>
      <c r="L69" s="113"/>
    </row>
    <row r="70" customFormat="false" ht="12.75" hidden="false" customHeight="true" outlineLevel="0" collapsed="false">
      <c r="A70" s="121" t="str">
        <f aca="false">IF(B70="","",CONCATENATE(COUNTA($B$4:B70),"."))</f>
        <v/>
      </c>
      <c r="B70" s="112"/>
      <c r="C70" s="112"/>
      <c r="D70" s="81"/>
      <c r="E70" s="81"/>
      <c r="F70" s="81"/>
      <c r="G70" s="81"/>
      <c r="H70" s="81"/>
      <c r="I70" s="161"/>
      <c r="J70" s="154" t="str">
        <f aca="false">IF(H70="","",ROUNDUP(H70*I70*F70*G70,0))</f>
        <v/>
      </c>
      <c r="K70" s="113"/>
      <c r="L70" s="113"/>
    </row>
    <row r="71" customFormat="false" ht="12.75" hidden="false" customHeight="true" outlineLevel="0" collapsed="false">
      <c r="A71" s="121" t="str">
        <f aca="false">IF(B71="","",CONCATENATE(COUNTA($B$4:B71),"."))</f>
        <v/>
      </c>
      <c r="B71" s="112"/>
      <c r="C71" s="112"/>
      <c r="D71" s="81"/>
      <c r="E71" s="81"/>
      <c r="F71" s="81"/>
      <c r="G71" s="81"/>
      <c r="H71" s="81"/>
      <c r="I71" s="161"/>
      <c r="J71" s="154" t="str">
        <f aca="false">IF(H71="","",ROUNDUP(H71*I71*F71*G71,0))</f>
        <v/>
      </c>
      <c r="K71" s="113"/>
      <c r="L71" s="113"/>
    </row>
    <row r="72" customFormat="false" ht="12.75" hidden="false" customHeight="true" outlineLevel="0" collapsed="false">
      <c r="A72" s="121" t="str">
        <f aca="false">IF(B72="","",CONCATENATE(COUNTA($B$4:B72),"."))</f>
        <v/>
      </c>
      <c r="B72" s="112"/>
      <c r="C72" s="112"/>
      <c r="D72" s="81"/>
      <c r="E72" s="81"/>
      <c r="F72" s="81"/>
      <c r="G72" s="81"/>
      <c r="H72" s="81"/>
      <c r="I72" s="161"/>
      <c r="J72" s="154" t="str">
        <f aca="false">IF(H72="","",ROUNDUP(H72*I72*F72*G72,0))</f>
        <v/>
      </c>
      <c r="K72" s="113"/>
      <c r="L72" s="113"/>
    </row>
    <row r="73" customFormat="false" ht="12.75" hidden="false" customHeight="true" outlineLevel="0" collapsed="false">
      <c r="A73" s="121" t="str">
        <f aca="false">IF(B73="","",CONCATENATE(COUNTA($B$4:B73),"."))</f>
        <v/>
      </c>
      <c r="B73" s="112"/>
      <c r="C73" s="112"/>
      <c r="D73" s="81"/>
      <c r="E73" s="81"/>
      <c r="F73" s="81"/>
      <c r="G73" s="81"/>
      <c r="H73" s="81"/>
      <c r="I73" s="161"/>
      <c r="J73" s="154" t="str">
        <f aca="false">IF(H73="","",ROUNDUP(H73*I73*F73*G73,0))</f>
        <v/>
      </c>
      <c r="K73" s="113"/>
      <c r="L73" s="113"/>
    </row>
    <row r="74" customFormat="false" ht="12.75" hidden="false" customHeight="true" outlineLevel="0" collapsed="false">
      <c r="A74" s="121" t="str">
        <f aca="false">IF(B74="","",CONCATENATE(COUNTA($B$4:B74),"."))</f>
        <v/>
      </c>
      <c r="B74" s="112"/>
      <c r="C74" s="112"/>
      <c r="D74" s="81"/>
      <c r="E74" s="81"/>
      <c r="F74" s="81"/>
      <c r="G74" s="81"/>
      <c r="H74" s="81"/>
      <c r="I74" s="161"/>
      <c r="J74" s="154" t="str">
        <f aca="false">IF(H74="","",ROUNDUP(H74*I74*F74*G74,0))</f>
        <v/>
      </c>
      <c r="K74" s="113"/>
      <c r="L74" s="113"/>
    </row>
    <row r="75" customFormat="false" ht="12.75" hidden="false" customHeight="true" outlineLevel="0" collapsed="false">
      <c r="A75" s="121" t="str">
        <f aca="false">IF(B75="","",CONCATENATE(COUNTA($B$4:B75),"."))</f>
        <v/>
      </c>
      <c r="B75" s="112"/>
      <c r="C75" s="112"/>
      <c r="D75" s="81"/>
      <c r="E75" s="81"/>
      <c r="F75" s="81"/>
      <c r="G75" s="81"/>
      <c r="H75" s="81"/>
      <c r="I75" s="161"/>
      <c r="J75" s="154" t="str">
        <f aca="false">IF(H75="","",ROUNDUP(H75*I75*F75*G75,0))</f>
        <v/>
      </c>
      <c r="K75" s="113"/>
      <c r="L75" s="113"/>
    </row>
    <row r="76" customFormat="false" ht="12.75" hidden="false" customHeight="true" outlineLevel="0" collapsed="false">
      <c r="A76" s="121" t="str">
        <f aca="false">IF(B76="","",CONCATENATE(COUNTA($B$4:B76),"."))</f>
        <v/>
      </c>
      <c r="B76" s="112"/>
      <c r="C76" s="112"/>
      <c r="D76" s="81"/>
      <c r="E76" s="81"/>
      <c r="F76" s="81"/>
      <c r="G76" s="81"/>
      <c r="H76" s="81"/>
      <c r="I76" s="161"/>
      <c r="J76" s="154" t="str">
        <f aca="false">IF(H76="","",ROUNDUP(H76*I76*F76*G76,0))</f>
        <v/>
      </c>
      <c r="K76" s="113"/>
      <c r="L76" s="113"/>
    </row>
    <row r="77" customFormat="false" ht="12.75" hidden="false" customHeight="true" outlineLevel="0" collapsed="false">
      <c r="A77" s="121" t="str">
        <f aca="false">IF(B77="","",CONCATENATE(COUNTA($B$4:B77),"."))</f>
        <v/>
      </c>
      <c r="B77" s="112"/>
      <c r="C77" s="112"/>
      <c r="D77" s="81"/>
      <c r="E77" s="81"/>
      <c r="F77" s="81"/>
      <c r="G77" s="81"/>
      <c r="H77" s="81"/>
      <c r="I77" s="161"/>
      <c r="J77" s="154" t="str">
        <f aca="false">IF(H77="","",ROUNDUP(H77*I77*F77*G77,0))</f>
        <v/>
      </c>
      <c r="K77" s="113"/>
      <c r="L77" s="113"/>
    </row>
    <row r="78" customFormat="false" ht="12.75" hidden="false" customHeight="true" outlineLevel="0" collapsed="false">
      <c r="A78" s="121" t="str">
        <f aca="false">IF(B78="","",CONCATENATE(COUNTA($B$4:B78),"."))</f>
        <v/>
      </c>
      <c r="B78" s="112"/>
      <c r="C78" s="112"/>
      <c r="D78" s="81"/>
      <c r="E78" s="81"/>
      <c r="F78" s="81"/>
      <c r="G78" s="81"/>
      <c r="H78" s="81"/>
      <c r="I78" s="161"/>
      <c r="J78" s="154" t="str">
        <f aca="false">IF(H78="","",ROUNDUP(H78*I78*F78*G78,0))</f>
        <v/>
      </c>
      <c r="K78" s="113"/>
      <c r="L78" s="113"/>
    </row>
    <row r="79" customFormat="false" ht="12.75" hidden="false" customHeight="true" outlineLevel="0" collapsed="false">
      <c r="A79" s="121" t="str">
        <f aca="false">IF(B79="","",CONCATENATE(COUNTA($B$4:B79),"."))</f>
        <v/>
      </c>
      <c r="B79" s="112"/>
      <c r="C79" s="112"/>
      <c r="D79" s="81"/>
      <c r="E79" s="81"/>
      <c r="F79" s="81"/>
      <c r="G79" s="81"/>
      <c r="H79" s="81"/>
      <c r="I79" s="161"/>
      <c r="J79" s="154" t="str">
        <f aca="false">IF(H79="","",ROUNDUP(H79*I79*F79*G79,0))</f>
        <v/>
      </c>
      <c r="K79" s="113"/>
      <c r="L79" s="113"/>
    </row>
    <row r="80" customFormat="false" ht="12.75" hidden="false" customHeight="true" outlineLevel="0" collapsed="false">
      <c r="A80" s="121" t="str">
        <f aca="false">IF(B80="","",CONCATENATE(COUNTA($B$4:B80),"."))</f>
        <v/>
      </c>
      <c r="B80" s="112"/>
      <c r="C80" s="112"/>
      <c r="D80" s="81"/>
      <c r="E80" s="81"/>
      <c r="F80" s="81"/>
      <c r="G80" s="81"/>
      <c r="H80" s="81"/>
      <c r="I80" s="161"/>
      <c r="J80" s="154" t="str">
        <f aca="false">IF(H80="","",ROUNDUP(H80*I80*F80*G80,0))</f>
        <v/>
      </c>
      <c r="K80" s="113"/>
      <c r="L80" s="113"/>
    </row>
    <row r="81" customFormat="false" ht="12.75" hidden="false" customHeight="true" outlineLevel="0" collapsed="false">
      <c r="A81" s="121" t="str">
        <f aca="false">IF(B81="","",CONCATENATE(COUNTA($B$4:B81),"."))</f>
        <v/>
      </c>
      <c r="B81" s="112"/>
      <c r="C81" s="112"/>
      <c r="D81" s="81"/>
      <c r="E81" s="81"/>
      <c r="F81" s="81"/>
      <c r="G81" s="81"/>
      <c r="H81" s="81"/>
      <c r="I81" s="161"/>
      <c r="J81" s="154" t="str">
        <f aca="false">IF(H81="","",ROUNDUP(H81*I81*F81*G81,0))</f>
        <v/>
      </c>
      <c r="K81" s="113"/>
      <c r="L81" s="113"/>
    </row>
    <row r="82" customFormat="false" ht="12.75" hidden="false" customHeight="true" outlineLevel="0" collapsed="false">
      <c r="A82" s="121" t="str">
        <f aca="false">IF(B82="","",CONCATENATE(COUNTA($B$4:B82),"."))</f>
        <v/>
      </c>
      <c r="B82" s="112"/>
      <c r="C82" s="112"/>
      <c r="D82" s="81"/>
      <c r="E82" s="81"/>
      <c r="F82" s="81"/>
      <c r="G82" s="81"/>
      <c r="H82" s="81"/>
      <c r="I82" s="161"/>
      <c r="J82" s="154" t="str">
        <f aca="false">IF(H82="","",ROUNDUP(H82*I82*F82*G82,0))</f>
        <v/>
      </c>
      <c r="K82" s="113"/>
      <c r="L82" s="113"/>
    </row>
    <row r="83" customFormat="false" ht="12.75" hidden="false" customHeight="true" outlineLevel="0" collapsed="false">
      <c r="A83" s="121" t="str">
        <f aca="false">IF(B83="","",CONCATENATE(COUNTA($B$4:B83),"."))</f>
        <v/>
      </c>
      <c r="B83" s="112"/>
      <c r="C83" s="112"/>
      <c r="D83" s="81"/>
      <c r="E83" s="81"/>
      <c r="F83" s="81"/>
      <c r="G83" s="81"/>
      <c r="H83" s="81"/>
      <c r="I83" s="161"/>
      <c r="J83" s="154" t="str">
        <f aca="false">IF(H83="","",ROUNDUP(H83*I83*F83*G83,0))</f>
        <v/>
      </c>
      <c r="K83" s="113"/>
      <c r="L83" s="113"/>
    </row>
    <row r="84" customFormat="false" ht="12.75" hidden="false" customHeight="true" outlineLevel="0" collapsed="false">
      <c r="A84" s="121" t="str">
        <f aca="false">IF(B84="","",CONCATENATE(COUNTA($B$4:B84),"."))</f>
        <v/>
      </c>
      <c r="B84" s="112"/>
      <c r="C84" s="112"/>
      <c r="D84" s="81"/>
      <c r="E84" s="81"/>
      <c r="F84" s="81"/>
      <c r="G84" s="81"/>
      <c r="H84" s="81"/>
      <c r="I84" s="161"/>
      <c r="J84" s="154" t="str">
        <f aca="false">IF(H84="","",ROUNDUP(H84*I84*F84*G84,0))</f>
        <v/>
      </c>
      <c r="K84" s="113"/>
      <c r="L84" s="113"/>
    </row>
    <row r="85" customFormat="false" ht="12.75" hidden="false" customHeight="true" outlineLevel="0" collapsed="false">
      <c r="A85" s="121" t="str">
        <f aca="false">IF(B85="","",CONCATENATE(COUNTA($B$4:B85),"."))</f>
        <v/>
      </c>
      <c r="B85" s="112"/>
      <c r="C85" s="112"/>
      <c r="D85" s="81"/>
      <c r="E85" s="81"/>
      <c r="F85" s="81"/>
      <c r="G85" s="81"/>
      <c r="H85" s="81"/>
      <c r="I85" s="161"/>
      <c r="J85" s="154" t="str">
        <f aca="false">IF(H85="","",ROUNDUP(H85*I85*F85*G85,0))</f>
        <v/>
      </c>
      <c r="K85" s="113"/>
      <c r="L85" s="113"/>
    </row>
    <row r="86" customFormat="false" ht="12.75" hidden="false" customHeight="true" outlineLevel="0" collapsed="false">
      <c r="A86" s="121" t="str">
        <f aca="false">IF(B86="","",CONCATENATE(COUNTA($B$4:B86),"."))</f>
        <v/>
      </c>
      <c r="B86" s="112"/>
      <c r="C86" s="112"/>
      <c r="D86" s="81"/>
      <c r="E86" s="81"/>
      <c r="F86" s="81"/>
      <c r="G86" s="81"/>
      <c r="H86" s="81"/>
      <c r="I86" s="161"/>
      <c r="J86" s="154" t="str">
        <f aca="false">IF(H86="","",ROUNDUP(H86*I86*F86*G86,0))</f>
        <v/>
      </c>
      <c r="K86" s="113"/>
      <c r="L86" s="113"/>
    </row>
    <row r="87" customFormat="false" ht="12.75" hidden="false" customHeight="true" outlineLevel="0" collapsed="false">
      <c r="A87" s="121" t="str">
        <f aca="false">IF(B87="","",CONCATENATE(COUNTA($B$4:B87),"."))</f>
        <v/>
      </c>
      <c r="B87" s="112"/>
      <c r="C87" s="112"/>
      <c r="D87" s="81"/>
      <c r="E87" s="81"/>
      <c r="F87" s="81"/>
      <c r="G87" s="81"/>
      <c r="H87" s="81"/>
      <c r="I87" s="161"/>
      <c r="J87" s="154" t="str">
        <f aca="false">IF(H87="","",ROUNDUP(H87*I87*F87*G87,0))</f>
        <v/>
      </c>
      <c r="K87" s="113"/>
      <c r="L87" s="113"/>
    </row>
    <row r="88" customFormat="false" ht="12.75" hidden="false" customHeight="true" outlineLevel="0" collapsed="false">
      <c r="A88" s="121" t="str">
        <f aca="false">IF(B88="","",CONCATENATE(COUNTA($B$4:B88),"."))</f>
        <v/>
      </c>
      <c r="B88" s="112"/>
      <c r="C88" s="112"/>
      <c r="D88" s="81"/>
      <c r="E88" s="81"/>
      <c r="F88" s="81"/>
      <c r="G88" s="81"/>
      <c r="H88" s="81"/>
      <c r="I88" s="161"/>
      <c r="J88" s="154" t="str">
        <f aca="false">IF(H88="","",ROUNDUP(H88*I88*F88*G88,0))</f>
        <v/>
      </c>
      <c r="K88" s="113"/>
      <c r="L88" s="113"/>
    </row>
    <row r="89" customFormat="false" ht="12.75" hidden="false" customHeight="true" outlineLevel="0" collapsed="false">
      <c r="A89" s="121" t="str">
        <f aca="false">IF(B89="","",CONCATENATE(COUNTA($B$4:B89),"."))</f>
        <v/>
      </c>
      <c r="B89" s="112"/>
      <c r="C89" s="112"/>
      <c r="D89" s="81"/>
      <c r="E89" s="81"/>
      <c r="F89" s="81"/>
      <c r="G89" s="81"/>
      <c r="H89" s="81"/>
      <c r="I89" s="161"/>
      <c r="J89" s="154" t="str">
        <f aca="false">IF(H89="","",ROUNDUP(H89*I89*F89*G89,0))</f>
        <v/>
      </c>
      <c r="K89" s="113"/>
      <c r="L89" s="113"/>
    </row>
    <row r="90" customFormat="false" ht="12.75" hidden="false" customHeight="true" outlineLevel="0" collapsed="false">
      <c r="A90" s="121" t="str">
        <f aca="false">IF(B90="","",CONCATENATE(COUNTA($B$4:B90),"."))</f>
        <v/>
      </c>
      <c r="B90" s="112"/>
      <c r="C90" s="112"/>
      <c r="D90" s="81"/>
      <c r="E90" s="81"/>
      <c r="F90" s="81"/>
      <c r="G90" s="81"/>
      <c r="H90" s="81"/>
      <c r="I90" s="161"/>
      <c r="J90" s="154" t="str">
        <f aca="false">IF(H90="","",ROUNDUP(H90*I90*F90*G90,0))</f>
        <v/>
      </c>
      <c r="K90" s="113"/>
      <c r="L90" s="113"/>
    </row>
    <row r="91" customFormat="false" ht="12.75" hidden="false" customHeight="true" outlineLevel="0" collapsed="false">
      <c r="A91" s="121" t="str">
        <f aca="false">IF(B91="","",CONCATENATE(COUNTA($B$4:B91),"."))</f>
        <v/>
      </c>
      <c r="B91" s="112"/>
      <c r="C91" s="112"/>
      <c r="D91" s="81"/>
      <c r="E91" s="81"/>
      <c r="F91" s="81"/>
      <c r="G91" s="81"/>
      <c r="H91" s="81"/>
      <c r="I91" s="161"/>
      <c r="J91" s="154" t="str">
        <f aca="false">IF(H91="","",ROUNDUP(H91*I91*F91*G91,0))</f>
        <v/>
      </c>
      <c r="K91" s="113"/>
      <c r="L91" s="113"/>
    </row>
    <row r="92" customFormat="false" ht="12.75" hidden="false" customHeight="true" outlineLevel="0" collapsed="false">
      <c r="A92" s="121" t="str">
        <f aca="false">IF(B92="","",CONCATENATE(COUNTA($B$4:B92),"."))</f>
        <v/>
      </c>
      <c r="B92" s="112"/>
      <c r="C92" s="112"/>
      <c r="D92" s="81"/>
      <c r="E92" s="81"/>
      <c r="F92" s="81"/>
      <c r="G92" s="81"/>
      <c r="H92" s="81"/>
      <c r="I92" s="161"/>
      <c r="J92" s="154" t="str">
        <f aca="false">IF(H92="","",ROUNDUP(H92*I92*F92*G92,0))</f>
        <v/>
      </c>
      <c r="K92" s="113"/>
      <c r="L92" s="113"/>
    </row>
    <row r="93" customFormat="false" ht="12.75" hidden="false" customHeight="true" outlineLevel="0" collapsed="false">
      <c r="A93" s="121" t="str">
        <f aca="false">IF(B93="","",CONCATENATE(COUNTA($B$4:B93),"."))</f>
        <v/>
      </c>
      <c r="B93" s="112"/>
      <c r="C93" s="112"/>
      <c r="D93" s="81"/>
      <c r="E93" s="81"/>
      <c r="F93" s="81"/>
      <c r="G93" s="81"/>
      <c r="H93" s="81"/>
      <c r="I93" s="161"/>
      <c r="J93" s="154" t="str">
        <f aca="false">IF(H93="","",ROUNDUP(H93*I93*F93*G93,0))</f>
        <v/>
      </c>
      <c r="K93" s="113"/>
      <c r="L93" s="113"/>
    </row>
    <row r="94" customFormat="false" ht="12.75" hidden="false" customHeight="true" outlineLevel="0" collapsed="false">
      <c r="A94" s="121" t="str">
        <f aca="false">IF(B94="","",CONCATENATE(COUNTA($B$4:B94),"."))</f>
        <v/>
      </c>
      <c r="B94" s="112"/>
      <c r="C94" s="112"/>
      <c r="D94" s="81"/>
      <c r="E94" s="81"/>
      <c r="F94" s="81"/>
      <c r="G94" s="81"/>
      <c r="H94" s="81"/>
      <c r="I94" s="161"/>
      <c r="J94" s="154" t="str">
        <f aca="false">IF(H94="","",ROUNDUP(H94*I94*F94*G94,0))</f>
        <v/>
      </c>
      <c r="K94" s="113"/>
      <c r="L94" s="113"/>
    </row>
    <row r="95" customFormat="false" ht="12.75" hidden="false" customHeight="true" outlineLevel="0" collapsed="false">
      <c r="A95" s="121" t="str">
        <f aca="false">IF(B95="","",CONCATENATE(COUNTA($B$4:B95),"."))</f>
        <v/>
      </c>
      <c r="B95" s="112"/>
      <c r="C95" s="112"/>
      <c r="D95" s="81"/>
      <c r="E95" s="81"/>
      <c r="F95" s="81"/>
      <c r="G95" s="81"/>
      <c r="H95" s="81"/>
      <c r="I95" s="161"/>
      <c r="J95" s="154" t="str">
        <f aca="false">IF(H95="","",ROUNDUP(H95*I95*F95*G95,0))</f>
        <v/>
      </c>
      <c r="K95" s="113"/>
      <c r="L95" s="113"/>
    </row>
    <row r="96" customFormat="false" ht="12.75" hidden="false" customHeight="true" outlineLevel="0" collapsed="false">
      <c r="A96" s="121" t="str">
        <f aca="false">IF(B96="","",CONCATENATE(COUNTA($B$4:B96),"."))</f>
        <v/>
      </c>
      <c r="B96" s="112"/>
      <c r="C96" s="112"/>
      <c r="D96" s="81"/>
      <c r="E96" s="81"/>
      <c r="F96" s="81"/>
      <c r="G96" s="81"/>
      <c r="H96" s="81"/>
      <c r="I96" s="161"/>
      <c r="J96" s="154" t="str">
        <f aca="false">IF(H96="","",ROUNDUP(H96*I96*F96*G96,0))</f>
        <v/>
      </c>
      <c r="K96" s="113"/>
      <c r="L96" s="113"/>
    </row>
    <row r="97" customFormat="false" ht="12.75" hidden="false" customHeight="true" outlineLevel="0" collapsed="false">
      <c r="A97" s="121" t="str">
        <f aca="false">IF(B97="","",CONCATENATE(COUNTA($B$4:B97),"."))</f>
        <v/>
      </c>
      <c r="B97" s="112"/>
      <c r="C97" s="112"/>
      <c r="D97" s="81"/>
      <c r="E97" s="81"/>
      <c r="F97" s="81"/>
      <c r="G97" s="81"/>
      <c r="H97" s="81"/>
      <c r="I97" s="161"/>
      <c r="J97" s="154" t="str">
        <f aca="false">IF(H97="","",ROUNDUP(H97*I97*F97*G97,0))</f>
        <v/>
      </c>
      <c r="K97" s="113"/>
      <c r="L97" s="113"/>
    </row>
    <row r="98" customFormat="false" ht="12.75" hidden="false" customHeight="true" outlineLevel="0" collapsed="false">
      <c r="A98" s="121" t="str">
        <f aca="false">IF(B98="","",CONCATENATE(COUNTA($B$4:B98),"."))</f>
        <v/>
      </c>
      <c r="B98" s="112"/>
      <c r="C98" s="112"/>
      <c r="D98" s="81"/>
      <c r="E98" s="81"/>
      <c r="F98" s="81"/>
      <c r="G98" s="81"/>
      <c r="H98" s="81"/>
      <c r="I98" s="161"/>
      <c r="J98" s="154" t="str">
        <f aca="false">IF(H98="","",ROUNDUP(H98*I98*F98*G98,0))</f>
        <v/>
      </c>
      <c r="K98" s="113"/>
      <c r="L98" s="113"/>
    </row>
    <row r="99" customFormat="false" ht="12.75" hidden="false" customHeight="true" outlineLevel="0" collapsed="false">
      <c r="A99" s="121" t="str">
        <f aca="false">IF(B99="","",CONCATENATE(COUNTA($B$4:B99),"."))</f>
        <v/>
      </c>
      <c r="B99" s="112"/>
      <c r="C99" s="112"/>
      <c r="D99" s="81"/>
      <c r="E99" s="81"/>
      <c r="F99" s="81"/>
      <c r="G99" s="81"/>
      <c r="H99" s="81"/>
      <c r="I99" s="161"/>
      <c r="J99" s="154" t="str">
        <f aca="false">IF(H99="","",ROUNDUP(H99*I99*F99*G99,0))</f>
        <v/>
      </c>
      <c r="K99" s="113"/>
      <c r="L99" s="113"/>
    </row>
    <row r="100" customFormat="false" ht="12.75" hidden="false" customHeight="true" outlineLevel="0" collapsed="false">
      <c r="A100" s="121" t="str">
        <f aca="false">IF(B100="","",CONCATENATE(COUNTA($B$4:B100),"."))</f>
        <v/>
      </c>
      <c r="B100" s="112"/>
      <c r="C100" s="112"/>
      <c r="D100" s="81"/>
      <c r="E100" s="81"/>
      <c r="F100" s="81"/>
      <c r="G100" s="81"/>
      <c r="H100" s="81"/>
      <c r="I100" s="161"/>
      <c r="J100" s="154" t="str">
        <f aca="false">IF(H100="","",ROUNDUP(H100*I100*F100*G100,0))</f>
        <v/>
      </c>
      <c r="K100" s="113"/>
      <c r="L100" s="113"/>
    </row>
    <row r="101" customFormat="false" ht="12.75" hidden="false" customHeight="true" outlineLevel="0" collapsed="false">
      <c r="A101" s="121" t="str">
        <f aca="false">IF(B101="","",CONCATENATE(COUNTA($B$4:B101),"."))</f>
        <v/>
      </c>
      <c r="B101" s="112"/>
      <c r="C101" s="112"/>
      <c r="D101" s="81"/>
      <c r="E101" s="81"/>
      <c r="F101" s="81"/>
      <c r="G101" s="81"/>
      <c r="H101" s="81"/>
      <c r="I101" s="161"/>
      <c r="J101" s="154" t="str">
        <f aca="false">IF(H101="","",ROUNDUP(H101*I101*F101*G101,0))</f>
        <v/>
      </c>
      <c r="K101" s="113"/>
      <c r="L101" s="113"/>
    </row>
    <row r="102" customFormat="false" ht="12.75" hidden="false" customHeight="true" outlineLevel="0" collapsed="false">
      <c r="A102" s="121" t="str">
        <f aca="false">IF(B102="","",CONCATENATE(COUNTA($B$4:B102),"."))</f>
        <v/>
      </c>
      <c r="B102" s="112"/>
      <c r="C102" s="112"/>
      <c r="D102" s="81"/>
      <c r="E102" s="81"/>
      <c r="F102" s="81"/>
      <c r="G102" s="81"/>
      <c r="H102" s="81"/>
      <c r="I102" s="161"/>
      <c r="J102" s="154" t="str">
        <f aca="false">IF(H102="","",ROUNDUP(H102*I102*F102*G102,0))</f>
        <v/>
      </c>
      <c r="K102" s="113"/>
      <c r="L102" s="113"/>
    </row>
    <row r="103" customFormat="false" ht="12.75" hidden="false" customHeight="true" outlineLevel="0" collapsed="false">
      <c r="A103" s="121" t="str">
        <f aca="false">IF(B103="","",CONCATENATE(COUNTA($B$4:B103),"."))</f>
        <v/>
      </c>
      <c r="B103" s="112"/>
      <c r="C103" s="112"/>
      <c r="D103" s="81"/>
      <c r="E103" s="81"/>
      <c r="F103" s="81"/>
      <c r="G103" s="81"/>
      <c r="H103" s="81"/>
      <c r="I103" s="161"/>
      <c r="J103" s="154" t="str">
        <f aca="false">IF(H103="","",ROUNDUP(H103*I103*F103*G103,0))</f>
        <v/>
      </c>
      <c r="K103" s="113"/>
      <c r="L103" s="113"/>
    </row>
    <row r="104" customFormat="false" ht="12.75" hidden="false" customHeight="true" outlineLevel="0" collapsed="false">
      <c r="A104" s="121" t="str">
        <f aca="false">IF(B104="","",CONCATENATE(COUNTA($B$4:B104),"."))</f>
        <v/>
      </c>
      <c r="B104" s="112"/>
      <c r="C104" s="112"/>
      <c r="D104" s="81"/>
      <c r="E104" s="81"/>
      <c r="F104" s="81"/>
      <c r="G104" s="81"/>
      <c r="H104" s="81"/>
      <c r="I104" s="161"/>
      <c r="J104" s="154" t="str">
        <f aca="false">IF(H104="","",ROUNDUP(H104*I104*F104*G104,0))</f>
        <v/>
      </c>
      <c r="K104" s="113"/>
      <c r="L104" s="113"/>
    </row>
    <row r="105" customFormat="false" ht="12.75" hidden="false" customHeight="true" outlineLevel="0" collapsed="false">
      <c r="A105" s="121" t="str">
        <f aca="false">IF(B105="","",CONCATENATE(COUNTA($B$4:B105),"."))</f>
        <v/>
      </c>
      <c r="B105" s="112"/>
      <c r="C105" s="112"/>
      <c r="D105" s="81"/>
      <c r="E105" s="81"/>
      <c r="F105" s="81"/>
      <c r="G105" s="81"/>
      <c r="H105" s="81"/>
      <c r="I105" s="161"/>
      <c r="J105" s="154" t="str">
        <f aca="false">IF(H105="","",ROUNDUP(H105*I105*F105*G105,0))</f>
        <v/>
      </c>
      <c r="K105" s="113"/>
      <c r="L105" s="113"/>
    </row>
    <row r="106" customFormat="false" ht="12.75" hidden="false" customHeight="true" outlineLevel="0" collapsed="false">
      <c r="A106" s="121" t="str">
        <f aca="false">IF(B106="","",CONCATENATE(COUNTA($B$4:B106),"."))</f>
        <v/>
      </c>
      <c r="B106" s="112"/>
      <c r="C106" s="112"/>
      <c r="D106" s="81"/>
      <c r="E106" s="81"/>
      <c r="F106" s="81"/>
      <c r="G106" s="81"/>
      <c r="H106" s="81"/>
      <c r="I106" s="161"/>
      <c r="J106" s="154" t="str">
        <f aca="false">IF(H106="","",ROUNDUP(H106*I106*F106*G106,0))</f>
        <v/>
      </c>
      <c r="K106" s="113"/>
      <c r="L106" s="113"/>
    </row>
    <row r="107" customFormat="false" ht="12.75" hidden="false" customHeight="true" outlineLevel="0" collapsed="false">
      <c r="A107" s="121" t="str">
        <f aca="false">IF(B107="","",CONCATENATE(COUNTA($B$4:B107),"."))</f>
        <v/>
      </c>
      <c r="B107" s="112"/>
      <c r="C107" s="112"/>
      <c r="D107" s="81"/>
      <c r="E107" s="81"/>
      <c r="F107" s="81"/>
      <c r="G107" s="81"/>
      <c r="H107" s="81"/>
      <c r="I107" s="161"/>
      <c r="J107" s="154" t="str">
        <f aca="false">IF(H107="","",ROUNDUP(H107*I107*F107*G107,0))</f>
        <v/>
      </c>
      <c r="K107" s="113"/>
      <c r="L107" s="113"/>
    </row>
    <row r="108" customFormat="false" ht="12.75" hidden="false" customHeight="true" outlineLevel="0" collapsed="false">
      <c r="A108" s="121" t="str">
        <f aca="false">IF(B108="","",CONCATENATE(COUNTA($B$4:B108),"."))</f>
        <v/>
      </c>
      <c r="B108" s="112"/>
      <c r="C108" s="112"/>
      <c r="D108" s="81"/>
      <c r="E108" s="81"/>
      <c r="F108" s="81"/>
      <c r="G108" s="81"/>
      <c r="H108" s="81"/>
      <c r="I108" s="161"/>
      <c r="J108" s="154" t="str">
        <f aca="false">IF(H108="","",ROUNDUP(H108*I108*F108*G108,0))</f>
        <v/>
      </c>
      <c r="K108" s="113"/>
      <c r="L108" s="113"/>
    </row>
    <row r="109" customFormat="false" ht="12.75" hidden="false" customHeight="true" outlineLevel="0" collapsed="false">
      <c r="A109" s="121" t="str">
        <f aca="false">IF(B109="","",CONCATENATE(COUNTA($B$4:B109),"."))</f>
        <v/>
      </c>
      <c r="B109" s="112"/>
      <c r="C109" s="112"/>
      <c r="D109" s="81"/>
      <c r="E109" s="81"/>
      <c r="F109" s="81"/>
      <c r="G109" s="81"/>
      <c r="H109" s="81"/>
      <c r="I109" s="161"/>
      <c r="J109" s="154" t="str">
        <f aca="false">IF(H109="","",ROUNDUP(H109*I109*F109*G109,0))</f>
        <v/>
      </c>
      <c r="K109" s="113"/>
      <c r="L109" s="113"/>
    </row>
    <row r="110" customFormat="false" ht="12.75" hidden="false" customHeight="true" outlineLevel="0" collapsed="false">
      <c r="A110" s="121" t="str">
        <f aca="false">IF(B110="","",CONCATENATE(COUNTA($B$4:B110),"."))</f>
        <v/>
      </c>
      <c r="B110" s="112"/>
      <c r="C110" s="112"/>
      <c r="D110" s="81"/>
      <c r="E110" s="81"/>
      <c r="F110" s="81"/>
      <c r="G110" s="81"/>
      <c r="H110" s="81"/>
      <c r="I110" s="161"/>
      <c r="J110" s="154" t="str">
        <f aca="false">IF(H110="","",ROUNDUP(H110*I110*F110*G110,0))</f>
        <v/>
      </c>
      <c r="K110" s="113"/>
      <c r="L110" s="113"/>
    </row>
    <row r="111" customFormat="false" ht="12.75" hidden="false" customHeight="true" outlineLevel="0" collapsed="false">
      <c r="A111" s="121" t="str">
        <f aca="false">IF(B111="","",CONCATENATE(COUNTA($B$4:B111),"."))</f>
        <v/>
      </c>
      <c r="B111" s="112"/>
      <c r="C111" s="112"/>
      <c r="D111" s="81"/>
      <c r="E111" s="81"/>
      <c r="F111" s="81"/>
      <c r="G111" s="81"/>
      <c r="H111" s="81"/>
      <c r="I111" s="161"/>
      <c r="J111" s="154" t="str">
        <f aca="false">IF(H111="","",ROUNDUP(H111*I111*F111*G111,0))</f>
        <v/>
      </c>
      <c r="K111" s="113"/>
      <c r="L111" s="113"/>
    </row>
    <row r="112" customFormat="false" ht="12.75" hidden="false" customHeight="true" outlineLevel="0" collapsed="false">
      <c r="A112" s="121" t="str">
        <f aca="false">IF(B112="","",CONCATENATE(COUNTA($B$4:B112),"."))</f>
        <v/>
      </c>
      <c r="B112" s="112"/>
      <c r="C112" s="112"/>
      <c r="D112" s="81"/>
      <c r="E112" s="81"/>
      <c r="F112" s="81"/>
      <c r="G112" s="81"/>
      <c r="H112" s="81"/>
      <c r="I112" s="161"/>
      <c r="J112" s="154" t="str">
        <f aca="false">IF(H112="","",ROUNDUP(H112*I112*F112*G112,0))</f>
        <v/>
      </c>
      <c r="K112" s="113"/>
      <c r="L112" s="113"/>
    </row>
    <row r="113" customFormat="false" ht="12.75" hidden="false" customHeight="true" outlineLevel="0" collapsed="false">
      <c r="A113" s="121" t="str">
        <f aca="false">IF(B113="","",CONCATENATE(COUNTA($B$4:B113),"."))</f>
        <v/>
      </c>
      <c r="B113" s="112"/>
      <c r="C113" s="112"/>
      <c r="D113" s="81"/>
      <c r="E113" s="81"/>
      <c r="F113" s="81"/>
      <c r="G113" s="81"/>
      <c r="H113" s="81"/>
      <c r="I113" s="161"/>
      <c r="J113" s="154" t="str">
        <f aca="false">IF(H113="","",ROUNDUP(H113*I113*F113*G113,0))</f>
        <v/>
      </c>
      <c r="K113" s="113"/>
      <c r="L113" s="113"/>
    </row>
    <row r="114" customFormat="false" ht="12.75" hidden="false" customHeight="true" outlineLevel="0" collapsed="false">
      <c r="A114" s="121" t="str">
        <f aca="false">IF(B114="","",CONCATENATE(COUNTA($B$4:B114),"."))</f>
        <v/>
      </c>
      <c r="B114" s="112"/>
      <c r="C114" s="112"/>
      <c r="D114" s="81"/>
      <c r="E114" s="81"/>
      <c r="F114" s="81"/>
      <c r="G114" s="81"/>
      <c r="H114" s="81"/>
      <c r="I114" s="161"/>
      <c r="J114" s="154" t="str">
        <f aca="false">IF(H114="","",ROUNDUP(H114*I114*F114*G114,0))</f>
        <v/>
      </c>
      <c r="K114" s="113"/>
      <c r="L114" s="113"/>
    </row>
    <row r="115" customFormat="false" ht="12.75" hidden="false" customHeight="true" outlineLevel="0" collapsed="false">
      <c r="A115" s="121" t="str">
        <f aca="false">IF(B115="","",CONCATENATE(COUNTA($B$4:B115),"."))</f>
        <v/>
      </c>
      <c r="B115" s="112"/>
      <c r="C115" s="112"/>
      <c r="D115" s="81"/>
      <c r="E115" s="81"/>
      <c r="F115" s="81"/>
      <c r="G115" s="81"/>
      <c r="H115" s="81"/>
      <c r="I115" s="161"/>
      <c r="J115" s="154" t="str">
        <f aca="false">IF(H115="","",ROUNDUP(H115*I115*F115*G115,0))</f>
        <v/>
      </c>
      <c r="K115" s="113"/>
      <c r="L115" s="113"/>
    </row>
    <row r="116" customFormat="false" ht="12.75" hidden="false" customHeight="true" outlineLevel="0" collapsed="false">
      <c r="A116" s="121" t="str">
        <f aca="false">IF(B116="","",CONCATENATE(COUNTA($B$4:B116),"."))</f>
        <v/>
      </c>
      <c r="B116" s="112"/>
      <c r="C116" s="112"/>
      <c r="D116" s="81"/>
      <c r="E116" s="81"/>
      <c r="F116" s="81"/>
      <c r="G116" s="81"/>
      <c r="H116" s="81"/>
      <c r="I116" s="161"/>
      <c r="J116" s="154" t="str">
        <f aca="false">IF(H116="","",ROUNDUP(H116*I116*F116*G116,0))</f>
        <v/>
      </c>
      <c r="K116" s="113"/>
      <c r="L116" s="113"/>
    </row>
    <row r="117" customFormat="false" ht="12.75" hidden="false" customHeight="true" outlineLevel="0" collapsed="false">
      <c r="A117" s="121" t="str">
        <f aca="false">IF(B117="","",CONCATENATE(COUNTA($B$4:B117),"."))</f>
        <v/>
      </c>
      <c r="B117" s="112"/>
      <c r="C117" s="112"/>
      <c r="D117" s="81"/>
      <c r="E117" s="81"/>
      <c r="F117" s="81"/>
      <c r="G117" s="81"/>
      <c r="H117" s="81"/>
      <c r="I117" s="161"/>
      <c r="J117" s="154" t="str">
        <f aca="false">IF(H117="","",ROUNDUP(H117*I117*F117*G117,0))</f>
        <v/>
      </c>
      <c r="K117" s="113"/>
      <c r="L117" s="113"/>
    </row>
    <row r="118" customFormat="false" ht="12.75" hidden="false" customHeight="true" outlineLevel="0" collapsed="false">
      <c r="A118" s="121" t="str">
        <f aca="false">IF(B118="","",CONCATENATE(COUNTA($B$4:B118),"."))</f>
        <v/>
      </c>
      <c r="B118" s="112"/>
      <c r="C118" s="112"/>
      <c r="D118" s="81"/>
      <c r="E118" s="81"/>
      <c r="F118" s="81"/>
      <c r="G118" s="81"/>
      <c r="H118" s="81"/>
      <c r="I118" s="161"/>
      <c r="J118" s="154" t="str">
        <f aca="false">IF(H118="","",ROUNDUP(H118*I118*F118*G118,0))</f>
        <v/>
      </c>
      <c r="K118" s="113"/>
      <c r="L118" s="113"/>
    </row>
    <row r="119" customFormat="false" ht="12.75" hidden="false" customHeight="true" outlineLevel="0" collapsed="false">
      <c r="A119" s="121" t="str">
        <f aca="false">IF(B119="","",CONCATENATE(COUNTA($B$4:B119),"."))</f>
        <v/>
      </c>
      <c r="B119" s="112"/>
      <c r="C119" s="112"/>
      <c r="D119" s="81"/>
      <c r="E119" s="81"/>
      <c r="F119" s="81"/>
      <c r="G119" s="81"/>
      <c r="H119" s="81"/>
      <c r="I119" s="161"/>
      <c r="J119" s="154" t="str">
        <f aca="false">IF(H119="","",ROUNDUP(H119*I119*F119*G119,0))</f>
        <v/>
      </c>
      <c r="K119" s="113"/>
      <c r="L119" s="113"/>
    </row>
    <row r="120" customFormat="false" ht="12.75" hidden="false" customHeight="true" outlineLevel="0" collapsed="false">
      <c r="A120" s="121" t="str">
        <f aca="false">IF(B120="","",CONCATENATE(COUNTA($B$4:B120),"."))</f>
        <v/>
      </c>
      <c r="B120" s="112"/>
      <c r="C120" s="112"/>
      <c r="D120" s="81"/>
      <c r="E120" s="81"/>
      <c r="F120" s="81"/>
      <c r="G120" s="81"/>
      <c r="H120" s="81"/>
      <c r="I120" s="161"/>
      <c r="J120" s="154" t="str">
        <f aca="false">IF(H120="","",ROUNDUP(H120*I120*F120*G120,0))</f>
        <v/>
      </c>
      <c r="K120" s="113"/>
      <c r="L120" s="113"/>
    </row>
    <row r="121" customFormat="false" ht="12.75" hidden="false" customHeight="true" outlineLevel="0" collapsed="false">
      <c r="A121" s="121" t="str">
        <f aca="false">IF(B121="","",CONCATENATE(COUNTA($B$4:B121),"."))</f>
        <v/>
      </c>
      <c r="B121" s="112"/>
      <c r="C121" s="112"/>
      <c r="D121" s="81"/>
      <c r="E121" s="81"/>
      <c r="F121" s="81"/>
      <c r="G121" s="81"/>
      <c r="H121" s="81"/>
      <c r="I121" s="161"/>
      <c r="J121" s="154" t="str">
        <f aca="false">IF(H121="","",ROUNDUP(H121*I121*F121*G121,0))</f>
        <v/>
      </c>
      <c r="K121" s="113"/>
      <c r="L121" s="113"/>
    </row>
    <row r="122" customFormat="false" ht="12.75" hidden="false" customHeight="true" outlineLevel="0" collapsed="false">
      <c r="A122" s="121" t="str">
        <f aca="false">IF(B122="","",CONCATENATE(COUNTA($B$4:B122),"."))</f>
        <v/>
      </c>
      <c r="B122" s="112"/>
      <c r="C122" s="112"/>
      <c r="D122" s="81"/>
      <c r="E122" s="81"/>
      <c r="F122" s="81"/>
      <c r="G122" s="81"/>
      <c r="H122" s="81"/>
      <c r="I122" s="161"/>
      <c r="J122" s="154" t="str">
        <f aca="false">IF(H122="","",ROUNDUP(H122*I122*F122*G122,0))</f>
        <v/>
      </c>
      <c r="K122" s="113"/>
      <c r="L122" s="113"/>
    </row>
    <row r="123" customFormat="false" ht="12.75" hidden="false" customHeight="true" outlineLevel="0" collapsed="false">
      <c r="A123" s="121" t="str">
        <f aca="false">IF(B123="","",CONCATENATE(COUNTA($B$4:B123),"."))</f>
        <v/>
      </c>
      <c r="B123" s="112"/>
      <c r="C123" s="112"/>
      <c r="D123" s="81"/>
      <c r="E123" s="81"/>
      <c r="F123" s="81"/>
      <c r="G123" s="81"/>
      <c r="H123" s="81"/>
      <c r="I123" s="161"/>
      <c r="J123" s="154" t="str">
        <f aca="false">IF(H123="","",ROUNDUP(H123*I123*F123*G123,0))</f>
        <v/>
      </c>
      <c r="K123" s="113"/>
      <c r="L123" s="113"/>
    </row>
    <row r="124" customFormat="false" ht="12.75" hidden="false" customHeight="true" outlineLevel="0" collapsed="false">
      <c r="A124" s="121" t="str">
        <f aca="false">IF(B124="","",CONCATENATE(COUNTA($B$4:B124),"."))</f>
        <v/>
      </c>
      <c r="B124" s="112"/>
      <c r="C124" s="112"/>
      <c r="D124" s="81"/>
      <c r="E124" s="81"/>
      <c r="F124" s="81"/>
      <c r="G124" s="81"/>
      <c r="H124" s="81"/>
      <c r="I124" s="161"/>
      <c r="J124" s="154" t="str">
        <f aca="false">IF(H124="","",ROUNDUP(H124*I124*F124*G124,0))</f>
        <v/>
      </c>
      <c r="K124" s="113"/>
      <c r="L124" s="113"/>
    </row>
    <row r="125" customFormat="false" ht="12.75" hidden="false" customHeight="true" outlineLevel="0" collapsed="false">
      <c r="A125" s="121" t="str">
        <f aca="false">IF(B125="","",CONCATENATE(COUNTA($B$4:B125),"."))</f>
        <v/>
      </c>
      <c r="B125" s="112"/>
      <c r="C125" s="112"/>
      <c r="D125" s="81"/>
      <c r="E125" s="81"/>
      <c r="F125" s="81"/>
      <c r="G125" s="81"/>
      <c r="H125" s="81"/>
      <c r="I125" s="161"/>
      <c r="J125" s="154" t="str">
        <f aca="false">IF(H125="","",ROUNDUP(H125*I125*F125*G125,0))</f>
        <v/>
      </c>
      <c r="K125" s="113"/>
      <c r="L125" s="113"/>
    </row>
    <row r="126" customFormat="false" ht="12.75" hidden="false" customHeight="true" outlineLevel="0" collapsed="false">
      <c r="A126" s="121" t="str">
        <f aca="false">IF(B126="","",CONCATENATE(COUNTA($B$4:B126),"."))</f>
        <v/>
      </c>
      <c r="B126" s="112"/>
      <c r="C126" s="112"/>
      <c r="D126" s="81"/>
      <c r="E126" s="81"/>
      <c r="F126" s="81"/>
      <c r="G126" s="81"/>
      <c r="H126" s="81"/>
      <c r="I126" s="161"/>
      <c r="J126" s="154" t="str">
        <f aca="false">IF(H126="","",ROUNDUP(H126*I126*F126*G126,0))</f>
        <v/>
      </c>
      <c r="K126" s="113"/>
      <c r="L126" s="113"/>
    </row>
    <row r="127" customFormat="false" ht="12.75" hidden="false" customHeight="true" outlineLevel="0" collapsed="false">
      <c r="A127" s="121" t="str">
        <f aca="false">IF(B127="","",CONCATENATE(COUNTA($B$4:B127),"."))</f>
        <v/>
      </c>
      <c r="B127" s="112"/>
      <c r="C127" s="112"/>
      <c r="D127" s="81"/>
      <c r="E127" s="81"/>
      <c r="F127" s="81"/>
      <c r="G127" s="81"/>
      <c r="H127" s="81"/>
      <c r="I127" s="161"/>
      <c r="J127" s="154" t="str">
        <f aca="false">IF(H127="","",ROUNDUP(H127*I127*F127*G127,0))</f>
        <v/>
      </c>
      <c r="K127" s="113"/>
      <c r="L127" s="113"/>
    </row>
    <row r="128" customFormat="false" ht="12.75" hidden="false" customHeight="true" outlineLevel="0" collapsed="false">
      <c r="A128" s="121" t="str">
        <f aca="false">IF(B128="","",CONCATENATE(COUNTA($B$4:B128),"."))</f>
        <v/>
      </c>
      <c r="B128" s="112"/>
      <c r="C128" s="112"/>
      <c r="D128" s="81"/>
      <c r="E128" s="81"/>
      <c r="F128" s="81"/>
      <c r="G128" s="81"/>
      <c r="H128" s="81"/>
      <c r="I128" s="161"/>
      <c r="J128" s="154" t="str">
        <f aca="false">IF(H128="","",ROUNDUP(H128*I128*F128*G128,0))</f>
        <v/>
      </c>
      <c r="K128" s="113"/>
      <c r="L128" s="113"/>
    </row>
    <row r="129" customFormat="false" ht="12.75" hidden="false" customHeight="true" outlineLevel="0" collapsed="false">
      <c r="A129" s="121" t="str">
        <f aca="false">IF(B129="","",CONCATENATE(COUNTA($B$4:B129),"."))</f>
        <v/>
      </c>
      <c r="B129" s="112"/>
      <c r="C129" s="112"/>
      <c r="D129" s="81"/>
      <c r="E129" s="81"/>
      <c r="F129" s="81"/>
      <c r="G129" s="81"/>
      <c r="H129" s="81"/>
      <c r="I129" s="161"/>
      <c r="J129" s="154" t="str">
        <f aca="false">IF(H129="","",ROUNDUP(H129*I129*F129*G129,0))</f>
        <v/>
      </c>
      <c r="K129" s="113"/>
      <c r="L129" s="113"/>
    </row>
    <row r="130" customFormat="false" ht="12.75" hidden="false" customHeight="true" outlineLevel="0" collapsed="false">
      <c r="A130" s="121" t="str">
        <f aca="false">IF(B130="","",CONCATENATE(COUNTA($B$4:B130),"."))</f>
        <v/>
      </c>
      <c r="B130" s="112"/>
      <c r="C130" s="112"/>
      <c r="D130" s="81"/>
      <c r="E130" s="81"/>
      <c r="F130" s="81"/>
      <c r="G130" s="81"/>
      <c r="H130" s="81"/>
      <c r="I130" s="161"/>
      <c r="J130" s="154" t="str">
        <f aca="false">IF(H130="","",ROUNDUP(H130*I130*F130*G130,0))</f>
        <v/>
      </c>
      <c r="K130" s="113"/>
      <c r="L130" s="113"/>
    </row>
    <row r="131" customFormat="false" ht="12.75" hidden="false" customHeight="true" outlineLevel="0" collapsed="false">
      <c r="A131" s="121" t="str">
        <f aca="false">IF(B131="","",CONCATENATE(COUNTA($B$4:B131),"."))</f>
        <v/>
      </c>
      <c r="B131" s="112"/>
      <c r="C131" s="112"/>
      <c r="D131" s="81"/>
      <c r="E131" s="81"/>
      <c r="F131" s="81"/>
      <c r="G131" s="81"/>
      <c r="H131" s="81"/>
      <c r="I131" s="161"/>
      <c r="J131" s="154" t="str">
        <f aca="false">IF(H131="","",ROUNDUP(H131*I131*F131*G131,0))</f>
        <v/>
      </c>
      <c r="K131" s="113"/>
      <c r="L131" s="113"/>
    </row>
    <row r="132" customFormat="false" ht="12.75" hidden="false" customHeight="true" outlineLevel="0" collapsed="false">
      <c r="A132" s="121" t="str">
        <f aca="false">IF(B132="","",CONCATENATE(COUNTA($B$4:B132),"."))</f>
        <v/>
      </c>
      <c r="B132" s="112"/>
      <c r="C132" s="112"/>
      <c r="D132" s="81"/>
      <c r="E132" s="81"/>
      <c r="F132" s="81"/>
      <c r="G132" s="81"/>
      <c r="H132" s="81"/>
      <c r="I132" s="161"/>
      <c r="J132" s="154" t="str">
        <f aca="false">IF(H132="","",ROUNDUP(H132*I132*F132*G132,0))</f>
        <v/>
      </c>
      <c r="K132" s="113"/>
      <c r="L132" s="113"/>
    </row>
    <row r="133" customFormat="false" ht="12.75" hidden="false" customHeight="true" outlineLevel="0" collapsed="false">
      <c r="A133" s="121" t="str">
        <f aca="false">IF(B133="","",CONCATENATE(COUNTA($B$4:B133),"."))</f>
        <v/>
      </c>
      <c r="B133" s="112"/>
      <c r="C133" s="112"/>
      <c r="D133" s="81"/>
      <c r="E133" s="81"/>
      <c r="F133" s="81"/>
      <c r="G133" s="81"/>
      <c r="H133" s="81"/>
      <c r="I133" s="161"/>
      <c r="J133" s="154" t="str">
        <f aca="false">IF(H133="","",ROUNDUP(H133*I133*F133*G133,0))</f>
        <v/>
      </c>
      <c r="K133" s="113"/>
      <c r="L133" s="113"/>
    </row>
    <row r="134" customFormat="false" ht="12.75" hidden="false" customHeight="true" outlineLevel="0" collapsed="false">
      <c r="A134" s="121" t="str">
        <f aca="false">IF(B134="","",CONCATENATE(COUNTA($B$4:B134),"."))</f>
        <v/>
      </c>
      <c r="B134" s="112"/>
      <c r="C134" s="112"/>
      <c r="D134" s="81"/>
      <c r="E134" s="81"/>
      <c r="F134" s="81"/>
      <c r="G134" s="81"/>
      <c r="H134" s="81"/>
      <c r="I134" s="161"/>
      <c r="J134" s="154" t="str">
        <f aca="false">IF(H134="","",ROUNDUP(H134*I134*F134*G134,0))</f>
        <v/>
      </c>
      <c r="K134" s="113"/>
      <c r="L134" s="113"/>
    </row>
    <row r="135" customFormat="false" ht="12.75" hidden="false" customHeight="true" outlineLevel="0" collapsed="false">
      <c r="A135" s="121" t="str">
        <f aca="false">IF(B135="","",CONCATENATE(COUNTA($B$4:B135),"."))</f>
        <v/>
      </c>
      <c r="B135" s="112"/>
      <c r="C135" s="112"/>
      <c r="D135" s="81"/>
      <c r="E135" s="81"/>
      <c r="F135" s="81"/>
      <c r="G135" s="81"/>
      <c r="H135" s="81"/>
      <c r="I135" s="161"/>
      <c r="J135" s="154" t="str">
        <f aca="false">IF(H135="","",ROUNDUP(H135*I135*F135*G135,0))</f>
        <v/>
      </c>
      <c r="K135" s="113"/>
      <c r="L135" s="113"/>
    </row>
    <row r="136" customFormat="false" ht="12.75" hidden="false" customHeight="true" outlineLevel="0" collapsed="false">
      <c r="A136" s="121" t="str">
        <f aca="false">IF(B136="","",CONCATENATE(COUNTA($B$4:B136),"."))</f>
        <v/>
      </c>
      <c r="B136" s="112"/>
      <c r="C136" s="112"/>
      <c r="D136" s="81"/>
      <c r="E136" s="81"/>
      <c r="F136" s="81"/>
      <c r="G136" s="81"/>
      <c r="H136" s="81"/>
      <c r="I136" s="161"/>
      <c r="J136" s="154" t="str">
        <f aca="false">IF(H136="","",ROUNDUP(H136*I136*F136*G136,0))</f>
        <v/>
      </c>
      <c r="K136" s="113"/>
      <c r="L136" s="113"/>
    </row>
    <row r="137" customFormat="false" ht="12.75" hidden="false" customHeight="true" outlineLevel="0" collapsed="false">
      <c r="A137" s="121" t="str">
        <f aca="false">IF(B137="","",CONCATENATE(COUNTA($B$4:B137),"."))</f>
        <v/>
      </c>
      <c r="B137" s="112"/>
      <c r="C137" s="112"/>
      <c r="D137" s="81"/>
      <c r="E137" s="81"/>
      <c r="F137" s="81"/>
      <c r="G137" s="81"/>
      <c r="H137" s="81"/>
      <c r="I137" s="161"/>
      <c r="J137" s="154" t="str">
        <f aca="false">IF(H137="","",ROUNDUP(H137*I137*F137*G137,0))</f>
        <v/>
      </c>
      <c r="K137" s="113"/>
      <c r="L137" s="113"/>
    </row>
    <row r="138" customFormat="false" ht="12.75" hidden="false" customHeight="true" outlineLevel="0" collapsed="false">
      <c r="A138" s="121" t="str">
        <f aca="false">IF(B138="","",CONCATENATE(COUNTA($B$4:B138),"."))</f>
        <v/>
      </c>
      <c r="B138" s="112"/>
      <c r="C138" s="112"/>
      <c r="D138" s="81"/>
      <c r="E138" s="81"/>
      <c r="F138" s="81"/>
      <c r="G138" s="81"/>
      <c r="H138" s="81"/>
      <c r="I138" s="161"/>
      <c r="J138" s="154" t="str">
        <f aca="false">IF(H138="","",ROUNDUP(H138*I138*F138*G138,0))</f>
        <v/>
      </c>
      <c r="K138" s="113"/>
      <c r="L138" s="113"/>
    </row>
    <row r="139" customFormat="false" ht="12.75" hidden="false" customHeight="true" outlineLevel="0" collapsed="false">
      <c r="A139" s="121" t="str">
        <f aca="false">IF(B139="","",CONCATENATE(COUNTA($B$4:B139),"."))</f>
        <v/>
      </c>
      <c r="B139" s="112"/>
      <c r="C139" s="112"/>
      <c r="D139" s="81"/>
      <c r="E139" s="81"/>
      <c r="F139" s="81"/>
      <c r="G139" s="81"/>
      <c r="H139" s="81"/>
      <c r="I139" s="161"/>
      <c r="J139" s="154" t="str">
        <f aca="false">IF(H139="","",ROUNDUP(H139*I139*F139*G139,0))</f>
        <v/>
      </c>
      <c r="K139" s="113"/>
      <c r="L139" s="113"/>
    </row>
    <row r="140" customFormat="false" ht="12.75" hidden="false" customHeight="true" outlineLevel="0" collapsed="false">
      <c r="A140" s="121" t="str">
        <f aca="false">IF(B140="","",CONCATENATE(COUNTA($B$4:B140),"."))</f>
        <v/>
      </c>
      <c r="B140" s="112"/>
      <c r="C140" s="112"/>
      <c r="D140" s="81"/>
      <c r="E140" s="81"/>
      <c r="F140" s="81"/>
      <c r="G140" s="81"/>
      <c r="H140" s="81"/>
      <c r="I140" s="161"/>
      <c r="J140" s="154" t="str">
        <f aca="false">IF(H140="","",ROUNDUP(H140*I140*F140*G140,0))</f>
        <v/>
      </c>
      <c r="K140" s="113"/>
      <c r="L140" s="113"/>
    </row>
    <row r="141" customFormat="false" ht="12.75" hidden="false" customHeight="true" outlineLevel="0" collapsed="false">
      <c r="A141" s="121" t="str">
        <f aca="false">IF(B141="","",CONCATENATE(COUNTA($B$4:B141),"."))</f>
        <v/>
      </c>
      <c r="B141" s="112"/>
      <c r="C141" s="112"/>
      <c r="D141" s="81"/>
      <c r="E141" s="81"/>
      <c r="F141" s="81"/>
      <c r="G141" s="81"/>
      <c r="H141" s="81"/>
      <c r="I141" s="161"/>
      <c r="J141" s="154" t="str">
        <f aca="false">IF(H141="","",ROUNDUP(H141*I141*F141*G141,0))</f>
        <v/>
      </c>
      <c r="K141" s="113"/>
      <c r="L141" s="113"/>
    </row>
    <row r="142" customFormat="false" ht="12.75" hidden="false" customHeight="true" outlineLevel="0" collapsed="false">
      <c r="A142" s="121" t="str">
        <f aca="false">IF(B142="","",CONCATENATE(COUNTA($B$4:B142),"."))</f>
        <v/>
      </c>
      <c r="B142" s="112"/>
      <c r="C142" s="112"/>
      <c r="D142" s="81"/>
      <c r="E142" s="81"/>
      <c r="F142" s="81"/>
      <c r="G142" s="81"/>
      <c r="H142" s="81"/>
      <c r="I142" s="161"/>
      <c r="J142" s="154" t="str">
        <f aca="false">IF(H142="","",ROUNDUP(H142*I142*F142*G142,0))</f>
        <v/>
      </c>
      <c r="K142" s="113"/>
      <c r="L142" s="113"/>
    </row>
    <row r="143" customFormat="false" ht="12.75" hidden="false" customHeight="true" outlineLevel="0" collapsed="false">
      <c r="A143" s="121" t="str">
        <f aca="false">IF(B143="","",CONCATENATE(COUNTA($B$4:B143),"."))</f>
        <v/>
      </c>
      <c r="B143" s="112"/>
      <c r="C143" s="112"/>
      <c r="D143" s="81"/>
      <c r="E143" s="81"/>
      <c r="F143" s="81"/>
      <c r="G143" s="81"/>
      <c r="H143" s="81"/>
      <c r="I143" s="161"/>
      <c r="J143" s="154" t="str">
        <f aca="false">IF(H143="","",ROUNDUP(H143*I143*F143*G143,0))</f>
        <v/>
      </c>
      <c r="K143" s="113"/>
      <c r="L143" s="113"/>
    </row>
    <row r="144" customFormat="false" ht="12.75" hidden="false" customHeight="true" outlineLevel="0" collapsed="false">
      <c r="A144" s="121" t="str">
        <f aca="false">IF(B144="","",CONCATENATE(COUNTA($B$4:B144),"."))</f>
        <v/>
      </c>
      <c r="B144" s="112"/>
      <c r="C144" s="112"/>
      <c r="D144" s="81"/>
      <c r="E144" s="81"/>
      <c r="F144" s="81"/>
      <c r="G144" s="81"/>
      <c r="H144" s="81"/>
      <c r="I144" s="161"/>
      <c r="J144" s="154" t="str">
        <f aca="false">IF(H144="","",ROUNDUP(H144*I144*F144*G144,0))</f>
        <v/>
      </c>
      <c r="K144" s="113"/>
      <c r="L144" s="113"/>
    </row>
    <row r="145" customFormat="false" ht="12.75" hidden="false" customHeight="true" outlineLevel="0" collapsed="false">
      <c r="A145" s="121" t="str">
        <f aca="false">IF(B145="","",CONCATENATE(COUNTA($B$4:B145),"."))</f>
        <v/>
      </c>
      <c r="B145" s="112"/>
      <c r="C145" s="112"/>
      <c r="D145" s="81"/>
      <c r="E145" s="81"/>
      <c r="F145" s="81"/>
      <c r="G145" s="81"/>
      <c r="H145" s="81"/>
      <c r="I145" s="161"/>
      <c r="J145" s="154" t="str">
        <f aca="false">IF(H145="","",ROUNDUP(H145*I145*F145*G145,0))</f>
        <v/>
      </c>
      <c r="K145" s="113"/>
      <c r="L145" s="113"/>
    </row>
    <row r="146" customFormat="false" ht="12.75" hidden="false" customHeight="true" outlineLevel="0" collapsed="false">
      <c r="A146" s="121" t="str">
        <f aca="false">IF(B146="","",CONCATENATE(COUNTA($B$4:B146),"."))</f>
        <v/>
      </c>
      <c r="B146" s="112"/>
      <c r="C146" s="112"/>
      <c r="D146" s="81"/>
      <c r="E146" s="81"/>
      <c r="F146" s="81"/>
      <c r="G146" s="81"/>
      <c r="H146" s="81"/>
      <c r="I146" s="161"/>
      <c r="J146" s="154" t="str">
        <f aca="false">IF(H146="","",ROUNDUP(H146*I146*F146*G146,0))</f>
        <v/>
      </c>
      <c r="K146" s="113"/>
      <c r="L146" s="113"/>
    </row>
    <row r="147" customFormat="false" ht="12.75" hidden="false" customHeight="true" outlineLevel="0" collapsed="false">
      <c r="A147" s="121" t="str">
        <f aca="false">IF(B147="","",CONCATENATE(COUNTA($B$4:B147),"."))</f>
        <v/>
      </c>
      <c r="B147" s="112"/>
      <c r="C147" s="112"/>
      <c r="D147" s="81"/>
      <c r="E147" s="81"/>
      <c r="F147" s="81"/>
      <c r="G147" s="81"/>
      <c r="H147" s="81"/>
      <c r="I147" s="161"/>
      <c r="J147" s="154" t="str">
        <f aca="false">IF(H147="","",ROUNDUP(H147*I147*F147*G147,0))</f>
        <v/>
      </c>
      <c r="K147" s="113"/>
      <c r="L147" s="113"/>
    </row>
    <row r="148" customFormat="false" ht="12.75" hidden="false" customHeight="true" outlineLevel="0" collapsed="false">
      <c r="A148" s="121" t="str">
        <f aca="false">IF(B148="","",CONCATENATE(COUNTA($B$4:B148),"."))</f>
        <v/>
      </c>
      <c r="B148" s="112"/>
      <c r="C148" s="112"/>
      <c r="D148" s="81"/>
      <c r="E148" s="81"/>
      <c r="F148" s="81"/>
      <c r="G148" s="81"/>
      <c r="H148" s="81"/>
      <c r="I148" s="161"/>
      <c r="J148" s="154" t="str">
        <f aca="false">IF(H148="","",ROUNDUP(H148*I148*F148*G148,0))</f>
        <v/>
      </c>
      <c r="K148" s="113"/>
      <c r="L148" s="113"/>
    </row>
    <row r="149" customFormat="false" ht="12.75" hidden="false" customHeight="true" outlineLevel="0" collapsed="false">
      <c r="A149" s="121" t="str">
        <f aca="false">IF(B149="","",CONCATENATE(COUNTA($B$4:B149),"."))</f>
        <v/>
      </c>
      <c r="B149" s="112"/>
      <c r="C149" s="112"/>
      <c r="D149" s="81"/>
      <c r="E149" s="81"/>
      <c r="F149" s="81"/>
      <c r="G149" s="81"/>
      <c r="H149" s="81"/>
      <c r="I149" s="161"/>
      <c r="J149" s="154" t="str">
        <f aca="false">IF(H149="","",ROUNDUP(H149*I149*F149*G149,0))</f>
        <v/>
      </c>
      <c r="K149" s="113"/>
      <c r="L149" s="113"/>
    </row>
    <row r="150" customFormat="false" ht="12.75" hidden="false" customHeight="true" outlineLevel="0" collapsed="false">
      <c r="A150" s="121" t="str">
        <f aca="false">IF(B150="","",CONCATENATE(COUNTA($B$4:B150),"."))</f>
        <v/>
      </c>
      <c r="B150" s="112"/>
      <c r="C150" s="112"/>
      <c r="D150" s="81"/>
      <c r="E150" s="81"/>
      <c r="F150" s="81"/>
      <c r="G150" s="81"/>
      <c r="H150" s="81"/>
      <c r="I150" s="161"/>
      <c r="J150" s="154" t="str">
        <f aca="false">IF(H150="","",ROUNDUP(H150*I150*F150*G150,0))</f>
        <v/>
      </c>
      <c r="K150" s="113"/>
      <c r="L150" s="113"/>
    </row>
    <row r="151" customFormat="false" ht="12.75" hidden="false" customHeight="true" outlineLevel="0" collapsed="false">
      <c r="A151" s="121" t="str">
        <f aca="false">IF(B151="","",CONCATENATE(COUNTA($B$4:B151),"."))</f>
        <v/>
      </c>
      <c r="B151" s="112"/>
      <c r="C151" s="112"/>
      <c r="D151" s="81"/>
      <c r="E151" s="81"/>
      <c r="F151" s="81"/>
      <c r="G151" s="81"/>
      <c r="H151" s="81"/>
      <c r="I151" s="161"/>
      <c r="J151" s="154" t="str">
        <f aca="false">IF(H151="","",ROUNDUP(H151*I151*F151*G151,0))</f>
        <v/>
      </c>
      <c r="K151" s="113"/>
      <c r="L151" s="113"/>
    </row>
    <row r="152" customFormat="false" ht="12.75" hidden="false" customHeight="true" outlineLevel="0" collapsed="false">
      <c r="A152" s="121" t="str">
        <f aca="false">IF(B152="","",CONCATENATE(COUNTA($B$4:B152),"."))</f>
        <v/>
      </c>
      <c r="B152" s="112"/>
      <c r="C152" s="112"/>
      <c r="D152" s="81"/>
      <c r="E152" s="81"/>
      <c r="F152" s="81"/>
      <c r="G152" s="81"/>
      <c r="H152" s="81"/>
      <c r="I152" s="161"/>
      <c r="J152" s="154" t="str">
        <f aca="false">IF(H152="","",ROUNDUP(H152*I152*F152*G152,0))</f>
        <v/>
      </c>
      <c r="K152" s="113"/>
      <c r="L152" s="113"/>
    </row>
    <row r="153" customFormat="false" ht="12.75" hidden="false" customHeight="true" outlineLevel="0" collapsed="false">
      <c r="A153" s="121" t="str">
        <f aca="false">IF(B153="","",CONCATENATE(COUNTA($B$4:B153),"."))</f>
        <v/>
      </c>
      <c r="B153" s="112"/>
      <c r="C153" s="112"/>
      <c r="D153" s="81"/>
      <c r="E153" s="81"/>
      <c r="F153" s="81"/>
      <c r="G153" s="81"/>
      <c r="H153" s="81"/>
      <c r="I153" s="161"/>
      <c r="J153" s="154" t="str">
        <f aca="false">IF(H153="","",ROUNDUP(H153*I153*F153*G153,0))</f>
        <v/>
      </c>
      <c r="K153" s="113"/>
      <c r="L153" s="113"/>
    </row>
    <row r="154" customFormat="false" ht="12.75" hidden="false" customHeight="true" outlineLevel="0" collapsed="false">
      <c r="A154" s="121" t="str">
        <f aca="false">IF(B154="","",CONCATENATE(COUNTA($B$4:B154),"."))</f>
        <v/>
      </c>
      <c r="B154" s="112"/>
      <c r="C154" s="112"/>
      <c r="D154" s="81"/>
      <c r="E154" s="81"/>
      <c r="F154" s="81"/>
      <c r="G154" s="81"/>
      <c r="H154" s="81"/>
      <c r="I154" s="161"/>
      <c r="J154" s="154" t="str">
        <f aca="false">IF(H154="","",ROUNDUP(H154*I154*F154*G154,0))</f>
        <v/>
      </c>
      <c r="K154" s="113"/>
      <c r="L154" s="113"/>
    </row>
    <row r="155" customFormat="false" ht="12.75" hidden="false" customHeight="true" outlineLevel="0" collapsed="false">
      <c r="A155" s="121" t="str">
        <f aca="false">IF(B155="","",CONCATENATE(COUNTA($B$4:B155),"."))</f>
        <v/>
      </c>
      <c r="B155" s="112"/>
      <c r="C155" s="112"/>
      <c r="D155" s="81"/>
      <c r="E155" s="81"/>
      <c r="F155" s="81"/>
      <c r="G155" s="81"/>
      <c r="H155" s="81"/>
      <c r="I155" s="161"/>
      <c r="J155" s="154" t="str">
        <f aca="false">IF(H155="","",ROUNDUP(H155*I155*F155*G155,0))</f>
        <v/>
      </c>
      <c r="K155" s="113"/>
      <c r="L155" s="113"/>
    </row>
    <row r="156" customFormat="false" ht="12.75" hidden="false" customHeight="true" outlineLevel="0" collapsed="false">
      <c r="A156" s="121" t="str">
        <f aca="false">IF(B156="","",CONCATENATE(COUNTA($B$4:B156),"."))</f>
        <v/>
      </c>
      <c r="B156" s="112"/>
      <c r="C156" s="112"/>
      <c r="D156" s="81"/>
      <c r="E156" s="81"/>
      <c r="F156" s="81"/>
      <c r="G156" s="81"/>
      <c r="H156" s="81"/>
      <c r="I156" s="161"/>
      <c r="J156" s="154" t="str">
        <f aca="false">IF(H156="","",ROUNDUP(H156*I156*F156*G156,0))</f>
        <v/>
      </c>
      <c r="K156" s="113"/>
      <c r="L156" s="113"/>
    </row>
    <row r="157" customFormat="false" ht="12.75" hidden="false" customHeight="true" outlineLevel="0" collapsed="false">
      <c r="A157" s="121" t="str">
        <f aca="false">IF(B157="","",CONCATENATE(COUNTA($B$4:B157),"."))</f>
        <v/>
      </c>
      <c r="B157" s="112"/>
      <c r="C157" s="112"/>
      <c r="D157" s="81"/>
      <c r="E157" s="81"/>
      <c r="F157" s="81"/>
      <c r="G157" s="81"/>
      <c r="H157" s="81"/>
      <c r="I157" s="161"/>
      <c r="J157" s="154" t="str">
        <f aca="false">IF(H157="","",ROUNDUP(H157*I157*F157*G157,0))</f>
        <v/>
      </c>
      <c r="K157" s="113"/>
      <c r="L157" s="113"/>
    </row>
    <row r="158" customFormat="false" ht="12.75" hidden="false" customHeight="true" outlineLevel="0" collapsed="false">
      <c r="A158" s="121" t="str">
        <f aca="false">IF(B158="","",CONCATENATE(COUNTA($B$4:B158),"."))</f>
        <v/>
      </c>
      <c r="B158" s="112"/>
      <c r="C158" s="112"/>
      <c r="D158" s="81"/>
      <c r="E158" s="81"/>
      <c r="F158" s="81"/>
      <c r="G158" s="81"/>
      <c r="H158" s="81"/>
      <c r="I158" s="161"/>
      <c r="J158" s="154" t="str">
        <f aca="false">IF(H158="","",ROUNDUP(H158*I158*F158*G158,0))</f>
        <v/>
      </c>
      <c r="K158" s="113"/>
      <c r="L158" s="113"/>
    </row>
    <row r="159" customFormat="false" ht="12.75" hidden="false" customHeight="true" outlineLevel="0" collapsed="false">
      <c r="A159" s="121" t="str">
        <f aca="false">IF(B159="","",CONCATENATE(COUNTA($B$4:B159),"."))</f>
        <v/>
      </c>
      <c r="B159" s="112"/>
      <c r="C159" s="112"/>
      <c r="D159" s="81"/>
      <c r="E159" s="81"/>
      <c r="F159" s="81"/>
      <c r="G159" s="81"/>
      <c r="H159" s="81"/>
      <c r="I159" s="161"/>
      <c r="J159" s="154" t="str">
        <f aca="false">IF(H159="","",ROUNDUP(H159*I159*F159*G159,0))</f>
        <v/>
      </c>
      <c r="K159" s="113"/>
      <c r="L159" s="113"/>
    </row>
    <row r="160" customFormat="false" ht="12.75" hidden="false" customHeight="true" outlineLevel="0" collapsed="false">
      <c r="A160" s="121" t="str">
        <f aca="false">IF(B160="","",CONCATENATE(COUNTA($B$4:B160),"."))</f>
        <v/>
      </c>
      <c r="B160" s="112"/>
      <c r="C160" s="112"/>
      <c r="D160" s="81"/>
      <c r="E160" s="81"/>
      <c r="F160" s="81"/>
      <c r="G160" s="81"/>
      <c r="H160" s="81"/>
      <c r="I160" s="161"/>
      <c r="J160" s="154" t="str">
        <f aca="false">IF(H160="","",ROUNDUP(H160*I160*F160*G160,0))</f>
        <v/>
      </c>
      <c r="K160" s="113"/>
      <c r="L160" s="113"/>
    </row>
    <row r="161" customFormat="false" ht="12.75" hidden="false" customHeight="true" outlineLevel="0" collapsed="false">
      <c r="A161" s="121" t="str">
        <f aca="false">IF(B161="","",CONCATENATE(COUNTA($B$4:B161),"."))</f>
        <v/>
      </c>
      <c r="B161" s="112"/>
      <c r="C161" s="112"/>
      <c r="D161" s="81"/>
      <c r="E161" s="81"/>
      <c r="F161" s="81"/>
      <c r="G161" s="81"/>
      <c r="H161" s="81"/>
      <c r="I161" s="161"/>
      <c r="J161" s="154" t="str">
        <f aca="false">IF(H161="","",ROUNDUP(H161*I161*F161*G161,0))</f>
        <v/>
      </c>
      <c r="K161" s="113"/>
      <c r="L161" s="113"/>
    </row>
    <row r="162" customFormat="false" ht="12.75" hidden="false" customHeight="true" outlineLevel="0" collapsed="false">
      <c r="A162" s="121" t="str">
        <f aca="false">IF(B162="","",CONCATENATE(COUNTA($B$4:B162),"."))</f>
        <v/>
      </c>
      <c r="B162" s="112"/>
      <c r="C162" s="112"/>
      <c r="D162" s="81"/>
      <c r="E162" s="81"/>
      <c r="F162" s="81"/>
      <c r="G162" s="81"/>
      <c r="H162" s="81"/>
      <c r="I162" s="161"/>
      <c r="J162" s="154" t="str">
        <f aca="false">IF(H162="","",ROUNDUP(H162*I162*F162*G162,0))</f>
        <v/>
      </c>
      <c r="K162" s="113"/>
      <c r="L162" s="113"/>
    </row>
    <row r="163" customFormat="false" ht="12.75" hidden="false" customHeight="true" outlineLevel="0" collapsed="false">
      <c r="A163" s="121" t="str">
        <f aca="false">IF(B163="","",CONCATENATE(COUNTA($B$4:B163),"."))</f>
        <v/>
      </c>
      <c r="B163" s="112"/>
      <c r="C163" s="112"/>
      <c r="D163" s="81"/>
      <c r="E163" s="81"/>
      <c r="F163" s="81"/>
      <c r="G163" s="81"/>
      <c r="H163" s="81"/>
      <c r="I163" s="161"/>
      <c r="J163" s="154" t="str">
        <f aca="false">IF(H163="","",ROUNDUP(H163*I163*F163*G163,0))</f>
        <v/>
      </c>
      <c r="K163" s="113"/>
      <c r="L163" s="113"/>
    </row>
    <row r="164" customFormat="false" ht="12.75" hidden="false" customHeight="true" outlineLevel="0" collapsed="false">
      <c r="A164" s="121" t="str">
        <f aca="false">IF(B164="","",CONCATENATE(COUNTA($B$4:B164),"."))</f>
        <v/>
      </c>
      <c r="B164" s="112"/>
      <c r="C164" s="112"/>
      <c r="D164" s="81"/>
      <c r="E164" s="81"/>
      <c r="F164" s="81"/>
      <c r="G164" s="81"/>
      <c r="H164" s="81"/>
      <c r="I164" s="161"/>
      <c r="J164" s="154" t="str">
        <f aca="false">IF(H164="","",ROUNDUP(H164*I164*F164*G164,0))</f>
        <v/>
      </c>
      <c r="K164" s="113"/>
      <c r="L164" s="113"/>
    </row>
    <row r="165" customFormat="false" ht="12.75" hidden="false" customHeight="true" outlineLevel="0" collapsed="false">
      <c r="A165" s="121" t="str">
        <f aca="false">IF(B165="","",CONCATENATE(COUNTA($B$4:B165),"."))</f>
        <v/>
      </c>
      <c r="B165" s="112"/>
      <c r="C165" s="112"/>
      <c r="D165" s="81"/>
      <c r="E165" s="81"/>
      <c r="F165" s="81"/>
      <c r="G165" s="81"/>
      <c r="H165" s="81"/>
      <c r="I165" s="161"/>
      <c r="J165" s="154" t="str">
        <f aca="false">IF(H165="","",ROUNDUP(H165*I165*F165*G165,0))</f>
        <v/>
      </c>
      <c r="K165" s="113"/>
      <c r="L165" s="113"/>
    </row>
    <row r="166" customFormat="false" ht="12.75" hidden="false" customHeight="true" outlineLevel="0" collapsed="false">
      <c r="A166" s="121" t="str">
        <f aca="false">IF(B166="","",CONCATENATE(COUNTA($B$4:B166),"."))</f>
        <v/>
      </c>
      <c r="B166" s="112"/>
      <c r="C166" s="112"/>
      <c r="D166" s="81"/>
      <c r="E166" s="81"/>
      <c r="F166" s="81"/>
      <c r="G166" s="81"/>
      <c r="H166" s="81"/>
      <c r="I166" s="161"/>
      <c r="J166" s="154" t="str">
        <f aca="false">IF(H166="","",ROUNDUP(H166*I166*F166*G166,0))</f>
        <v/>
      </c>
      <c r="K166" s="113"/>
      <c r="L166" s="113"/>
    </row>
    <row r="167" customFormat="false" ht="12.75" hidden="false" customHeight="true" outlineLevel="0" collapsed="false">
      <c r="A167" s="121" t="str">
        <f aca="false">IF(B167="","",CONCATENATE(COUNTA($B$4:B167),"."))</f>
        <v/>
      </c>
      <c r="B167" s="112"/>
      <c r="C167" s="112"/>
      <c r="D167" s="81"/>
      <c r="E167" s="81"/>
      <c r="F167" s="81"/>
      <c r="G167" s="81"/>
      <c r="H167" s="81"/>
      <c r="I167" s="161"/>
      <c r="J167" s="154" t="str">
        <f aca="false">IF(H167="","",ROUNDUP(H167*I167*F167*G167,0))</f>
        <v/>
      </c>
      <c r="K167" s="113"/>
      <c r="L167" s="113"/>
    </row>
    <row r="168" customFormat="false" ht="12.75" hidden="false" customHeight="true" outlineLevel="0" collapsed="false">
      <c r="A168" s="121" t="str">
        <f aca="false">IF(B168="","",CONCATENATE(COUNTA($B$4:B168),"."))</f>
        <v/>
      </c>
      <c r="B168" s="112"/>
      <c r="C168" s="112"/>
      <c r="D168" s="81"/>
      <c r="E168" s="81"/>
      <c r="F168" s="81"/>
      <c r="G168" s="81"/>
      <c r="H168" s="81"/>
      <c r="I168" s="161"/>
      <c r="J168" s="154" t="str">
        <f aca="false">IF(H168="","",ROUNDUP(H168*I168*F168*G168,0))</f>
        <v/>
      </c>
      <c r="K168" s="113"/>
      <c r="L168" s="113"/>
    </row>
    <row r="169" customFormat="false" ht="12.75" hidden="false" customHeight="true" outlineLevel="0" collapsed="false">
      <c r="A169" s="121" t="str">
        <f aca="false">IF(B169="","",CONCATENATE(COUNTA($B$4:B169),"."))</f>
        <v/>
      </c>
      <c r="B169" s="112"/>
      <c r="C169" s="112"/>
      <c r="D169" s="81"/>
      <c r="E169" s="81"/>
      <c r="F169" s="81"/>
      <c r="G169" s="81"/>
      <c r="H169" s="81"/>
      <c r="I169" s="161"/>
      <c r="J169" s="154" t="str">
        <f aca="false">IF(H169="","",ROUNDUP(H169*I169*F169*G169,0))</f>
        <v/>
      </c>
      <c r="K169" s="113"/>
      <c r="L169" s="113"/>
    </row>
    <row r="170" customFormat="false" ht="12.75" hidden="false" customHeight="true" outlineLevel="0" collapsed="false">
      <c r="A170" s="121" t="str">
        <f aca="false">IF(B170="","",CONCATENATE(COUNTA($B$4:B170),"."))</f>
        <v/>
      </c>
      <c r="B170" s="112"/>
      <c r="C170" s="112"/>
      <c r="D170" s="81"/>
      <c r="E170" s="81"/>
      <c r="F170" s="81"/>
      <c r="G170" s="81"/>
      <c r="H170" s="81"/>
      <c r="I170" s="161"/>
      <c r="J170" s="154" t="str">
        <f aca="false">IF(H170="","",ROUNDUP(H170*I170*F170*G170,0))</f>
        <v/>
      </c>
      <c r="K170" s="113"/>
      <c r="L170" s="113"/>
    </row>
    <row r="171" customFormat="false" ht="12.75" hidden="false" customHeight="true" outlineLevel="0" collapsed="false">
      <c r="A171" s="121" t="str">
        <f aca="false">IF(B171="","",CONCATENATE(COUNTA($B$4:B171),"."))</f>
        <v/>
      </c>
      <c r="B171" s="112"/>
      <c r="C171" s="112"/>
      <c r="D171" s="81"/>
      <c r="E171" s="81"/>
      <c r="F171" s="81"/>
      <c r="G171" s="81"/>
      <c r="H171" s="81"/>
      <c r="I171" s="161"/>
      <c r="J171" s="154" t="str">
        <f aca="false">IF(H171="","",ROUNDUP(H171*I171*F171*G171,0))</f>
        <v/>
      </c>
      <c r="K171" s="113"/>
      <c r="L171" s="113"/>
    </row>
    <row r="172" customFormat="false" ht="12.75" hidden="false" customHeight="true" outlineLevel="0" collapsed="false">
      <c r="A172" s="121" t="str">
        <f aca="false">IF(B172="","",CONCATENATE(COUNTA($B$4:B172),"."))</f>
        <v/>
      </c>
      <c r="B172" s="112"/>
      <c r="C172" s="112"/>
      <c r="D172" s="81"/>
      <c r="E172" s="81"/>
      <c r="F172" s="81"/>
      <c r="G172" s="81"/>
      <c r="H172" s="81"/>
      <c r="I172" s="161"/>
      <c r="J172" s="154" t="str">
        <f aca="false">IF(H172="","",ROUNDUP(H172*I172*F172*G172,0))</f>
        <v/>
      </c>
      <c r="K172" s="113"/>
      <c r="L172" s="113"/>
    </row>
    <row r="173" customFormat="false" ht="12.75" hidden="false" customHeight="true" outlineLevel="0" collapsed="false">
      <c r="A173" s="121" t="str">
        <f aca="false">IF(B173="","",CONCATENATE(COUNTA($B$4:B173),"."))</f>
        <v/>
      </c>
      <c r="B173" s="112"/>
      <c r="C173" s="112"/>
      <c r="D173" s="81"/>
      <c r="E173" s="81"/>
      <c r="F173" s="81"/>
      <c r="G173" s="81"/>
      <c r="H173" s="81"/>
      <c r="I173" s="161"/>
      <c r="J173" s="154" t="str">
        <f aca="false">IF(H173="","",ROUNDUP(H173*I173*F173*G173,0))</f>
        <v/>
      </c>
      <c r="K173" s="113"/>
      <c r="L173" s="113"/>
    </row>
    <row r="174" customFormat="false" ht="12.75" hidden="false" customHeight="true" outlineLevel="0" collapsed="false">
      <c r="A174" s="121" t="str">
        <f aca="false">IF(B174="","",CONCATENATE(COUNTA($B$4:B174),"."))</f>
        <v/>
      </c>
      <c r="B174" s="112"/>
      <c r="C174" s="112"/>
      <c r="D174" s="81"/>
      <c r="E174" s="81"/>
      <c r="F174" s="81"/>
      <c r="G174" s="81"/>
      <c r="H174" s="81"/>
      <c r="I174" s="161"/>
      <c r="J174" s="154" t="str">
        <f aca="false">IF(H174="","",ROUNDUP(H174*I174*F174*G174,0))</f>
        <v/>
      </c>
      <c r="K174" s="113"/>
      <c r="L174" s="113"/>
    </row>
    <row r="175" customFormat="false" ht="12.75" hidden="false" customHeight="true" outlineLevel="0" collapsed="false">
      <c r="A175" s="121" t="str">
        <f aca="false">IF(B175="","",CONCATENATE(COUNTA($B$4:B175),"."))</f>
        <v/>
      </c>
      <c r="B175" s="112"/>
      <c r="C175" s="112"/>
      <c r="D175" s="81"/>
      <c r="E175" s="81"/>
      <c r="F175" s="81"/>
      <c r="G175" s="81"/>
      <c r="H175" s="81"/>
      <c r="I175" s="161"/>
      <c r="J175" s="154" t="str">
        <f aca="false">IF(H175="","",ROUNDUP(H175*I175*F175*G175,0))</f>
        <v/>
      </c>
      <c r="K175" s="113"/>
      <c r="L175" s="113"/>
    </row>
    <row r="176" customFormat="false" ht="12.75" hidden="false" customHeight="true" outlineLevel="0" collapsed="false">
      <c r="A176" s="121" t="str">
        <f aca="false">IF(B176="","",CONCATENATE(COUNTA($B$4:B176),"."))</f>
        <v/>
      </c>
      <c r="B176" s="112"/>
      <c r="C176" s="112"/>
      <c r="D176" s="81"/>
      <c r="E176" s="81"/>
      <c r="F176" s="81"/>
      <c r="G176" s="81"/>
      <c r="H176" s="81"/>
      <c r="I176" s="161"/>
      <c r="J176" s="154" t="str">
        <f aca="false">IF(H176="","",ROUNDUP(H176*I176*F176*G176,0))</f>
        <v/>
      </c>
      <c r="K176" s="113"/>
      <c r="L176" s="113"/>
    </row>
    <row r="177" customFormat="false" ht="12.75" hidden="false" customHeight="true" outlineLevel="0" collapsed="false">
      <c r="A177" s="121" t="str">
        <f aca="false">IF(B177="","",CONCATENATE(COUNTA($B$4:B177),"."))</f>
        <v/>
      </c>
      <c r="B177" s="112"/>
      <c r="C177" s="112"/>
      <c r="D177" s="81"/>
      <c r="E177" s="81"/>
      <c r="F177" s="81"/>
      <c r="G177" s="81"/>
      <c r="H177" s="81"/>
      <c r="I177" s="161"/>
      <c r="J177" s="154" t="str">
        <f aca="false">IF(H177="","",ROUNDUP(H177*I177*F177*G177,0))</f>
        <v/>
      </c>
      <c r="K177" s="113"/>
      <c r="L177" s="113"/>
    </row>
    <row r="178" customFormat="false" ht="12.75" hidden="false" customHeight="true" outlineLevel="0" collapsed="false">
      <c r="A178" s="121" t="str">
        <f aca="false">IF(B178="","",CONCATENATE(COUNTA($B$4:B178),"."))</f>
        <v/>
      </c>
      <c r="B178" s="112"/>
      <c r="C178" s="112"/>
      <c r="D178" s="81"/>
      <c r="E178" s="81"/>
      <c r="F178" s="81"/>
      <c r="G178" s="81"/>
      <c r="H178" s="81"/>
      <c r="I178" s="161"/>
      <c r="J178" s="154" t="str">
        <f aca="false">IF(H178="","",ROUNDUP(H178*I178*F178*G178,0))</f>
        <v/>
      </c>
      <c r="K178" s="113"/>
      <c r="L178" s="113"/>
    </row>
    <row r="179" customFormat="false" ht="12.75" hidden="false" customHeight="true" outlineLevel="0" collapsed="false">
      <c r="A179" s="121" t="str">
        <f aca="false">IF(B179="","",CONCATENATE(COUNTA($B$4:B179),"."))</f>
        <v/>
      </c>
      <c r="B179" s="112"/>
      <c r="C179" s="112"/>
      <c r="D179" s="81"/>
      <c r="E179" s="81"/>
      <c r="F179" s="81"/>
      <c r="G179" s="81"/>
      <c r="H179" s="81"/>
      <c r="I179" s="161"/>
      <c r="J179" s="154" t="str">
        <f aca="false">IF(H179="","",ROUNDUP(H179*I179*F179*G179,0))</f>
        <v/>
      </c>
      <c r="K179" s="113"/>
      <c r="L179" s="113"/>
    </row>
    <row r="180" customFormat="false" ht="12.75" hidden="false" customHeight="true" outlineLevel="0" collapsed="false">
      <c r="A180" s="121" t="str">
        <f aca="false">IF(B180="","",CONCATENATE(COUNTA($B$4:B180),"."))</f>
        <v/>
      </c>
      <c r="B180" s="112"/>
      <c r="C180" s="112"/>
      <c r="D180" s="81"/>
      <c r="E180" s="81"/>
      <c r="F180" s="81"/>
      <c r="G180" s="81"/>
      <c r="H180" s="81"/>
      <c r="I180" s="161"/>
      <c r="J180" s="154" t="str">
        <f aca="false">IF(H180="","",ROUNDUP(H180*I180*F180*G180,0))</f>
        <v/>
      </c>
      <c r="K180" s="113"/>
      <c r="L180" s="113"/>
    </row>
    <row r="181" customFormat="false" ht="12.75" hidden="false" customHeight="true" outlineLevel="0" collapsed="false">
      <c r="A181" s="121" t="str">
        <f aca="false">IF(B181="","",CONCATENATE(COUNTA($B$4:B181),"."))</f>
        <v/>
      </c>
      <c r="B181" s="112"/>
      <c r="C181" s="112"/>
      <c r="D181" s="81"/>
      <c r="E181" s="81"/>
      <c r="F181" s="81"/>
      <c r="G181" s="81"/>
      <c r="H181" s="81"/>
      <c r="I181" s="161"/>
      <c r="J181" s="154" t="str">
        <f aca="false">IF(H181="","",ROUNDUP(H181*I181*F181*G181,0))</f>
        <v/>
      </c>
      <c r="K181" s="113"/>
      <c r="L181" s="113"/>
    </row>
    <row r="182" customFormat="false" ht="12.75" hidden="false" customHeight="true" outlineLevel="0" collapsed="false">
      <c r="A182" s="121" t="str">
        <f aca="false">IF(B182="","",CONCATENATE(COUNTA($B$4:B182),"."))</f>
        <v/>
      </c>
      <c r="B182" s="112"/>
      <c r="C182" s="112"/>
      <c r="D182" s="81"/>
      <c r="E182" s="81"/>
      <c r="F182" s="81"/>
      <c r="G182" s="81"/>
      <c r="H182" s="81"/>
      <c r="I182" s="161"/>
      <c r="J182" s="154" t="str">
        <f aca="false">IF(H182="","",ROUNDUP(H182*I182*F182*G182,0))</f>
        <v/>
      </c>
      <c r="K182" s="113"/>
      <c r="L182" s="113"/>
    </row>
    <row r="183" customFormat="false" ht="12.75" hidden="false" customHeight="true" outlineLevel="0" collapsed="false">
      <c r="A183" s="121" t="str">
        <f aca="false">IF(B183="","",CONCATENATE(COUNTA($B$4:B183),"."))</f>
        <v/>
      </c>
      <c r="B183" s="112"/>
      <c r="C183" s="112"/>
      <c r="D183" s="81"/>
      <c r="E183" s="81"/>
      <c r="F183" s="81"/>
      <c r="G183" s="81"/>
      <c r="H183" s="81"/>
      <c r="I183" s="161"/>
      <c r="J183" s="154" t="str">
        <f aca="false">IF(H183="","",ROUNDUP(H183*I183*F183*G183,0))</f>
        <v/>
      </c>
      <c r="K183" s="113"/>
      <c r="L183" s="113"/>
    </row>
    <row r="184" customFormat="false" ht="12.75" hidden="false" customHeight="true" outlineLevel="0" collapsed="false">
      <c r="A184" s="121" t="str">
        <f aca="false">IF(B184="","",CONCATENATE(COUNTA($B$4:B184),"."))</f>
        <v/>
      </c>
      <c r="B184" s="112"/>
      <c r="C184" s="112"/>
      <c r="D184" s="81"/>
      <c r="E184" s="81"/>
      <c r="F184" s="81"/>
      <c r="G184" s="81"/>
      <c r="H184" s="81"/>
      <c r="I184" s="161"/>
      <c r="J184" s="154" t="str">
        <f aca="false">IF(H184="","",ROUNDUP(H184*I184*F184*G184,0))</f>
        <v/>
      </c>
      <c r="K184" s="113"/>
      <c r="L184" s="113"/>
    </row>
    <row r="185" customFormat="false" ht="12.75" hidden="false" customHeight="true" outlineLevel="0" collapsed="false">
      <c r="A185" s="121" t="str">
        <f aca="false">IF(B185="","",CONCATENATE(COUNTA($B$4:B185),"."))</f>
        <v/>
      </c>
      <c r="B185" s="112"/>
      <c r="C185" s="112"/>
      <c r="D185" s="81"/>
      <c r="E185" s="81"/>
      <c r="F185" s="81"/>
      <c r="G185" s="81"/>
      <c r="H185" s="81"/>
      <c r="I185" s="161"/>
      <c r="J185" s="154" t="str">
        <f aca="false">IF(H185="","",ROUNDUP(H185*I185*F185*G185,0))</f>
        <v/>
      </c>
      <c r="K185" s="113"/>
      <c r="L185" s="113"/>
    </row>
    <row r="186" customFormat="false" ht="12.75" hidden="false" customHeight="true" outlineLevel="0" collapsed="false">
      <c r="A186" s="121" t="str">
        <f aca="false">IF(B186="","",CONCATENATE(COUNTA($B$4:B186),"."))</f>
        <v/>
      </c>
      <c r="B186" s="112"/>
      <c r="C186" s="112"/>
      <c r="D186" s="81"/>
      <c r="E186" s="81"/>
      <c r="F186" s="81"/>
      <c r="G186" s="81"/>
      <c r="H186" s="81"/>
      <c r="I186" s="161"/>
      <c r="J186" s="154" t="str">
        <f aca="false">IF(H186="","",ROUNDUP(H186*I186*F186*G186,0))</f>
        <v/>
      </c>
      <c r="K186" s="113"/>
      <c r="L186" s="113"/>
    </row>
    <row r="187" customFormat="false" ht="12.75" hidden="false" customHeight="true" outlineLevel="0" collapsed="false">
      <c r="A187" s="121" t="str">
        <f aca="false">IF(B187="","",CONCATENATE(COUNTA($B$4:B187),"."))</f>
        <v/>
      </c>
      <c r="B187" s="112"/>
      <c r="C187" s="112"/>
      <c r="D187" s="81"/>
      <c r="E187" s="81"/>
      <c r="F187" s="81"/>
      <c r="G187" s="81"/>
      <c r="H187" s="81"/>
      <c r="I187" s="161"/>
      <c r="J187" s="154" t="str">
        <f aca="false">IF(H187="","",ROUNDUP(H187*I187*F187*G187,0))</f>
        <v/>
      </c>
      <c r="K187" s="113"/>
      <c r="L187" s="113"/>
    </row>
    <row r="188" customFormat="false" ht="12.75" hidden="false" customHeight="true" outlineLevel="0" collapsed="false">
      <c r="A188" s="121" t="str">
        <f aca="false">IF(B188="","",CONCATENATE(COUNTA($B$4:B188),"."))</f>
        <v/>
      </c>
      <c r="B188" s="112"/>
      <c r="C188" s="112"/>
      <c r="D188" s="81"/>
      <c r="E188" s="81"/>
      <c r="F188" s="81"/>
      <c r="G188" s="81"/>
      <c r="H188" s="81"/>
      <c r="I188" s="161"/>
      <c r="J188" s="154" t="str">
        <f aca="false">IF(H188="","",ROUNDUP(H188*I188*F188*G188,0))</f>
        <v/>
      </c>
      <c r="K188" s="113"/>
      <c r="L188" s="113"/>
    </row>
    <row r="189" customFormat="false" ht="12.75" hidden="false" customHeight="true" outlineLevel="0" collapsed="false">
      <c r="A189" s="121" t="str">
        <f aca="false">IF(B189="","",CONCATENATE(COUNTA($B$4:B189),"."))</f>
        <v/>
      </c>
      <c r="B189" s="112"/>
      <c r="C189" s="112"/>
      <c r="D189" s="81"/>
      <c r="E189" s="81"/>
      <c r="F189" s="81"/>
      <c r="G189" s="81"/>
      <c r="H189" s="81"/>
      <c r="I189" s="161"/>
      <c r="J189" s="154" t="str">
        <f aca="false">IF(H189="","",ROUNDUP(H189*I189*F189*G189,0))</f>
        <v/>
      </c>
      <c r="K189" s="113"/>
      <c r="L189" s="113"/>
    </row>
    <row r="190" customFormat="false" ht="12.75" hidden="false" customHeight="true" outlineLevel="0" collapsed="false">
      <c r="A190" s="121" t="str">
        <f aca="false">IF(B190="","",CONCATENATE(COUNTA($B$4:B190),"."))</f>
        <v/>
      </c>
      <c r="B190" s="112"/>
      <c r="C190" s="112"/>
      <c r="D190" s="81"/>
      <c r="E190" s="81"/>
      <c r="F190" s="81"/>
      <c r="G190" s="81"/>
      <c r="H190" s="81"/>
      <c r="I190" s="161"/>
      <c r="J190" s="154" t="str">
        <f aca="false">IF(H190="","",ROUNDUP(H190*I190*F190*G190,0))</f>
        <v/>
      </c>
      <c r="K190" s="113"/>
      <c r="L190" s="113"/>
    </row>
    <row r="191" customFormat="false" ht="12.75" hidden="false" customHeight="true" outlineLevel="0" collapsed="false">
      <c r="A191" s="121" t="str">
        <f aca="false">IF(B191="","",CONCATENATE(COUNTA($B$4:B191),"."))</f>
        <v/>
      </c>
      <c r="B191" s="112"/>
      <c r="C191" s="112"/>
      <c r="D191" s="81"/>
      <c r="E191" s="81"/>
      <c r="F191" s="81"/>
      <c r="G191" s="81"/>
      <c r="H191" s="81"/>
      <c r="I191" s="161"/>
      <c r="J191" s="154" t="str">
        <f aca="false">IF(H191="","",ROUNDUP(H191*I191*F191*G191,0))</f>
        <v/>
      </c>
      <c r="K191" s="113"/>
      <c r="L191" s="113"/>
    </row>
    <row r="192" customFormat="false" ht="12.75" hidden="false" customHeight="true" outlineLevel="0" collapsed="false">
      <c r="A192" s="121" t="str">
        <f aca="false">IF(B192="","",CONCATENATE(COUNTA($B$4:B192),"."))</f>
        <v/>
      </c>
      <c r="B192" s="112"/>
      <c r="C192" s="112"/>
      <c r="D192" s="81"/>
      <c r="E192" s="81"/>
      <c r="F192" s="81"/>
      <c r="G192" s="81"/>
      <c r="H192" s="81"/>
      <c r="I192" s="161"/>
      <c r="J192" s="154" t="str">
        <f aca="false">IF(H192="","",ROUNDUP(H192*I192*F192*G192,0))</f>
        <v/>
      </c>
      <c r="K192" s="113"/>
      <c r="L192" s="113"/>
    </row>
    <row r="193" customFormat="false" ht="12.75" hidden="false" customHeight="true" outlineLevel="0" collapsed="false">
      <c r="A193" s="121" t="str">
        <f aca="false">IF(B193="","",CONCATENATE(COUNTA($B$4:B193),"."))</f>
        <v/>
      </c>
      <c r="B193" s="112"/>
      <c r="C193" s="112"/>
      <c r="D193" s="81"/>
      <c r="E193" s="81"/>
      <c r="F193" s="81"/>
      <c r="G193" s="81"/>
      <c r="H193" s="81"/>
      <c r="I193" s="161"/>
      <c r="J193" s="154" t="str">
        <f aca="false">IF(H193="","",ROUNDUP(H193*I193*F193*G193,0))</f>
        <v/>
      </c>
      <c r="K193" s="113"/>
      <c r="L193" s="113"/>
    </row>
    <row r="194" customFormat="false" ht="12.75" hidden="false" customHeight="true" outlineLevel="0" collapsed="false">
      <c r="A194" s="121" t="str">
        <f aca="false">IF(B194="","",CONCATENATE(COUNTA($B$4:B194),"."))</f>
        <v/>
      </c>
      <c r="B194" s="112"/>
      <c r="C194" s="112"/>
      <c r="D194" s="81"/>
      <c r="E194" s="81"/>
      <c r="F194" s="81"/>
      <c r="G194" s="81"/>
      <c r="H194" s="81"/>
      <c r="I194" s="161"/>
      <c r="J194" s="154" t="str">
        <f aca="false">IF(H194="","",ROUNDUP(H194*I194*F194*G194,0))</f>
        <v/>
      </c>
      <c r="K194" s="113"/>
      <c r="L194" s="113"/>
    </row>
    <row r="195" customFormat="false" ht="12.75" hidden="false" customHeight="true" outlineLevel="0" collapsed="false">
      <c r="A195" s="121" t="str">
        <f aca="false">IF(B195="","",CONCATENATE(COUNTA($B$4:B195),"."))</f>
        <v/>
      </c>
      <c r="B195" s="112"/>
      <c r="C195" s="112"/>
      <c r="D195" s="81"/>
      <c r="E195" s="81"/>
      <c r="F195" s="81"/>
      <c r="G195" s="81"/>
      <c r="H195" s="81"/>
      <c r="I195" s="161"/>
      <c r="J195" s="154" t="str">
        <f aca="false">IF(H195="","",ROUNDUP(H195*I195*F195*G195,0))</f>
        <v/>
      </c>
      <c r="K195" s="113"/>
      <c r="L195" s="113"/>
    </row>
    <row r="196" customFormat="false" ht="12.75" hidden="false" customHeight="true" outlineLevel="0" collapsed="false">
      <c r="A196" s="121" t="str">
        <f aca="false">IF(B196="","",CONCATENATE(COUNTA($B$4:B196),"."))</f>
        <v/>
      </c>
      <c r="B196" s="112"/>
      <c r="C196" s="112"/>
      <c r="D196" s="81"/>
      <c r="E196" s="81"/>
      <c r="F196" s="81"/>
      <c r="G196" s="81"/>
      <c r="H196" s="81"/>
      <c r="I196" s="161"/>
      <c r="J196" s="154" t="str">
        <f aca="false">IF(H196="","",ROUNDUP(H196*I196*F196*G196,0))</f>
        <v/>
      </c>
      <c r="K196" s="113"/>
      <c r="L196" s="113"/>
    </row>
    <row r="197" customFormat="false" ht="12.75" hidden="false" customHeight="true" outlineLevel="0" collapsed="false">
      <c r="A197" s="121" t="str">
        <f aca="false">IF(B197="","",CONCATENATE(COUNTA($B$4:B197),"."))</f>
        <v/>
      </c>
      <c r="B197" s="112"/>
      <c r="C197" s="112"/>
      <c r="D197" s="81"/>
      <c r="E197" s="81"/>
      <c r="F197" s="81"/>
      <c r="G197" s="81"/>
      <c r="H197" s="81"/>
      <c r="I197" s="161"/>
      <c r="J197" s="154" t="str">
        <f aca="false">IF(H197="","",ROUNDUP(H197*I197*F197*G197,0))</f>
        <v/>
      </c>
      <c r="K197" s="113"/>
      <c r="L197" s="113"/>
    </row>
    <row r="198" customFormat="false" ht="12.75" hidden="false" customHeight="true" outlineLevel="0" collapsed="false">
      <c r="A198" s="121" t="str">
        <f aca="false">IF(B198="","",CONCATENATE(COUNTA($B$4:B198),"."))</f>
        <v/>
      </c>
      <c r="B198" s="112"/>
      <c r="C198" s="112"/>
      <c r="D198" s="81"/>
      <c r="E198" s="81"/>
      <c r="F198" s="81"/>
      <c r="G198" s="81"/>
      <c r="H198" s="81"/>
      <c r="I198" s="161"/>
      <c r="J198" s="154" t="str">
        <f aca="false">IF(H198="","",ROUNDUP(H198*I198*F198*G198,0))</f>
        <v/>
      </c>
      <c r="K198" s="113"/>
      <c r="L198" s="113"/>
    </row>
    <row r="199" customFormat="false" ht="12.75" hidden="false" customHeight="true" outlineLevel="0" collapsed="false">
      <c r="A199" s="121" t="str">
        <f aca="false">IF(B199="","",CONCATENATE(COUNTA($B$4:B199),"."))</f>
        <v/>
      </c>
      <c r="B199" s="112"/>
      <c r="C199" s="112"/>
      <c r="D199" s="81"/>
      <c r="E199" s="81"/>
      <c r="F199" s="81"/>
      <c r="G199" s="81"/>
      <c r="H199" s="81"/>
      <c r="I199" s="161"/>
      <c r="J199" s="154" t="str">
        <f aca="false">IF(H199="","",ROUNDUP(H199*I199*F199*G199,0))</f>
        <v/>
      </c>
      <c r="K199" s="113"/>
      <c r="L199" s="113"/>
    </row>
    <row r="200" customFormat="false" ht="12.75" hidden="false" customHeight="true" outlineLevel="0" collapsed="false">
      <c r="A200" s="121" t="str">
        <f aca="false">IF(B200="","",CONCATENATE(COUNTA($B$4:B200),"."))</f>
        <v/>
      </c>
      <c r="B200" s="112"/>
      <c r="C200" s="112"/>
      <c r="D200" s="81"/>
      <c r="E200" s="81"/>
      <c r="F200" s="81"/>
      <c r="G200" s="81"/>
      <c r="H200" s="81"/>
      <c r="I200" s="161"/>
      <c r="J200" s="154" t="str">
        <f aca="false">IF(H200="","",ROUNDUP(H200*35%,0))</f>
        <v/>
      </c>
      <c r="K200" s="113"/>
      <c r="L200" s="113"/>
    </row>
    <row r="201" customFormat="false" ht="12.75" hidden="false" customHeight="true" outlineLevel="0" collapsed="false">
      <c r="A201" s="121" t="str">
        <f aca="false">IF(B201="","",CONCATENATE(COUNTA($B$4:B201),"."))</f>
        <v/>
      </c>
      <c r="B201" s="112"/>
      <c r="C201" s="112"/>
      <c r="D201" s="81"/>
      <c r="E201" s="81"/>
      <c r="F201" s="81"/>
      <c r="G201" s="81"/>
      <c r="H201" s="81"/>
      <c r="I201" s="161"/>
      <c r="J201" s="154" t="str">
        <f aca="false">IF(H201="","",ROUNDUP(H201*35%,0))</f>
        <v/>
      </c>
      <c r="K201" s="113"/>
      <c r="L201" s="113"/>
    </row>
    <row r="202" customFormat="false" ht="12.75" hidden="false" customHeight="true" outlineLevel="0" collapsed="false">
      <c r="A202" s="121" t="str">
        <f aca="false">IF(B202="","",CONCATENATE(COUNTA($B$4:B202),"."))</f>
        <v/>
      </c>
      <c r="B202" s="112"/>
      <c r="C202" s="112"/>
      <c r="D202" s="81"/>
      <c r="E202" s="81"/>
      <c r="F202" s="81"/>
      <c r="G202" s="81"/>
      <c r="H202" s="81"/>
      <c r="I202" s="161"/>
      <c r="J202" s="154" t="str">
        <f aca="false">IF(H202="","",ROUNDUP(H202*35%,0))</f>
        <v/>
      </c>
      <c r="K202" s="113"/>
      <c r="L202" s="113"/>
    </row>
    <row r="203" customFormat="false" ht="12.75" hidden="false" customHeight="true" outlineLevel="0" collapsed="false">
      <c r="A203" s="121" t="str">
        <f aca="false">IF(B203="","",CONCATENATE(COUNTA($B$4:B203),"."))</f>
        <v/>
      </c>
      <c r="B203" s="112"/>
      <c r="C203" s="112"/>
      <c r="D203" s="81"/>
      <c r="E203" s="81"/>
      <c r="F203" s="81"/>
      <c r="G203" s="81"/>
      <c r="H203" s="81"/>
      <c r="I203" s="161"/>
      <c r="J203" s="154" t="str">
        <f aca="false">IF(H203="","",ROUNDUP(H203*35%,0))</f>
        <v/>
      </c>
      <c r="K203" s="113"/>
      <c r="L203" s="113"/>
    </row>
    <row r="204" customFormat="false" ht="12.75" hidden="false" customHeight="true" outlineLevel="0" collapsed="false">
      <c r="A204" s="121" t="str">
        <f aca="false">IF(B204="","",CONCATENATE(COUNTA($B$4:B204),"."))</f>
        <v/>
      </c>
      <c r="B204" s="112"/>
      <c r="C204" s="112"/>
      <c r="D204" s="81"/>
      <c r="E204" s="81"/>
      <c r="F204" s="81"/>
      <c r="G204" s="81"/>
      <c r="H204" s="81"/>
      <c r="I204" s="161"/>
      <c r="J204" s="154" t="str">
        <f aca="false">IF(H204="","",ROUNDUP(H204*35%,0))</f>
        <v/>
      </c>
      <c r="K204" s="113"/>
      <c r="L204" s="113"/>
    </row>
    <row r="205" customFormat="false" ht="12.75" hidden="false" customHeight="true" outlineLevel="0" collapsed="false">
      <c r="A205" s="121" t="str">
        <f aca="false">IF(B205="","",CONCATENATE(COUNTA($B$4:B205),"."))</f>
        <v/>
      </c>
      <c r="B205" s="112"/>
      <c r="C205" s="112"/>
      <c r="D205" s="81"/>
      <c r="E205" s="81"/>
      <c r="F205" s="81"/>
      <c r="G205" s="81"/>
      <c r="H205" s="81"/>
      <c r="I205" s="161"/>
      <c r="J205" s="154" t="str">
        <f aca="false">IF(H205="","",ROUNDUP(H205*35%,0))</f>
        <v/>
      </c>
      <c r="K205" s="113"/>
      <c r="L205" s="113"/>
    </row>
    <row r="206" customFormat="false" ht="12.75" hidden="false" customHeight="true" outlineLevel="0" collapsed="false">
      <c r="A206" s="121" t="str">
        <f aca="false">IF(B206="","",CONCATENATE(COUNTA($B$4:B206),"."))</f>
        <v/>
      </c>
      <c r="B206" s="112"/>
      <c r="C206" s="112"/>
      <c r="D206" s="81"/>
      <c r="E206" s="81"/>
      <c r="F206" s="81"/>
      <c r="G206" s="81"/>
      <c r="H206" s="81"/>
      <c r="I206" s="161"/>
      <c r="J206" s="154" t="str">
        <f aca="false">IF(H206="","",ROUNDUP(H206*35%,0))</f>
        <v/>
      </c>
      <c r="K206" s="113"/>
      <c r="L206" s="113"/>
    </row>
    <row r="207" customFormat="false" ht="12.75" hidden="false" customHeight="true" outlineLevel="0" collapsed="false">
      <c r="A207" s="121" t="str">
        <f aca="false">IF(B207="","",CONCATENATE(COUNTA($B$4:B207),"."))</f>
        <v/>
      </c>
      <c r="B207" s="112"/>
      <c r="C207" s="112"/>
      <c r="D207" s="81"/>
      <c r="E207" s="81"/>
      <c r="F207" s="81"/>
      <c r="G207" s="81"/>
      <c r="H207" s="81"/>
      <c r="I207" s="161"/>
      <c r="J207" s="154" t="str">
        <f aca="false">IF(H207="","",ROUNDUP(H207*35%,0))</f>
        <v/>
      </c>
      <c r="K207" s="113"/>
      <c r="L207" s="113"/>
    </row>
    <row r="208" customFormat="false" ht="12.75" hidden="false" customHeight="true" outlineLevel="0" collapsed="false">
      <c r="A208" s="121" t="str">
        <f aca="false">IF(B208="","",CONCATENATE(COUNTA($B$4:B208),"."))</f>
        <v/>
      </c>
      <c r="B208" s="112"/>
      <c r="C208" s="112"/>
      <c r="D208" s="81"/>
      <c r="E208" s="81"/>
      <c r="F208" s="81"/>
      <c r="G208" s="81"/>
      <c r="H208" s="81"/>
      <c r="I208" s="161"/>
      <c r="J208" s="154" t="str">
        <f aca="false">IF(H208="","",ROUNDUP(H208*35%,0))</f>
        <v/>
      </c>
      <c r="K208" s="113"/>
      <c r="L208" s="113"/>
    </row>
    <row r="209" customFormat="false" ht="12.75" hidden="false" customHeight="true" outlineLevel="0" collapsed="false">
      <c r="A209" s="121" t="str">
        <f aca="false">IF(B209="","",CONCATENATE(COUNTA($B$4:B209),"."))</f>
        <v/>
      </c>
      <c r="B209" s="112"/>
      <c r="C209" s="112"/>
      <c r="D209" s="81"/>
      <c r="E209" s="81"/>
      <c r="F209" s="81"/>
      <c r="G209" s="81"/>
      <c r="H209" s="81"/>
      <c r="I209" s="161"/>
      <c r="J209" s="154" t="str">
        <f aca="false">IF(H209="","",ROUNDUP(H209*35%,0))</f>
        <v/>
      </c>
      <c r="K209" s="113"/>
      <c r="L209" s="113"/>
    </row>
    <row r="210" customFormat="false" ht="12.75" hidden="false" customHeight="true" outlineLevel="0" collapsed="false">
      <c r="A210" s="121" t="str">
        <f aca="false">IF(B210="","",CONCATENATE(COUNTA($B$4:B210),"."))</f>
        <v/>
      </c>
      <c r="B210" s="112"/>
      <c r="C210" s="112"/>
      <c r="D210" s="81"/>
      <c r="E210" s="81"/>
      <c r="F210" s="81"/>
      <c r="G210" s="81"/>
      <c r="H210" s="81"/>
      <c r="I210" s="161"/>
      <c r="J210" s="154" t="str">
        <f aca="false">IF(H210="","",ROUNDUP(H210*35%,0))</f>
        <v/>
      </c>
      <c r="K210" s="113"/>
      <c r="L210" s="113"/>
    </row>
    <row r="211" customFormat="false" ht="12.75" hidden="false" customHeight="true" outlineLevel="0" collapsed="false">
      <c r="A211" s="121" t="str">
        <f aca="false">IF(B211="","",CONCATENATE(COUNTA($B$4:B211),"."))</f>
        <v/>
      </c>
      <c r="B211" s="112"/>
      <c r="C211" s="112"/>
      <c r="D211" s="81"/>
      <c r="E211" s="81"/>
      <c r="F211" s="81"/>
      <c r="G211" s="81"/>
      <c r="H211" s="81"/>
      <c r="I211" s="161"/>
      <c r="J211" s="154" t="str">
        <f aca="false">IF(H211="","",ROUNDUP(H211*35%,0))</f>
        <v/>
      </c>
      <c r="K211" s="113"/>
      <c r="L211" s="113"/>
    </row>
    <row r="212" customFormat="false" ht="12.75" hidden="false" customHeight="true" outlineLevel="0" collapsed="false">
      <c r="A212" s="121" t="str">
        <f aca="false">IF(B212="","",CONCATENATE(COUNTA($B$4:B212),"."))</f>
        <v/>
      </c>
      <c r="B212" s="112"/>
      <c r="C212" s="112"/>
      <c r="D212" s="81"/>
      <c r="E212" s="81"/>
      <c r="F212" s="81"/>
      <c r="G212" s="81"/>
      <c r="H212" s="81"/>
      <c r="I212" s="161"/>
      <c r="J212" s="154" t="str">
        <f aca="false">IF(H212="","",ROUNDUP(H212*35%,0))</f>
        <v/>
      </c>
      <c r="K212" s="113"/>
      <c r="L212" s="113"/>
    </row>
    <row r="213" customFormat="false" ht="12.75" hidden="false" customHeight="true" outlineLevel="0" collapsed="false">
      <c r="A213" s="121" t="str">
        <f aca="false">IF(B213="","",CONCATENATE(COUNTA($B$4:B213),"."))</f>
        <v/>
      </c>
      <c r="B213" s="112"/>
      <c r="C213" s="112"/>
      <c r="D213" s="81"/>
      <c r="E213" s="81"/>
      <c r="F213" s="81"/>
      <c r="G213" s="81"/>
      <c r="H213" s="81"/>
      <c r="I213" s="161"/>
      <c r="J213" s="154" t="str">
        <f aca="false">IF(H213="","",ROUNDUP(H213*35%,0))</f>
        <v/>
      </c>
      <c r="K213" s="113"/>
      <c r="L213" s="113"/>
    </row>
    <row r="214" customFormat="false" ht="12.75" hidden="false" customHeight="true" outlineLevel="0" collapsed="false">
      <c r="A214" s="121" t="str">
        <f aca="false">IF(B214="","",CONCATENATE(COUNTA($B$4:B214),"."))</f>
        <v/>
      </c>
      <c r="B214" s="112"/>
      <c r="C214" s="112"/>
      <c r="D214" s="81"/>
      <c r="E214" s="81"/>
      <c r="F214" s="81"/>
      <c r="G214" s="81"/>
      <c r="H214" s="81"/>
      <c r="I214" s="161"/>
      <c r="J214" s="154" t="str">
        <f aca="false">IF(H214="","",ROUNDUP(H214*35%,0))</f>
        <v/>
      </c>
      <c r="K214" s="113"/>
      <c r="L214" s="113"/>
    </row>
    <row r="215" customFormat="false" ht="12.75" hidden="false" customHeight="true" outlineLevel="0" collapsed="false">
      <c r="A215" s="121" t="str">
        <f aca="false">IF(B215="","",CONCATENATE(COUNTA($B$4:B215),"."))</f>
        <v/>
      </c>
      <c r="B215" s="112"/>
      <c r="C215" s="112"/>
      <c r="D215" s="81"/>
      <c r="E215" s="81"/>
      <c r="F215" s="81"/>
      <c r="G215" s="81"/>
      <c r="H215" s="81"/>
      <c r="I215" s="161"/>
      <c r="J215" s="154" t="str">
        <f aca="false">IF(H215="","",ROUNDUP(H215*35%,0))</f>
        <v/>
      </c>
      <c r="K215" s="113"/>
      <c r="L215" s="113"/>
    </row>
    <row r="216" customFormat="false" ht="12.75" hidden="false" customHeight="true" outlineLevel="0" collapsed="false">
      <c r="A216" s="121" t="str">
        <f aca="false">IF(B216="","",CONCATENATE(COUNTA($B$4:B216),"."))</f>
        <v/>
      </c>
      <c r="B216" s="112"/>
      <c r="C216" s="112"/>
      <c r="D216" s="81"/>
      <c r="E216" s="81"/>
      <c r="F216" s="81"/>
      <c r="G216" s="81"/>
      <c r="H216" s="81"/>
      <c r="I216" s="161"/>
      <c r="J216" s="154" t="str">
        <f aca="false">IF(H216="","",ROUNDUP(H216*35%,0))</f>
        <v/>
      </c>
      <c r="K216" s="113"/>
      <c r="L216" s="113"/>
    </row>
    <row r="217" customFormat="false" ht="12.75" hidden="false" customHeight="true" outlineLevel="0" collapsed="false">
      <c r="A217" s="121" t="str">
        <f aca="false">IF(B217="","",CONCATENATE(COUNTA($B$4:B217),"."))</f>
        <v/>
      </c>
      <c r="B217" s="112"/>
      <c r="C217" s="112"/>
      <c r="D217" s="81"/>
      <c r="E217" s="81"/>
      <c r="F217" s="81"/>
      <c r="G217" s="81"/>
      <c r="H217" s="81"/>
      <c r="I217" s="161"/>
      <c r="J217" s="154" t="str">
        <f aca="false">IF(H217="","",ROUNDUP(H217*35%,0))</f>
        <v/>
      </c>
      <c r="K217" s="113"/>
      <c r="L217" s="113"/>
    </row>
    <row r="218" customFormat="false" ht="12.75" hidden="false" customHeight="true" outlineLevel="0" collapsed="false">
      <c r="A218" s="121" t="str">
        <f aca="false">IF(B218="","",CONCATENATE(COUNTA($B$4:B218),"."))</f>
        <v/>
      </c>
      <c r="B218" s="112"/>
      <c r="C218" s="112"/>
      <c r="D218" s="81"/>
      <c r="E218" s="81"/>
      <c r="F218" s="81"/>
      <c r="G218" s="81"/>
      <c r="H218" s="81"/>
      <c r="I218" s="161"/>
      <c r="J218" s="154" t="str">
        <f aca="false">IF(H218="","",ROUNDUP(H218*35%,0))</f>
        <v/>
      </c>
      <c r="K218" s="113"/>
      <c r="L218" s="113"/>
    </row>
    <row r="219" customFormat="false" ht="12.75" hidden="false" customHeight="true" outlineLevel="0" collapsed="false">
      <c r="A219" s="121" t="str">
        <f aca="false">IF(B219="","",CONCATENATE(COUNTA($B$4:B219),"."))</f>
        <v/>
      </c>
      <c r="B219" s="112"/>
      <c r="C219" s="112"/>
      <c r="D219" s="81"/>
      <c r="E219" s="81"/>
      <c r="F219" s="81"/>
      <c r="G219" s="81"/>
      <c r="H219" s="81"/>
      <c r="I219" s="161"/>
      <c r="J219" s="154" t="str">
        <f aca="false">IF(H219="","",ROUNDUP(H219*35%,0))</f>
        <v/>
      </c>
      <c r="K219" s="113"/>
      <c r="L219" s="113"/>
    </row>
    <row r="220" customFormat="false" ht="12.75" hidden="false" customHeight="true" outlineLevel="0" collapsed="false">
      <c r="A220" s="121" t="str">
        <f aca="false">IF(B220="","",CONCATENATE(COUNTA($B$4:B220),"."))</f>
        <v/>
      </c>
      <c r="B220" s="112"/>
      <c r="C220" s="112"/>
      <c r="D220" s="81"/>
      <c r="E220" s="81"/>
      <c r="F220" s="81"/>
      <c r="G220" s="81"/>
      <c r="H220" s="81"/>
      <c r="I220" s="161"/>
      <c r="J220" s="154" t="str">
        <f aca="false">IF(H220="","",ROUNDUP(H220*35%,0))</f>
        <v/>
      </c>
      <c r="K220" s="113"/>
      <c r="L220" s="113"/>
    </row>
    <row r="221" customFormat="false" ht="12.75" hidden="false" customHeight="true" outlineLevel="0" collapsed="false">
      <c r="A221" s="121" t="str">
        <f aca="false">IF(B221="","",CONCATENATE(COUNTA($B$4:B221),"."))</f>
        <v/>
      </c>
      <c r="B221" s="112"/>
      <c r="C221" s="112"/>
      <c r="D221" s="81"/>
      <c r="E221" s="81"/>
      <c r="F221" s="81"/>
      <c r="G221" s="81"/>
      <c r="H221" s="81"/>
      <c r="I221" s="161"/>
      <c r="J221" s="154" t="str">
        <f aca="false">IF(H221="","",ROUNDUP(H221*35%,0))</f>
        <v/>
      </c>
      <c r="K221" s="113"/>
      <c r="L221" s="113"/>
    </row>
    <row r="222" customFormat="false" ht="12.75" hidden="false" customHeight="true" outlineLevel="0" collapsed="false">
      <c r="A222" s="121" t="str">
        <f aca="false">IF(B222="","",CONCATENATE(COUNTA($B$4:B222),"."))</f>
        <v/>
      </c>
      <c r="B222" s="112"/>
      <c r="C222" s="112"/>
      <c r="D222" s="81"/>
      <c r="E222" s="81"/>
      <c r="F222" s="81"/>
      <c r="G222" s="81"/>
      <c r="H222" s="81"/>
      <c r="I222" s="161"/>
      <c r="J222" s="154" t="str">
        <f aca="false">IF(H222="","",ROUNDUP(H222*35%,0))</f>
        <v/>
      </c>
      <c r="K222" s="113"/>
      <c r="L222" s="113"/>
    </row>
    <row r="223" customFormat="false" ht="12.75" hidden="false" customHeight="true" outlineLevel="0" collapsed="false">
      <c r="A223" s="121" t="str">
        <f aca="false">IF(B223="","",CONCATENATE(COUNTA($B$4:B223),"."))</f>
        <v/>
      </c>
      <c r="B223" s="112"/>
      <c r="C223" s="112"/>
      <c r="D223" s="81"/>
      <c r="E223" s="81"/>
      <c r="F223" s="81"/>
      <c r="G223" s="81"/>
      <c r="H223" s="81"/>
      <c r="I223" s="161"/>
      <c r="J223" s="154" t="str">
        <f aca="false">IF(H223="","",ROUNDUP(H223*35%,0))</f>
        <v/>
      </c>
      <c r="K223" s="113"/>
      <c r="L223" s="113"/>
    </row>
    <row r="224" customFormat="false" ht="12.75" hidden="false" customHeight="true" outlineLevel="0" collapsed="false">
      <c r="A224" s="121" t="str">
        <f aca="false">IF(B224="","",CONCATENATE(COUNTA($B$4:B224),"."))</f>
        <v/>
      </c>
      <c r="B224" s="112"/>
      <c r="C224" s="112"/>
      <c r="D224" s="81"/>
      <c r="E224" s="81"/>
      <c r="F224" s="81"/>
      <c r="G224" s="81"/>
      <c r="H224" s="81"/>
      <c r="I224" s="161"/>
      <c r="J224" s="154" t="str">
        <f aca="false">IF(H224="","",ROUNDUP(H224*35%,0))</f>
        <v/>
      </c>
      <c r="K224" s="113"/>
      <c r="L224" s="113"/>
    </row>
    <row r="225" customFormat="false" ht="12.75" hidden="false" customHeight="true" outlineLevel="0" collapsed="false">
      <c r="A225" s="121" t="str">
        <f aca="false">IF(B225="","",CONCATENATE(COUNTA($B$4:B225),"."))</f>
        <v/>
      </c>
      <c r="B225" s="112"/>
      <c r="C225" s="112"/>
      <c r="D225" s="81"/>
      <c r="E225" s="81"/>
      <c r="F225" s="81"/>
      <c r="G225" s="81"/>
      <c r="H225" s="81"/>
      <c r="I225" s="161"/>
      <c r="J225" s="154" t="str">
        <f aca="false">IF(H225="","",ROUNDUP(H225*35%,0))</f>
        <v/>
      </c>
      <c r="K225" s="113"/>
      <c r="L225" s="113"/>
    </row>
    <row r="226" customFormat="false" ht="12.75" hidden="false" customHeight="true" outlineLevel="0" collapsed="false">
      <c r="A226" s="121" t="str">
        <f aca="false">IF(B226="","",CONCATENATE(COUNTA($B$4:B226),"."))</f>
        <v/>
      </c>
      <c r="B226" s="112"/>
      <c r="C226" s="112"/>
      <c r="D226" s="81"/>
      <c r="E226" s="81"/>
      <c r="F226" s="81"/>
      <c r="G226" s="81"/>
      <c r="H226" s="81"/>
      <c r="I226" s="161"/>
      <c r="J226" s="154" t="str">
        <f aca="false">IF(H226="","",ROUNDUP(H226*35%,0))</f>
        <v/>
      </c>
      <c r="K226" s="113"/>
      <c r="L226" s="113"/>
    </row>
    <row r="227" customFormat="false" ht="12.75" hidden="false" customHeight="true" outlineLevel="0" collapsed="false">
      <c r="A227" s="121" t="str">
        <f aca="false">IF(B227="","",CONCATENATE(COUNTA($B$4:B227),"."))</f>
        <v/>
      </c>
      <c r="B227" s="112"/>
      <c r="C227" s="112"/>
      <c r="D227" s="81"/>
      <c r="E227" s="81"/>
      <c r="F227" s="81"/>
      <c r="G227" s="81"/>
      <c r="H227" s="81"/>
      <c r="I227" s="161"/>
      <c r="J227" s="154" t="str">
        <f aca="false">IF(H227="","",ROUNDUP(H227*35%,0))</f>
        <v/>
      </c>
      <c r="K227" s="113"/>
      <c r="L227" s="113"/>
    </row>
    <row r="228" customFormat="false" ht="12.75" hidden="false" customHeight="true" outlineLevel="0" collapsed="false">
      <c r="A228" s="121" t="str">
        <f aca="false">IF(B228="","",CONCATENATE(COUNTA($B$4:B228),"."))</f>
        <v/>
      </c>
      <c r="B228" s="112"/>
      <c r="C228" s="112"/>
      <c r="D228" s="81"/>
      <c r="E228" s="81"/>
      <c r="F228" s="81"/>
      <c r="G228" s="81"/>
      <c r="H228" s="81"/>
      <c r="I228" s="161"/>
      <c r="J228" s="154" t="str">
        <f aca="false">IF(H228="","",ROUNDUP(H228*35%,0))</f>
        <v/>
      </c>
      <c r="K228" s="113"/>
      <c r="L228" s="113"/>
    </row>
    <row r="229" customFormat="false" ht="12.75" hidden="false" customHeight="true" outlineLevel="0" collapsed="false">
      <c r="A229" s="121" t="str">
        <f aca="false">IF(B229="","",CONCATENATE(COUNTA($B$4:B229),"."))</f>
        <v/>
      </c>
      <c r="B229" s="112"/>
      <c r="C229" s="112"/>
      <c r="D229" s="81"/>
      <c r="E229" s="81"/>
      <c r="F229" s="81"/>
      <c r="G229" s="81"/>
      <c r="H229" s="81"/>
      <c r="I229" s="161"/>
      <c r="J229" s="154" t="str">
        <f aca="false">IF(H229="","",ROUNDUP(H229*35%,0))</f>
        <v/>
      </c>
      <c r="K229" s="113"/>
      <c r="L229" s="113"/>
    </row>
    <row r="230" customFormat="false" ht="12.75" hidden="false" customHeight="true" outlineLevel="0" collapsed="false">
      <c r="A230" s="121" t="str">
        <f aca="false">IF(B230="","",CONCATENATE(COUNTA($B$4:B230),"."))</f>
        <v/>
      </c>
      <c r="B230" s="112"/>
      <c r="C230" s="112"/>
      <c r="D230" s="81"/>
      <c r="E230" s="81"/>
      <c r="F230" s="81"/>
      <c r="G230" s="81"/>
      <c r="H230" s="81"/>
      <c r="I230" s="161"/>
      <c r="J230" s="154" t="str">
        <f aca="false">IF(H230="","",ROUNDUP(H230*35%,0))</f>
        <v/>
      </c>
      <c r="K230" s="113"/>
      <c r="L230" s="113"/>
    </row>
    <row r="231" customFormat="false" ht="12.75" hidden="false" customHeight="true" outlineLevel="0" collapsed="false">
      <c r="A231" s="121" t="str">
        <f aca="false">IF(B231="","",CONCATENATE(COUNTA($B$4:B231),"."))</f>
        <v/>
      </c>
      <c r="B231" s="112"/>
      <c r="C231" s="112"/>
      <c r="D231" s="81"/>
      <c r="E231" s="81"/>
      <c r="F231" s="81"/>
      <c r="G231" s="81"/>
      <c r="H231" s="81"/>
      <c r="I231" s="161"/>
      <c r="J231" s="154" t="str">
        <f aca="false">IF(H231="","",ROUNDUP(H231*35%,0))</f>
        <v/>
      </c>
      <c r="K231" s="113"/>
      <c r="L231" s="113"/>
    </row>
    <row r="232" customFormat="false" ht="12.75" hidden="false" customHeight="true" outlineLevel="0" collapsed="false">
      <c r="A232" s="121" t="str">
        <f aca="false">IF(B232="","",CONCATENATE(COUNTA($B$4:B232),"."))</f>
        <v/>
      </c>
      <c r="B232" s="112"/>
      <c r="C232" s="112"/>
      <c r="D232" s="81"/>
      <c r="E232" s="81"/>
      <c r="F232" s="81"/>
      <c r="G232" s="81"/>
      <c r="H232" s="81"/>
      <c r="I232" s="161"/>
      <c r="J232" s="154" t="str">
        <f aca="false">IF(H232="","",ROUNDUP(H232*35%,0))</f>
        <v/>
      </c>
      <c r="K232" s="113"/>
      <c r="L232" s="113"/>
    </row>
    <row r="233" customFormat="false" ht="12.75" hidden="false" customHeight="true" outlineLevel="0" collapsed="false">
      <c r="A233" s="121" t="str">
        <f aca="false">IF(B233="","",CONCATENATE(COUNTA($B$4:B233),"."))</f>
        <v/>
      </c>
      <c r="B233" s="112"/>
      <c r="C233" s="112"/>
      <c r="D233" s="81"/>
      <c r="E233" s="81"/>
      <c r="F233" s="81"/>
      <c r="G233" s="81"/>
      <c r="H233" s="81"/>
      <c r="I233" s="161"/>
      <c r="J233" s="154" t="str">
        <f aca="false">IF(H233="","",ROUNDUP(H233*35%,0))</f>
        <v/>
      </c>
      <c r="K233" s="113"/>
      <c r="L233" s="113"/>
    </row>
    <row r="234" customFormat="false" ht="12.75" hidden="false" customHeight="true" outlineLevel="0" collapsed="false">
      <c r="A234" s="121" t="str">
        <f aca="false">IF(B234="","",CONCATENATE(COUNTA($B$4:B234),"."))</f>
        <v/>
      </c>
      <c r="B234" s="112"/>
      <c r="C234" s="112"/>
      <c r="D234" s="81"/>
      <c r="E234" s="81"/>
      <c r="F234" s="81"/>
      <c r="G234" s="81"/>
      <c r="H234" s="81"/>
      <c r="I234" s="161"/>
      <c r="J234" s="154" t="str">
        <f aca="false">IF(H234="","",ROUNDUP(H234*35%,0))</f>
        <v/>
      </c>
      <c r="K234" s="113"/>
      <c r="L234" s="113"/>
    </row>
    <row r="235" customFormat="false" ht="12.75" hidden="false" customHeight="true" outlineLevel="0" collapsed="false">
      <c r="A235" s="121" t="str">
        <f aca="false">IF(B235="","",CONCATENATE(COUNTA($B$4:B235),"."))</f>
        <v/>
      </c>
      <c r="B235" s="112"/>
      <c r="C235" s="112"/>
      <c r="D235" s="81"/>
      <c r="E235" s="81"/>
      <c r="F235" s="81"/>
      <c r="G235" s="81"/>
      <c r="H235" s="81"/>
      <c r="I235" s="161"/>
      <c r="J235" s="154" t="str">
        <f aca="false">IF(H235="","",ROUNDUP(H235*35%,0))</f>
        <v/>
      </c>
      <c r="K235" s="113"/>
      <c r="L235" s="113"/>
    </row>
    <row r="236" customFormat="false" ht="12.75" hidden="false" customHeight="true" outlineLevel="0" collapsed="false">
      <c r="A236" s="121" t="str">
        <f aca="false">IF(B236="","",CONCATENATE(COUNTA($B$4:B236),"."))</f>
        <v/>
      </c>
      <c r="B236" s="112"/>
      <c r="C236" s="112"/>
      <c r="D236" s="81"/>
      <c r="E236" s="81"/>
      <c r="F236" s="81"/>
      <c r="G236" s="81"/>
      <c r="H236" s="81"/>
      <c r="I236" s="161"/>
      <c r="J236" s="154" t="str">
        <f aca="false">IF(H236="","",ROUNDUP(H236*35%,0))</f>
        <v/>
      </c>
      <c r="K236" s="113"/>
      <c r="L236" s="113"/>
    </row>
    <row r="237" customFormat="false" ht="12.75" hidden="false" customHeight="true" outlineLevel="0" collapsed="false">
      <c r="A237" s="121" t="str">
        <f aca="false">IF(B237="","",CONCATENATE(COUNTA($B$4:B237),"."))</f>
        <v/>
      </c>
      <c r="B237" s="112"/>
      <c r="C237" s="112"/>
      <c r="D237" s="81"/>
      <c r="E237" s="81"/>
      <c r="F237" s="81"/>
      <c r="G237" s="81"/>
      <c r="H237" s="81"/>
      <c r="I237" s="161"/>
      <c r="J237" s="154" t="str">
        <f aca="false">IF(H237="","",ROUNDUP(H237*35%,0))</f>
        <v/>
      </c>
      <c r="K237" s="113"/>
      <c r="L237" s="113"/>
    </row>
    <row r="238" customFormat="false" ht="12.75" hidden="false" customHeight="true" outlineLevel="0" collapsed="false">
      <c r="A238" s="121" t="str">
        <f aca="false">IF(B238="","",CONCATENATE(COUNTA($B$4:B238),"."))</f>
        <v/>
      </c>
      <c r="B238" s="112"/>
      <c r="C238" s="112"/>
      <c r="D238" s="81"/>
      <c r="E238" s="81"/>
      <c r="F238" s="81"/>
      <c r="G238" s="81"/>
      <c r="H238" s="81"/>
      <c r="I238" s="161"/>
      <c r="J238" s="154" t="str">
        <f aca="false">IF(H238="","",ROUNDUP(H238*35%,0))</f>
        <v/>
      </c>
      <c r="K238" s="113"/>
      <c r="L238" s="113"/>
    </row>
    <row r="239" customFormat="false" ht="12.75" hidden="false" customHeight="true" outlineLevel="0" collapsed="false">
      <c r="A239" s="121" t="str">
        <f aca="false">IF(B239="","",CONCATENATE(COUNTA($B$4:B239),"."))</f>
        <v/>
      </c>
      <c r="B239" s="112"/>
      <c r="C239" s="112"/>
      <c r="D239" s="81"/>
      <c r="E239" s="81"/>
      <c r="F239" s="81"/>
      <c r="G239" s="81"/>
      <c r="H239" s="81"/>
      <c r="I239" s="161"/>
      <c r="J239" s="154" t="str">
        <f aca="false">IF(H239="","",ROUNDUP(H239*35%,0))</f>
        <v/>
      </c>
      <c r="K239" s="113"/>
      <c r="L239" s="113"/>
    </row>
    <row r="240" customFormat="false" ht="12.75" hidden="false" customHeight="true" outlineLevel="0" collapsed="false">
      <c r="A240" s="121" t="str">
        <f aca="false">IF(B240="","",CONCATENATE(COUNTA($B$4:B240),"."))</f>
        <v/>
      </c>
      <c r="B240" s="112"/>
      <c r="C240" s="112"/>
      <c r="D240" s="81"/>
      <c r="E240" s="81"/>
      <c r="F240" s="81"/>
      <c r="G240" s="81"/>
      <c r="H240" s="81"/>
      <c r="I240" s="161"/>
      <c r="J240" s="154" t="str">
        <f aca="false">IF(H240="","",ROUNDUP(H240*35%,0))</f>
        <v/>
      </c>
      <c r="K240" s="113"/>
      <c r="L240" s="113"/>
    </row>
    <row r="241" customFormat="false" ht="12.75" hidden="false" customHeight="true" outlineLevel="0" collapsed="false">
      <c r="A241" s="121" t="str">
        <f aca="false">IF(B241="","",CONCATENATE(COUNTA($B$4:B241),"."))</f>
        <v/>
      </c>
      <c r="B241" s="112"/>
      <c r="C241" s="112"/>
      <c r="D241" s="81"/>
      <c r="E241" s="81"/>
      <c r="F241" s="81"/>
      <c r="G241" s="81"/>
      <c r="H241" s="81"/>
      <c r="I241" s="161"/>
      <c r="J241" s="154" t="str">
        <f aca="false">IF(H241="","",ROUNDUP(H241*35%,0))</f>
        <v/>
      </c>
      <c r="K241" s="113"/>
      <c r="L241" s="113"/>
    </row>
    <row r="242" customFormat="false" ht="12.75" hidden="false" customHeight="true" outlineLevel="0" collapsed="false">
      <c r="A242" s="121" t="str">
        <f aca="false">IF(B242="","",CONCATENATE(COUNTA($B$4:B242),"."))</f>
        <v/>
      </c>
      <c r="B242" s="112"/>
      <c r="C242" s="112"/>
      <c r="D242" s="81"/>
      <c r="E242" s="81"/>
      <c r="F242" s="81"/>
      <c r="G242" s="81"/>
      <c r="H242" s="81"/>
      <c r="I242" s="161"/>
      <c r="J242" s="154" t="str">
        <f aca="false">IF(H242="","",ROUNDUP(H242*35%,0))</f>
        <v/>
      </c>
      <c r="K242" s="113"/>
      <c r="L242" s="113"/>
    </row>
    <row r="243" customFormat="false" ht="12.75" hidden="false" customHeight="true" outlineLevel="0" collapsed="false">
      <c r="A243" s="121" t="str">
        <f aca="false">IF(B243="","",CONCATENATE(COUNTA($B$4:B243),"."))</f>
        <v/>
      </c>
      <c r="B243" s="112"/>
      <c r="C243" s="112"/>
      <c r="D243" s="81"/>
      <c r="E243" s="81"/>
      <c r="F243" s="81"/>
      <c r="G243" s="81"/>
      <c r="H243" s="81"/>
      <c r="I243" s="161"/>
      <c r="J243" s="154" t="str">
        <f aca="false">IF(H243="","",ROUNDUP(H243*35%,0))</f>
        <v/>
      </c>
      <c r="K243" s="113"/>
      <c r="L243" s="113"/>
    </row>
    <row r="244" customFormat="false" ht="12.75" hidden="false" customHeight="true" outlineLevel="0" collapsed="false">
      <c r="A244" s="121" t="str">
        <f aca="false">IF(B244="","",CONCATENATE(COUNTA($B$4:B244),"."))</f>
        <v/>
      </c>
      <c r="B244" s="112"/>
      <c r="C244" s="112"/>
      <c r="D244" s="81"/>
      <c r="E244" s="81"/>
      <c r="F244" s="81"/>
      <c r="G244" s="81"/>
      <c r="H244" s="81"/>
      <c r="I244" s="161"/>
      <c r="J244" s="154" t="str">
        <f aca="false">IF(H244="","",ROUNDUP(H244*35%,0))</f>
        <v/>
      </c>
      <c r="K244" s="113"/>
      <c r="L244" s="113"/>
    </row>
    <row r="245" customFormat="false" ht="12.75" hidden="false" customHeight="true" outlineLevel="0" collapsed="false">
      <c r="A245" s="121" t="str">
        <f aca="false">IF(B245="","",CONCATENATE(COUNTA($B$4:B245),"."))</f>
        <v/>
      </c>
      <c r="B245" s="112"/>
      <c r="C245" s="112"/>
      <c r="D245" s="81"/>
      <c r="E245" s="81"/>
      <c r="F245" s="81"/>
      <c r="G245" s="81"/>
      <c r="H245" s="81"/>
      <c r="I245" s="161"/>
      <c r="J245" s="154" t="str">
        <f aca="false">IF(H245="","",ROUNDUP(H245*35%,0))</f>
        <v/>
      </c>
      <c r="K245" s="113"/>
      <c r="L245" s="113"/>
    </row>
    <row r="246" customFormat="false" ht="12.75" hidden="false" customHeight="true" outlineLevel="0" collapsed="false">
      <c r="A246" s="121" t="str">
        <f aca="false">IF(B246="","",CONCATENATE(COUNTA($B$4:B246),"."))</f>
        <v/>
      </c>
      <c r="B246" s="112"/>
      <c r="C246" s="112"/>
      <c r="D246" s="81"/>
      <c r="E246" s="81"/>
      <c r="F246" s="81"/>
      <c r="G246" s="81"/>
      <c r="H246" s="81"/>
      <c r="I246" s="161"/>
      <c r="J246" s="154" t="str">
        <f aca="false">IF(H246="","",ROUNDUP(H246*35%,0))</f>
        <v/>
      </c>
      <c r="K246" s="113"/>
      <c r="L246" s="113"/>
    </row>
    <row r="247" customFormat="false" ht="12.75" hidden="false" customHeight="true" outlineLevel="0" collapsed="false">
      <c r="A247" s="121" t="str">
        <f aca="false">IF(B247="","",CONCATENATE(COUNTA($B$4:B247),"."))</f>
        <v/>
      </c>
      <c r="B247" s="112"/>
      <c r="C247" s="112"/>
      <c r="D247" s="81"/>
      <c r="E247" s="81"/>
      <c r="F247" s="81"/>
      <c r="G247" s="81"/>
      <c r="H247" s="81"/>
      <c r="I247" s="161"/>
      <c r="J247" s="154" t="str">
        <f aca="false">IF(H247="","",ROUNDUP(H247*35%,0))</f>
        <v/>
      </c>
      <c r="K247" s="113"/>
      <c r="L247" s="113"/>
    </row>
    <row r="248" customFormat="false" ht="12.75" hidden="false" customHeight="true" outlineLevel="0" collapsed="false">
      <c r="A248" s="121" t="str">
        <f aca="false">IF(B248="","",CONCATENATE(COUNTA($B$4:B248),"."))</f>
        <v/>
      </c>
      <c r="B248" s="112"/>
      <c r="C248" s="112"/>
      <c r="D248" s="81"/>
      <c r="E248" s="81"/>
      <c r="F248" s="81"/>
      <c r="G248" s="81"/>
      <c r="H248" s="81"/>
      <c r="I248" s="161"/>
      <c r="J248" s="154" t="str">
        <f aca="false">IF(H248="","",ROUNDUP(H248*35%,0))</f>
        <v/>
      </c>
      <c r="K248" s="113"/>
      <c r="L248" s="113"/>
    </row>
    <row r="249" customFormat="false" ht="12.75" hidden="false" customHeight="true" outlineLevel="0" collapsed="false">
      <c r="A249" s="121" t="str">
        <f aca="false">IF(B249="","",CONCATENATE(COUNTA($B$4:B249),"."))</f>
        <v/>
      </c>
      <c r="B249" s="112"/>
      <c r="C249" s="112"/>
      <c r="D249" s="81"/>
      <c r="E249" s="81"/>
      <c r="F249" s="81"/>
      <c r="G249" s="81"/>
      <c r="H249" s="81"/>
      <c r="I249" s="161"/>
      <c r="J249" s="154" t="str">
        <f aca="false">IF(H249="","",ROUNDUP(H249*35%,0))</f>
        <v/>
      </c>
      <c r="K249" s="113"/>
      <c r="L249" s="113"/>
    </row>
    <row r="250" customFormat="false" ht="12.75" hidden="false" customHeight="true" outlineLevel="0" collapsed="false">
      <c r="A250" s="121" t="str">
        <f aca="false">IF(B250="","",CONCATENATE(COUNTA($B$4:B250),"."))</f>
        <v/>
      </c>
      <c r="B250" s="112"/>
      <c r="C250" s="112"/>
      <c r="D250" s="81"/>
      <c r="E250" s="81"/>
      <c r="F250" s="81"/>
      <c r="G250" s="81"/>
      <c r="H250" s="81"/>
      <c r="I250" s="161"/>
      <c r="J250" s="154" t="str">
        <f aca="false">IF(H250="","",ROUNDUP(H250*35%,0))</f>
        <v/>
      </c>
      <c r="K250" s="113"/>
      <c r="L250" s="113"/>
    </row>
    <row r="251" customFormat="false" ht="12.75" hidden="false" customHeight="true" outlineLevel="0" collapsed="false">
      <c r="A251" s="121" t="str">
        <f aca="false">IF(B251="","",CONCATENATE(COUNTA($B$4:B251),"."))</f>
        <v/>
      </c>
      <c r="B251" s="112"/>
      <c r="C251" s="112"/>
      <c r="D251" s="81"/>
      <c r="E251" s="81"/>
      <c r="F251" s="81"/>
      <c r="G251" s="81"/>
      <c r="H251" s="81"/>
      <c r="I251" s="161"/>
      <c r="J251" s="154" t="str">
        <f aca="false">IF(H251="","",ROUNDUP(H251*35%,0))</f>
        <v/>
      </c>
      <c r="K251" s="113"/>
      <c r="L251" s="113"/>
    </row>
    <row r="252" customFormat="false" ht="12.75" hidden="false" customHeight="true" outlineLevel="0" collapsed="false">
      <c r="A252" s="121" t="str">
        <f aca="false">IF(B252="","",CONCATENATE(COUNTA($B$4:B252),"."))</f>
        <v/>
      </c>
      <c r="B252" s="112"/>
      <c r="C252" s="112"/>
      <c r="D252" s="81"/>
      <c r="E252" s="81"/>
      <c r="F252" s="81"/>
      <c r="G252" s="81"/>
      <c r="H252" s="81"/>
      <c r="I252" s="161"/>
      <c r="J252" s="154" t="str">
        <f aca="false">IF(H252="","",ROUNDUP(H252*35%,0))</f>
        <v/>
      </c>
      <c r="K252" s="113"/>
      <c r="L252" s="113"/>
    </row>
    <row r="253" customFormat="false" ht="12.75" hidden="false" customHeight="true" outlineLevel="0" collapsed="false">
      <c r="A253" s="121" t="str">
        <f aca="false">IF(B253="","",CONCATENATE(COUNTA($B$4:B253),"."))</f>
        <v/>
      </c>
      <c r="B253" s="112"/>
      <c r="C253" s="112"/>
      <c r="D253" s="81"/>
      <c r="E253" s="81"/>
      <c r="F253" s="81"/>
      <c r="G253" s="81"/>
      <c r="H253" s="81"/>
      <c r="I253" s="161"/>
      <c r="J253" s="154" t="str">
        <f aca="false">IF(H253="","",ROUNDUP(H253*35%,0))</f>
        <v/>
      </c>
      <c r="K253" s="113"/>
      <c r="L253" s="113"/>
    </row>
    <row r="254" customFormat="false" ht="12.75" hidden="false" customHeight="true" outlineLevel="0" collapsed="false">
      <c r="A254" s="121" t="str">
        <f aca="false">IF(B254="","",CONCATENATE(COUNTA($B$4:B254),"."))</f>
        <v/>
      </c>
      <c r="B254" s="112"/>
      <c r="C254" s="112"/>
      <c r="D254" s="81"/>
      <c r="E254" s="81"/>
      <c r="F254" s="81"/>
      <c r="G254" s="81"/>
      <c r="H254" s="81"/>
      <c r="I254" s="161"/>
      <c r="J254" s="154" t="str">
        <f aca="false">IF(H254="","",ROUNDUP(H254*35%,0))</f>
        <v/>
      </c>
      <c r="K254" s="113"/>
      <c r="L254" s="113"/>
    </row>
    <row r="255" customFormat="false" ht="12.75" hidden="false" customHeight="true" outlineLevel="0" collapsed="false">
      <c r="A255" s="121" t="str">
        <f aca="false">IF(B255="","",CONCATENATE(COUNTA($B$4:B255),"."))</f>
        <v/>
      </c>
      <c r="B255" s="112"/>
      <c r="C255" s="112"/>
      <c r="D255" s="81"/>
      <c r="E255" s="81"/>
      <c r="F255" s="81"/>
      <c r="G255" s="81"/>
      <c r="H255" s="81"/>
      <c r="I255" s="161"/>
      <c r="J255" s="154" t="str">
        <f aca="false">IF(H255="","",ROUNDUP(H255*35%,0))</f>
        <v/>
      </c>
      <c r="K255" s="113"/>
      <c r="L255" s="113"/>
    </row>
    <row r="256" customFormat="false" ht="12.75" hidden="false" customHeight="true" outlineLevel="0" collapsed="false">
      <c r="A256" s="121" t="str">
        <f aca="false">IF(B256="","",CONCATENATE(COUNTA($B$4:B256),"."))</f>
        <v/>
      </c>
      <c r="B256" s="112"/>
      <c r="C256" s="112"/>
      <c r="D256" s="81"/>
      <c r="E256" s="81"/>
      <c r="F256" s="81"/>
      <c r="G256" s="81"/>
      <c r="H256" s="81"/>
      <c r="I256" s="161"/>
      <c r="J256" s="154" t="str">
        <f aca="false">IF(H256="","",ROUNDUP(H256*35%,0))</f>
        <v/>
      </c>
      <c r="K256" s="113"/>
      <c r="L256" s="113"/>
    </row>
    <row r="257" customFormat="false" ht="12.75" hidden="false" customHeight="true" outlineLevel="0" collapsed="false">
      <c r="A257" s="121" t="str">
        <f aca="false">IF(B257="","",CONCATENATE(COUNTA($B$4:B257),"."))</f>
        <v/>
      </c>
      <c r="B257" s="112"/>
      <c r="C257" s="112"/>
      <c r="D257" s="81"/>
      <c r="E257" s="81"/>
      <c r="F257" s="81"/>
      <c r="G257" s="81"/>
      <c r="H257" s="81"/>
      <c r="I257" s="161"/>
      <c r="J257" s="154" t="str">
        <f aca="false">IF(H257="","",ROUNDUP(H257*35%,0))</f>
        <v/>
      </c>
      <c r="K257" s="113"/>
      <c r="L257" s="113"/>
    </row>
    <row r="258" customFormat="false" ht="12.75" hidden="false" customHeight="true" outlineLevel="0" collapsed="false">
      <c r="A258" s="121" t="str">
        <f aca="false">IF(B258="","",CONCATENATE(COUNTA($B$4:B258),"."))</f>
        <v/>
      </c>
      <c r="B258" s="112"/>
      <c r="C258" s="112"/>
      <c r="D258" s="81"/>
      <c r="E258" s="81"/>
      <c r="F258" s="81"/>
      <c r="G258" s="81"/>
      <c r="H258" s="81"/>
      <c r="I258" s="161"/>
      <c r="J258" s="154" t="str">
        <f aca="false">IF(H258="","",ROUNDUP(H258*35%,0))</f>
        <v/>
      </c>
      <c r="K258" s="113"/>
      <c r="L258" s="113"/>
    </row>
    <row r="259" customFormat="false" ht="12.75" hidden="false" customHeight="true" outlineLevel="0" collapsed="false">
      <c r="A259" s="121" t="str">
        <f aca="false">IF(B259="","",CONCATENATE(COUNTA($B$4:B259),"."))</f>
        <v/>
      </c>
      <c r="B259" s="112"/>
      <c r="C259" s="112"/>
      <c r="D259" s="81"/>
      <c r="E259" s="81"/>
      <c r="F259" s="81"/>
      <c r="G259" s="81"/>
      <c r="H259" s="81"/>
      <c r="I259" s="161"/>
      <c r="J259" s="154" t="str">
        <f aca="false">IF(H259="","",ROUNDUP(H259*35%,0))</f>
        <v/>
      </c>
      <c r="K259" s="113"/>
      <c r="L259" s="113"/>
    </row>
    <row r="260" customFormat="false" ht="12.75" hidden="false" customHeight="true" outlineLevel="0" collapsed="false">
      <c r="A260" s="121" t="str">
        <f aca="false">IF(B260="","",CONCATENATE(COUNTA($B$4:B260),"."))</f>
        <v/>
      </c>
      <c r="B260" s="112"/>
      <c r="C260" s="112"/>
      <c r="D260" s="81"/>
      <c r="E260" s="81"/>
      <c r="F260" s="81"/>
      <c r="G260" s="81"/>
      <c r="H260" s="81"/>
      <c r="I260" s="161"/>
      <c r="J260" s="154" t="str">
        <f aca="false">IF(H260="","",ROUNDUP(H260*35%,0))</f>
        <v/>
      </c>
      <c r="K260" s="113"/>
      <c r="L260" s="113"/>
    </row>
    <row r="261" customFormat="false" ht="12.75" hidden="false" customHeight="true" outlineLevel="0" collapsed="false">
      <c r="A261" s="121" t="str">
        <f aca="false">IF(B261="","",CONCATENATE(COUNTA($B$4:B261),"."))</f>
        <v/>
      </c>
      <c r="B261" s="112"/>
      <c r="C261" s="112"/>
      <c r="D261" s="81"/>
      <c r="E261" s="81"/>
      <c r="F261" s="81"/>
      <c r="G261" s="81"/>
      <c r="H261" s="81"/>
      <c r="I261" s="161"/>
      <c r="J261" s="154" t="str">
        <f aca="false">IF(H261="","",ROUNDUP(H261*35%,0))</f>
        <v/>
      </c>
      <c r="K261" s="113"/>
      <c r="L261" s="113"/>
    </row>
    <row r="262" customFormat="false" ht="12.75" hidden="false" customHeight="true" outlineLevel="0" collapsed="false">
      <c r="A262" s="121" t="str">
        <f aca="false">IF(B262="","",CONCATENATE(COUNTA($B$4:B262),"."))</f>
        <v/>
      </c>
      <c r="B262" s="112"/>
      <c r="C262" s="112"/>
      <c r="D262" s="81"/>
      <c r="E262" s="81"/>
      <c r="F262" s="81"/>
      <c r="G262" s="81"/>
      <c r="H262" s="81"/>
      <c r="I262" s="161"/>
      <c r="J262" s="154" t="str">
        <f aca="false">IF(H262="","",ROUNDUP(H262*35%,0))</f>
        <v/>
      </c>
      <c r="K262" s="113"/>
      <c r="L262" s="113"/>
    </row>
    <row r="263" customFormat="false" ht="12.75" hidden="false" customHeight="true" outlineLevel="0" collapsed="false">
      <c r="A263" s="121" t="str">
        <f aca="false">IF(B263="","",CONCATENATE(COUNTA($B$4:B263),"."))</f>
        <v/>
      </c>
      <c r="B263" s="112"/>
      <c r="C263" s="112"/>
      <c r="D263" s="81"/>
      <c r="E263" s="81"/>
      <c r="F263" s="81"/>
      <c r="G263" s="81"/>
      <c r="H263" s="81"/>
      <c r="I263" s="161"/>
      <c r="J263" s="154" t="str">
        <f aca="false">IF(H263="","",ROUNDUP(H263*35%,0))</f>
        <v/>
      </c>
      <c r="K263" s="113"/>
      <c r="L263" s="113"/>
    </row>
    <row r="264" customFormat="false" ht="12.75" hidden="false" customHeight="true" outlineLevel="0" collapsed="false">
      <c r="A264" s="121" t="str">
        <f aca="false">IF(B264="","",CONCATENATE(COUNTA($B$4:B264),"."))</f>
        <v/>
      </c>
      <c r="B264" s="112"/>
      <c r="C264" s="112"/>
      <c r="D264" s="81"/>
      <c r="E264" s="81"/>
      <c r="F264" s="81"/>
      <c r="G264" s="81"/>
      <c r="H264" s="81"/>
      <c r="I264" s="161"/>
      <c r="J264" s="154" t="str">
        <f aca="false">IF(H264="","",ROUNDUP(H264*35%,0))</f>
        <v/>
      </c>
      <c r="K264" s="113"/>
      <c r="L264" s="113"/>
    </row>
    <row r="265" customFormat="false" ht="12.75" hidden="false" customHeight="true" outlineLevel="0" collapsed="false">
      <c r="A265" s="121" t="str">
        <f aca="false">IF(B265="","",CONCATENATE(COUNTA($B$4:B265),"."))</f>
        <v/>
      </c>
      <c r="B265" s="112"/>
      <c r="C265" s="112"/>
      <c r="D265" s="81"/>
      <c r="E265" s="81"/>
      <c r="F265" s="81"/>
      <c r="G265" s="81"/>
      <c r="H265" s="81"/>
      <c r="I265" s="161"/>
      <c r="J265" s="154" t="str">
        <f aca="false">IF(H265="","",ROUNDUP(H265*35%,0))</f>
        <v/>
      </c>
      <c r="K265" s="113"/>
      <c r="L265" s="113"/>
    </row>
    <row r="266" customFormat="false" ht="12.75" hidden="false" customHeight="true" outlineLevel="0" collapsed="false">
      <c r="A266" s="121" t="str">
        <f aca="false">IF(B266="","",CONCATENATE(COUNTA($B$4:B266),"."))</f>
        <v/>
      </c>
      <c r="B266" s="112"/>
      <c r="C266" s="112"/>
      <c r="D266" s="81"/>
      <c r="E266" s="81"/>
      <c r="F266" s="81"/>
      <c r="G266" s="81"/>
      <c r="H266" s="81"/>
      <c r="I266" s="161"/>
      <c r="J266" s="154" t="str">
        <f aca="false">IF(H266="","",ROUNDUP(H266*35%,0))</f>
        <v/>
      </c>
      <c r="K266" s="113"/>
      <c r="L266" s="113"/>
    </row>
    <row r="267" customFormat="false" ht="12.75" hidden="false" customHeight="true" outlineLevel="0" collapsed="false">
      <c r="A267" s="121" t="str">
        <f aca="false">IF(B267="","",CONCATENATE(COUNTA($B$4:B267),"."))</f>
        <v/>
      </c>
      <c r="B267" s="112"/>
      <c r="C267" s="112"/>
      <c r="D267" s="81"/>
      <c r="E267" s="81"/>
      <c r="F267" s="81"/>
      <c r="G267" s="81"/>
      <c r="H267" s="81"/>
      <c r="I267" s="161"/>
      <c r="J267" s="154" t="str">
        <f aca="false">IF(H267="","",ROUNDUP(H267*35%,0))</f>
        <v/>
      </c>
      <c r="K267" s="113"/>
      <c r="L267" s="113"/>
    </row>
    <row r="268" customFormat="false" ht="12.75" hidden="false" customHeight="true" outlineLevel="0" collapsed="false">
      <c r="A268" s="121" t="str">
        <f aca="false">IF(B268="","",CONCATENATE(COUNTA($B$4:B268),"."))</f>
        <v/>
      </c>
      <c r="B268" s="112"/>
      <c r="C268" s="112"/>
      <c r="D268" s="81"/>
      <c r="E268" s="81"/>
      <c r="F268" s="81"/>
      <c r="G268" s="81"/>
      <c r="H268" s="81"/>
      <c r="I268" s="161"/>
      <c r="J268" s="154" t="str">
        <f aca="false">IF(H268="","",ROUNDUP(H268*35%,0))</f>
        <v/>
      </c>
      <c r="K268" s="113"/>
      <c r="L268" s="113"/>
    </row>
    <row r="269" customFormat="false" ht="12.75" hidden="false" customHeight="true" outlineLevel="0" collapsed="false">
      <c r="A269" s="121" t="str">
        <f aca="false">IF(B269="","",CONCATENATE(COUNTA($B$4:B269),"."))</f>
        <v/>
      </c>
      <c r="B269" s="112"/>
      <c r="C269" s="112"/>
      <c r="D269" s="81"/>
      <c r="E269" s="81"/>
      <c r="F269" s="81"/>
      <c r="G269" s="81"/>
      <c r="H269" s="81"/>
      <c r="I269" s="161"/>
      <c r="J269" s="154" t="str">
        <f aca="false">IF(H269="","",ROUNDUP(H269*35%,0))</f>
        <v/>
      </c>
      <c r="K269" s="113"/>
      <c r="L269" s="113"/>
    </row>
    <row r="270" customFormat="false" ht="12.75" hidden="false" customHeight="true" outlineLevel="0" collapsed="false">
      <c r="A270" s="121" t="str">
        <f aca="false">IF(B270="","",CONCATENATE(COUNTA($B$4:B270),"."))</f>
        <v/>
      </c>
      <c r="B270" s="112"/>
      <c r="C270" s="112"/>
      <c r="D270" s="81"/>
      <c r="E270" s="81"/>
      <c r="F270" s="81"/>
      <c r="G270" s="81"/>
      <c r="H270" s="81"/>
      <c r="I270" s="161"/>
      <c r="J270" s="154" t="str">
        <f aca="false">IF(H270="","",ROUNDUP(H270*35%,0))</f>
        <v/>
      </c>
      <c r="K270" s="113"/>
      <c r="L270" s="113"/>
    </row>
    <row r="271" customFormat="false" ht="12.75" hidden="false" customHeight="true" outlineLevel="0" collapsed="false">
      <c r="A271" s="121" t="str">
        <f aca="false">IF(B271="","",CONCATENATE(COUNTA($B$4:B271),"."))</f>
        <v/>
      </c>
      <c r="B271" s="112"/>
      <c r="C271" s="112"/>
      <c r="D271" s="81"/>
      <c r="E271" s="81"/>
      <c r="F271" s="81"/>
      <c r="G271" s="81"/>
      <c r="H271" s="81"/>
      <c r="I271" s="161"/>
      <c r="J271" s="154" t="str">
        <f aca="false">IF(H271="","",ROUNDUP(H271*35%,0))</f>
        <v/>
      </c>
      <c r="K271" s="113"/>
      <c r="L271" s="113"/>
    </row>
    <row r="272" customFormat="false" ht="12.75" hidden="false" customHeight="true" outlineLevel="0" collapsed="false">
      <c r="A272" s="121" t="str">
        <f aca="false">IF(B272="","",CONCATENATE(COUNTA($B$4:B272),"."))</f>
        <v/>
      </c>
      <c r="B272" s="112"/>
      <c r="C272" s="112"/>
      <c r="D272" s="81"/>
      <c r="E272" s="81"/>
      <c r="F272" s="81"/>
      <c r="G272" s="81"/>
      <c r="H272" s="81"/>
      <c r="I272" s="161"/>
      <c r="J272" s="154" t="str">
        <f aca="false">IF(H272="","",ROUNDUP(H272*35%,0))</f>
        <v/>
      </c>
      <c r="K272" s="113"/>
      <c r="L272" s="113"/>
    </row>
    <row r="273" customFormat="false" ht="12.75" hidden="false" customHeight="true" outlineLevel="0" collapsed="false">
      <c r="A273" s="121" t="str">
        <f aca="false">IF(B273="","",CONCATENATE(COUNTA($B$4:B273),"."))</f>
        <v/>
      </c>
      <c r="B273" s="112"/>
      <c r="C273" s="112"/>
      <c r="D273" s="81"/>
      <c r="E273" s="81"/>
      <c r="F273" s="81"/>
      <c r="G273" s="81"/>
      <c r="H273" s="81"/>
      <c r="I273" s="161"/>
      <c r="J273" s="154" t="str">
        <f aca="false">IF(H273="","",ROUNDUP(H273*35%,0))</f>
        <v/>
      </c>
      <c r="K273" s="113"/>
      <c r="L273" s="113"/>
    </row>
    <row r="274" customFormat="false" ht="12.75" hidden="false" customHeight="true" outlineLevel="0" collapsed="false">
      <c r="A274" s="121" t="str">
        <f aca="false">IF(B274="","",CONCATENATE(COUNTA($B$4:B274),"."))</f>
        <v/>
      </c>
      <c r="B274" s="112"/>
      <c r="C274" s="112"/>
      <c r="D274" s="81"/>
      <c r="E274" s="81"/>
      <c r="F274" s="81"/>
      <c r="G274" s="81"/>
      <c r="H274" s="81"/>
      <c r="I274" s="161"/>
      <c r="J274" s="154" t="str">
        <f aca="false">IF(H274="","",ROUNDUP(H274*35%,0))</f>
        <v/>
      </c>
      <c r="K274" s="113"/>
      <c r="L274" s="113"/>
    </row>
    <row r="275" customFormat="false" ht="12.75" hidden="false" customHeight="true" outlineLevel="0" collapsed="false">
      <c r="A275" s="121" t="str">
        <f aca="false">IF(B275="","",CONCATENATE(COUNTA($B$4:B275),"."))</f>
        <v/>
      </c>
      <c r="B275" s="112"/>
      <c r="C275" s="112"/>
      <c r="D275" s="81"/>
      <c r="E275" s="81"/>
      <c r="F275" s="81"/>
      <c r="G275" s="81"/>
      <c r="H275" s="81"/>
      <c r="I275" s="161"/>
      <c r="J275" s="154" t="str">
        <f aca="false">IF(H275="","",ROUNDUP(H275*35%,0))</f>
        <v/>
      </c>
      <c r="K275" s="113"/>
      <c r="L275" s="113"/>
    </row>
    <row r="276" customFormat="false" ht="12.75" hidden="false" customHeight="true" outlineLevel="0" collapsed="false">
      <c r="A276" s="121" t="str">
        <f aca="false">IF(B276="","",CONCATENATE(COUNTA($B$4:B276),"."))</f>
        <v/>
      </c>
      <c r="B276" s="112"/>
      <c r="C276" s="112"/>
      <c r="D276" s="81"/>
      <c r="E276" s="81"/>
      <c r="F276" s="81"/>
      <c r="G276" s="81"/>
      <c r="H276" s="81"/>
      <c r="I276" s="161"/>
      <c r="J276" s="154" t="str">
        <f aca="false">IF(H276="","",ROUNDUP(H276*35%,0))</f>
        <v/>
      </c>
      <c r="K276" s="113"/>
      <c r="L276" s="113"/>
    </row>
    <row r="277" customFormat="false" ht="12.75" hidden="false" customHeight="true" outlineLevel="0" collapsed="false">
      <c r="A277" s="121" t="str">
        <f aca="false">IF(B277="","",CONCATENATE(COUNTA($B$4:B277),"."))</f>
        <v/>
      </c>
      <c r="B277" s="112"/>
      <c r="C277" s="112"/>
      <c r="D277" s="81"/>
      <c r="E277" s="81"/>
      <c r="F277" s="81"/>
      <c r="G277" s="81"/>
      <c r="H277" s="81"/>
      <c r="I277" s="161"/>
      <c r="J277" s="154" t="str">
        <f aca="false">IF(H277="","",ROUNDUP(H277*35%,0))</f>
        <v/>
      </c>
      <c r="K277" s="113"/>
      <c r="L277" s="113"/>
    </row>
    <row r="278" customFormat="false" ht="12.75" hidden="false" customHeight="true" outlineLevel="0" collapsed="false">
      <c r="A278" s="121" t="str">
        <f aca="false">IF(B278="","",CONCATENATE(COUNTA($B$4:B278),"."))</f>
        <v/>
      </c>
      <c r="B278" s="112"/>
      <c r="C278" s="112"/>
      <c r="D278" s="81"/>
      <c r="E278" s="81"/>
      <c r="F278" s="81"/>
      <c r="G278" s="81"/>
      <c r="H278" s="81"/>
      <c r="I278" s="161"/>
      <c r="J278" s="154" t="str">
        <f aca="false">IF(H278="","",ROUNDUP(H278*35%,0))</f>
        <v/>
      </c>
      <c r="K278" s="113"/>
      <c r="L278" s="113"/>
    </row>
    <row r="279" customFormat="false" ht="12.75" hidden="false" customHeight="true" outlineLevel="0" collapsed="false">
      <c r="A279" s="121" t="str">
        <f aca="false">IF(B279="","",CONCATENATE(COUNTA($B$4:B279),"."))</f>
        <v/>
      </c>
      <c r="B279" s="112"/>
      <c r="C279" s="112"/>
      <c r="D279" s="81"/>
      <c r="E279" s="81"/>
      <c r="F279" s="81"/>
      <c r="G279" s="81"/>
      <c r="H279" s="81"/>
      <c r="I279" s="161"/>
      <c r="J279" s="154" t="str">
        <f aca="false">IF(H279="","",ROUNDUP(H279*35%,0))</f>
        <v/>
      </c>
      <c r="K279" s="113"/>
      <c r="L279" s="113"/>
    </row>
    <row r="280" customFormat="false" ht="12.75" hidden="false" customHeight="true" outlineLevel="0" collapsed="false">
      <c r="A280" s="121" t="str">
        <f aca="false">IF(B280="","",CONCATENATE(COUNTA($B$4:B280),"."))</f>
        <v/>
      </c>
      <c r="B280" s="112"/>
      <c r="C280" s="112"/>
      <c r="D280" s="81"/>
      <c r="E280" s="81"/>
      <c r="F280" s="81"/>
      <c r="G280" s="81"/>
      <c r="H280" s="81"/>
      <c r="I280" s="161"/>
      <c r="J280" s="154" t="str">
        <f aca="false">IF(H280="","",ROUNDUP(H280*35%,0))</f>
        <v/>
      </c>
      <c r="K280" s="113"/>
      <c r="L280" s="113"/>
    </row>
    <row r="281" customFormat="false" ht="12.75" hidden="false" customHeight="true" outlineLevel="0" collapsed="false">
      <c r="A281" s="121" t="str">
        <f aca="false">IF(B281="","",CONCATENATE(COUNTA($B$4:B281),"."))</f>
        <v/>
      </c>
      <c r="B281" s="112"/>
      <c r="C281" s="112"/>
      <c r="D281" s="81"/>
      <c r="E281" s="81"/>
      <c r="F281" s="81"/>
      <c r="G281" s="81"/>
      <c r="H281" s="81"/>
      <c r="I281" s="161"/>
      <c r="J281" s="154" t="str">
        <f aca="false">IF(H281="","",ROUNDUP(H281*35%,0))</f>
        <v/>
      </c>
      <c r="K281" s="113"/>
      <c r="L281" s="113"/>
    </row>
    <row r="282" customFormat="false" ht="12.75" hidden="false" customHeight="true" outlineLevel="0" collapsed="false">
      <c r="A282" s="121" t="str">
        <f aca="false">IF(B282="","",CONCATENATE(COUNTA($B$4:B282),"."))</f>
        <v/>
      </c>
      <c r="B282" s="112"/>
      <c r="C282" s="112"/>
      <c r="D282" s="81"/>
      <c r="E282" s="81"/>
      <c r="F282" s="81"/>
      <c r="G282" s="81"/>
      <c r="H282" s="81"/>
      <c r="I282" s="161"/>
      <c r="J282" s="154" t="str">
        <f aca="false">IF(H282="","",ROUNDUP(H282*35%,0))</f>
        <v/>
      </c>
      <c r="K282" s="113"/>
      <c r="L282" s="113"/>
    </row>
    <row r="283" customFormat="false" ht="12.75" hidden="false" customHeight="true" outlineLevel="0" collapsed="false">
      <c r="A283" s="121" t="str">
        <f aca="false">IF(B283="","",CONCATENATE(COUNTA($B$4:B283),"."))</f>
        <v/>
      </c>
      <c r="B283" s="112"/>
      <c r="C283" s="112"/>
      <c r="D283" s="81"/>
      <c r="E283" s="81"/>
      <c r="F283" s="81"/>
      <c r="G283" s="81"/>
      <c r="H283" s="81"/>
      <c r="I283" s="161"/>
      <c r="J283" s="154" t="str">
        <f aca="false">IF(H283="","",ROUNDUP(H283*35%,0))</f>
        <v/>
      </c>
      <c r="K283" s="113"/>
      <c r="L283" s="113"/>
    </row>
    <row r="284" customFormat="false" ht="12.75" hidden="false" customHeight="true" outlineLevel="0" collapsed="false">
      <c r="A284" s="121" t="str">
        <f aca="false">IF(B284="","",CONCATENATE(COUNTA($B$4:B284),"."))</f>
        <v/>
      </c>
      <c r="B284" s="112"/>
      <c r="C284" s="112"/>
      <c r="D284" s="81"/>
      <c r="E284" s="81"/>
      <c r="F284" s="81"/>
      <c r="G284" s="81"/>
      <c r="H284" s="81"/>
      <c r="I284" s="161"/>
      <c r="J284" s="154" t="str">
        <f aca="false">IF(H284="","",ROUNDUP(H284*35%,0))</f>
        <v/>
      </c>
      <c r="K284" s="113"/>
      <c r="L284" s="113"/>
    </row>
    <row r="285" customFormat="false" ht="12.75" hidden="false" customHeight="true" outlineLevel="0" collapsed="false">
      <c r="A285" s="121" t="str">
        <f aca="false">IF(B285="","",CONCATENATE(COUNTA($B$4:B285),"."))</f>
        <v/>
      </c>
      <c r="B285" s="112"/>
      <c r="C285" s="112"/>
      <c r="D285" s="81"/>
      <c r="E285" s="81"/>
      <c r="F285" s="81"/>
      <c r="G285" s="81"/>
      <c r="H285" s="81"/>
      <c r="I285" s="161"/>
      <c r="J285" s="154" t="str">
        <f aca="false">IF(H285="","",ROUNDUP(H285*35%,0))</f>
        <v/>
      </c>
      <c r="K285" s="113"/>
      <c r="L285" s="113"/>
    </row>
    <row r="286" customFormat="false" ht="12.75" hidden="false" customHeight="true" outlineLevel="0" collapsed="false">
      <c r="A286" s="121" t="str">
        <f aca="false">IF(B286="","",CONCATENATE(COUNTA($B$4:B286),"."))</f>
        <v/>
      </c>
      <c r="B286" s="112"/>
      <c r="C286" s="112"/>
      <c r="D286" s="81"/>
      <c r="E286" s="81"/>
      <c r="F286" s="81"/>
      <c r="G286" s="81"/>
      <c r="H286" s="81"/>
      <c r="I286" s="161"/>
      <c r="J286" s="154" t="str">
        <f aca="false">IF(H286="","",ROUNDUP(H286*35%,0))</f>
        <v/>
      </c>
      <c r="K286" s="113"/>
      <c r="L286" s="113"/>
    </row>
    <row r="287" customFormat="false" ht="12.75" hidden="false" customHeight="true" outlineLevel="0" collapsed="false">
      <c r="A287" s="121" t="str">
        <f aca="false">IF(B287="","",CONCATENATE(COUNTA($B$4:B287),"."))</f>
        <v/>
      </c>
      <c r="B287" s="112"/>
      <c r="C287" s="112"/>
      <c r="D287" s="81"/>
      <c r="E287" s="81"/>
      <c r="F287" s="81"/>
      <c r="G287" s="81"/>
      <c r="H287" s="81"/>
      <c r="I287" s="161"/>
      <c r="J287" s="154" t="str">
        <f aca="false">IF(H287="","",ROUNDUP(H287*35%,0))</f>
        <v/>
      </c>
      <c r="K287" s="113"/>
      <c r="L287" s="113"/>
    </row>
    <row r="288" customFormat="false" ht="12.75" hidden="false" customHeight="true" outlineLevel="0" collapsed="false">
      <c r="A288" s="121" t="str">
        <f aca="false">IF(B288="","",CONCATENATE(COUNTA($B$4:B288),"."))</f>
        <v/>
      </c>
      <c r="B288" s="112"/>
      <c r="C288" s="112"/>
      <c r="D288" s="81"/>
      <c r="E288" s="81"/>
      <c r="F288" s="81"/>
      <c r="G288" s="81"/>
      <c r="H288" s="81"/>
      <c r="I288" s="161"/>
      <c r="J288" s="154" t="str">
        <f aca="false">IF(H288="","",ROUNDUP(H288*35%,0))</f>
        <v/>
      </c>
      <c r="K288" s="113"/>
      <c r="L288" s="113"/>
    </row>
    <row r="289" customFormat="false" ht="12.75" hidden="false" customHeight="true" outlineLevel="0" collapsed="false">
      <c r="A289" s="121" t="str">
        <f aca="false">IF(B289="","",CONCATENATE(COUNTA($B$4:B289),"."))</f>
        <v/>
      </c>
      <c r="B289" s="112"/>
      <c r="C289" s="112"/>
      <c r="D289" s="81"/>
      <c r="E289" s="81"/>
      <c r="F289" s="81"/>
      <c r="G289" s="81"/>
      <c r="H289" s="81"/>
      <c r="I289" s="161"/>
      <c r="J289" s="154" t="str">
        <f aca="false">IF(H289="","",ROUNDUP(H289*35%,0))</f>
        <v/>
      </c>
      <c r="K289" s="113"/>
      <c r="L289" s="113"/>
    </row>
    <row r="290" customFormat="false" ht="12.75" hidden="false" customHeight="true" outlineLevel="0" collapsed="false">
      <c r="A290" s="121" t="str">
        <f aca="false">IF(B290="","",CONCATENATE(COUNTA($B$4:B290),"."))</f>
        <v/>
      </c>
      <c r="B290" s="112"/>
      <c r="C290" s="112"/>
      <c r="D290" s="81"/>
      <c r="E290" s="81"/>
      <c r="F290" s="81"/>
      <c r="G290" s="81"/>
      <c r="H290" s="81"/>
      <c r="I290" s="161"/>
      <c r="J290" s="154" t="str">
        <f aca="false">IF(H290="","",ROUNDUP(H290*35%,0))</f>
        <v/>
      </c>
      <c r="K290" s="113"/>
      <c r="L290" s="113"/>
    </row>
    <row r="291" customFormat="false" ht="12.75" hidden="false" customHeight="true" outlineLevel="0" collapsed="false">
      <c r="A291" s="121" t="str">
        <f aca="false">IF(B291="","",CONCATENATE(COUNTA($B$4:B291),"."))</f>
        <v/>
      </c>
      <c r="B291" s="112"/>
      <c r="C291" s="112"/>
      <c r="D291" s="81"/>
      <c r="E291" s="81"/>
      <c r="F291" s="81"/>
      <c r="G291" s="81"/>
      <c r="H291" s="81"/>
      <c r="I291" s="161"/>
      <c r="J291" s="154" t="str">
        <f aca="false">IF(H291="","",ROUNDUP(H291*35%,0))</f>
        <v/>
      </c>
      <c r="K291" s="113"/>
      <c r="L291" s="113"/>
    </row>
    <row r="292" customFormat="false" ht="12.75" hidden="false" customHeight="true" outlineLevel="0" collapsed="false">
      <c r="A292" s="121" t="str">
        <f aca="false">IF(B292="","",CONCATENATE(COUNTA($B$4:B292),"."))</f>
        <v/>
      </c>
      <c r="B292" s="112"/>
      <c r="C292" s="112"/>
      <c r="D292" s="81"/>
      <c r="E292" s="81"/>
      <c r="F292" s="81"/>
      <c r="G292" s="81"/>
      <c r="H292" s="81"/>
      <c r="I292" s="161"/>
      <c r="J292" s="154" t="str">
        <f aca="false">IF(H292="","",ROUNDUP(H292*35%,0))</f>
        <v/>
      </c>
      <c r="K292" s="113"/>
      <c r="L292" s="113"/>
    </row>
    <row r="293" customFormat="false" ht="12.75" hidden="false" customHeight="true" outlineLevel="0" collapsed="false">
      <c r="A293" s="121" t="str">
        <f aca="false">IF(B293="","",CONCATENATE(COUNTA($B$4:B293),"."))</f>
        <v/>
      </c>
      <c r="B293" s="112"/>
      <c r="C293" s="112"/>
      <c r="D293" s="81"/>
      <c r="E293" s="81"/>
      <c r="F293" s="81"/>
      <c r="G293" s="81"/>
      <c r="H293" s="81"/>
      <c r="I293" s="161"/>
      <c r="J293" s="154" t="str">
        <f aca="false">IF(H293="","",ROUNDUP(H293*35%,0))</f>
        <v/>
      </c>
      <c r="K293" s="113"/>
      <c r="L293" s="113"/>
    </row>
    <row r="294" customFormat="false" ht="12.75" hidden="false" customHeight="true" outlineLevel="0" collapsed="false">
      <c r="A294" s="121" t="str">
        <f aca="false">IF(B294="","",CONCATENATE(COUNTA($B$4:B294),"."))</f>
        <v/>
      </c>
      <c r="B294" s="112"/>
      <c r="C294" s="112"/>
      <c r="D294" s="81"/>
      <c r="E294" s="81"/>
      <c r="F294" s="81"/>
      <c r="G294" s="81"/>
      <c r="H294" s="81"/>
      <c r="I294" s="161"/>
      <c r="J294" s="154" t="str">
        <f aca="false">IF(H294="","",ROUNDUP(H294*35%,0))</f>
        <v/>
      </c>
      <c r="K294" s="113"/>
      <c r="L294" s="113"/>
    </row>
    <row r="295" customFormat="false" ht="12.75" hidden="false" customHeight="true" outlineLevel="0" collapsed="false">
      <c r="A295" s="121" t="str">
        <f aca="false">IF(B295="","",CONCATENATE(COUNTA($B$4:B295),"."))</f>
        <v/>
      </c>
      <c r="B295" s="112"/>
      <c r="C295" s="112"/>
      <c r="D295" s="81"/>
      <c r="E295" s="81"/>
      <c r="F295" s="81"/>
      <c r="G295" s="81"/>
      <c r="H295" s="81"/>
      <c r="I295" s="161"/>
      <c r="J295" s="154" t="str">
        <f aca="false">IF(H295="","",ROUNDUP(H295*35%,0))</f>
        <v/>
      </c>
      <c r="K295" s="113"/>
      <c r="L295" s="113"/>
    </row>
    <row r="296" customFormat="false" ht="12.75" hidden="false" customHeight="true" outlineLevel="0" collapsed="false">
      <c r="A296" s="121" t="str">
        <f aca="false">IF(B296="","",CONCATENATE(COUNTA($B$4:B296),"."))</f>
        <v/>
      </c>
      <c r="B296" s="112"/>
      <c r="C296" s="112"/>
      <c r="D296" s="81"/>
      <c r="E296" s="81"/>
      <c r="F296" s="81"/>
      <c r="G296" s="81"/>
      <c r="H296" s="81"/>
      <c r="I296" s="161"/>
      <c r="J296" s="154" t="str">
        <f aca="false">IF(H296="","",ROUNDUP(H296*35%,0))</f>
        <v/>
      </c>
      <c r="K296" s="113"/>
      <c r="L296" s="113"/>
    </row>
    <row r="297" customFormat="false" ht="12.75" hidden="false" customHeight="true" outlineLevel="0" collapsed="false">
      <c r="A297" s="121" t="str">
        <f aca="false">IF(B297="","",CONCATENATE(COUNTA($B$4:B297),"."))</f>
        <v/>
      </c>
      <c r="B297" s="112"/>
      <c r="C297" s="112"/>
      <c r="D297" s="81"/>
      <c r="E297" s="81"/>
      <c r="F297" s="81"/>
      <c r="G297" s="81"/>
      <c r="H297" s="81"/>
      <c r="I297" s="161"/>
      <c r="J297" s="154" t="str">
        <f aca="false">IF(H297="","",ROUNDUP(H297*35%,0))</f>
        <v/>
      </c>
      <c r="K297" s="113"/>
      <c r="L297" s="113"/>
    </row>
    <row r="298" customFormat="false" ht="12.75" hidden="false" customHeight="true" outlineLevel="0" collapsed="false">
      <c r="A298" s="121" t="str">
        <f aca="false">IF(B298="","",CONCATENATE(COUNTA($B$4:B298),"."))</f>
        <v/>
      </c>
      <c r="B298" s="112"/>
      <c r="C298" s="112"/>
      <c r="D298" s="81"/>
      <c r="E298" s="81"/>
      <c r="F298" s="81"/>
      <c r="G298" s="81"/>
      <c r="H298" s="81"/>
      <c r="I298" s="161"/>
      <c r="J298" s="154" t="str">
        <f aca="false">IF(H298="","",ROUNDUP(H298*35%,0))</f>
        <v/>
      </c>
      <c r="K298" s="113"/>
      <c r="L298" s="113"/>
    </row>
    <row r="299" customFormat="false" ht="12.75" hidden="false" customHeight="true" outlineLevel="0" collapsed="false">
      <c r="A299" s="121" t="str">
        <f aca="false">IF(B299="","",CONCATENATE(COUNTA($B$4:B299),"."))</f>
        <v/>
      </c>
      <c r="B299" s="112"/>
      <c r="C299" s="112"/>
      <c r="D299" s="81"/>
      <c r="E299" s="81"/>
      <c r="F299" s="81"/>
      <c r="G299" s="81"/>
      <c r="H299" s="81"/>
      <c r="I299" s="161"/>
      <c r="J299" s="154" t="str">
        <f aca="false">IF(H299="","",ROUNDUP(H299*35%,0))</f>
        <v/>
      </c>
      <c r="K299" s="113"/>
      <c r="L299" s="113"/>
    </row>
    <row r="300" customFormat="false" ht="12.75" hidden="false" customHeight="true" outlineLevel="0" collapsed="false">
      <c r="A300" s="121" t="str">
        <f aca="false">IF(B300="","",CONCATENATE(COUNTA($B$4:B300),"."))</f>
        <v/>
      </c>
      <c r="B300" s="112"/>
      <c r="C300" s="112"/>
      <c r="D300" s="81"/>
      <c r="E300" s="81"/>
      <c r="F300" s="81"/>
      <c r="G300" s="81"/>
      <c r="H300" s="81"/>
      <c r="I300" s="161"/>
      <c r="J300" s="154" t="str">
        <f aca="false">IF(H300="","",ROUNDUP(H300*35%,0))</f>
        <v/>
      </c>
      <c r="K300" s="113"/>
      <c r="L300" s="113"/>
    </row>
    <row r="301" customFormat="false" ht="12.75" hidden="false" customHeight="true" outlineLevel="0" collapsed="false">
      <c r="A301" s="121" t="str">
        <f aca="false">IF(B301="","",CONCATENATE(COUNTA($B$4:B301),"."))</f>
        <v/>
      </c>
      <c r="B301" s="112"/>
      <c r="C301" s="112"/>
      <c r="D301" s="81"/>
      <c r="E301" s="81"/>
      <c r="F301" s="81"/>
      <c r="G301" s="81"/>
      <c r="H301" s="81"/>
      <c r="I301" s="161"/>
      <c r="J301" s="154" t="str">
        <f aca="false">IF(H301="","",ROUNDUP(H301*35%,0))</f>
        <v/>
      </c>
      <c r="K301" s="113"/>
      <c r="L301" s="113"/>
    </row>
    <row r="302" customFormat="false" ht="12.75" hidden="false" customHeight="true" outlineLevel="0" collapsed="false">
      <c r="A302" s="121" t="str">
        <f aca="false">IF(B302="","",CONCATENATE(COUNTA($B$4:B302),"."))</f>
        <v/>
      </c>
      <c r="B302" s="112"/>
      <c r="C302" s="112"/>
      <c r="D302" s="81"/>
      <c r="E302" s="81"/>
      <c r="F302" s="81"/>
      <c r="G302" s="81"/>
      <c r="H302" s="81"/>
      <c r="I302" s="161"/>
      <c r="J302" s="154" t="str">
        <f aca="false">IF(H302="","",ROUNDUP(H302*35%,0))</f>
        <v/>
      </c>
      <c r="K302" s="113"/>
      <c r="L302" s="113"/>
    </row>
    <row r="303" customFormat="false" ht="12.75" hidden="false" customHeight="true" outlineLevel="0" collapsed="false">
      <c r="A303" s="121" t="str">
        <f aca="false">IF(B303="","",CONCATENATE(COUNTA($B$4:B303),"."))</f>
        <v/>
      </c>
      <c r="B303" s="112"/>
      <c r="C303" s="112"/>
      <c r="D303" s="81"/>
      <c r="E303" s="81"/>
      <c r="F303" s="81"/>
      <c r="G303" s="81"/>
      <c r="H303" s="81"/>
      <c r="I303" s="161"/>
      <c r="J303" s="154" t="str">
        <f aca="false">IF(H303="","",ROUNDUP(H303*35%,0))</f>
        <v/>
      </c>
      <c r="K303" s="113"/>
      <c r="L303" s="113"/>
    </row>
    <row r="304" customFormat="false" ht="12.75" hidden="false" customHeight="true" outlineLevel="0" collapsed="false">
      <c r="A304" s="121" t="str">
        <f aca="false">IF(B304="","",CONCATENATE(COUNTA($B$4:B304),"."))</f>
        <v/>
      </c>
      <c r="B304" s="112"/>
      <c r="C304" s="112"/>
      <c r="D304" s="81"/>
      <c r="E304" s="81"/>
      <c r="F304" s="81"/>
      <c r="G304" s="81"/>
      <c r="H304" s="81"/>
      <c r="I304" s="161"/>
      <c r="J304" s="154" t="str">
        <f aca="false">IF(H304="","",ROUNDUP(H304*35%,0))</f>
        <v/>
      </c>
      <c r="K304" s="113"/>
      <c r="L304" s="113"/>
    </row>
    <row r="305" customFormat="false" ht="12.75" hidden="false" customHeight="true" outlineLevel="0" collapsed="false">
      <c r="A305" s="121" t="str">
        <f aca="false">IF(B305="","",CONCATENATE(COUNTA($B$4:B305),"."))</f>
        <v/>
      </c>
      <c r="B305" s="112"/>
      <c r="C305" s="112"/>
      <c r="D305" s="81"/>
      <c r="E305" s="81"/>
      <c r="F305" s="81"/>
      <c r="G305" s="81"/>
      <c r="H305" s="81"/>
      <c r="I305" s="161"/>
      <c r="J305" s="154" t="str">
        <f aca="false">IF(H305="","",ROUNDUP(H305*35%,0))</f>
        <v/>
      </c>
      <c r="K305" s="113"/>
      <c r="L305" s="113"/>
    </row>
    <row r="306" customFormat="false" ht="12.75" hidden="false" customHeight="true" outlineLevel="0" collapsed="false">
      <c r="A306" s="121" t="str">
        <f aca="false">IF(B306="","",CONCATENATE(COUNTA($B$4:B306),"."))</f>
        <v/>
      </c>
      <c r="B306" s="112"/>
      <c r="C306" s="112"/>
      <c r="D306" s="81"/>
      <c r="E306" s="81"/>
      <c r="F306" s="81"/>
      <c r="G306" s="81"/>
      <c r="H306" s="81"/>
      <c r="I306" s="161"/>
      <c r="J306" s="154" t="str">
        <f aca="false">IF(H306="","",ROUNDUP(H306*35%,0))</f>
        <v/>
      </c>
      <c r="K306" s="113"/>
      <c r="L306" s="113"/>
    </row>
    <row r="307" customFormat="false" ht="12.75" hidden="false" customHeight="true" outlineLevel="0" collapsed="false">
      <c r="A307" s="121" t="str">
        <f aca="false">IF(B307="","",CONCATENATE(COUNTA($B$4:B307),"."))</f>
        <v/>
      </c>
      <c r="B307" s="112"/>
      <c r="C307" s="112"/>
      <c r="D307" s="81"/>
      <c r="E307" s="81"/>
      <c r="F307" s="81"/>
      <c r="G307" s="81"/>
      <c r="H307" s="81"/>
      <c r="I307" s="161"/>
      <c r="J307" s="154" t="str">
        <f aca="false">IF(H307="","",ROUNDUP(H307*35%,0))</f>
        <v/>
      </c>
      <c r="K307" s="113"/>
      <c r="L307" s="113"/>
    </row>
    <row r="308" customFormat="false" ht="12.75" hidden="false" customHeight="true" outlineLevel="0" collapsed="false">
      <c r="A308" s="121" t="str">
        <f aca="false">IF(B308="","",CONCATENATE(COUNTA($B$4:B308),"."))</f>
        <v/>
      </c>
      <c r="B308" s="112"/>
      <c r="C308" s="112"/>
      <c r="D308" s="81"/>
      <c r="E308" s="81"/>
      <c r="F308" s="81"/>
      <c r="G308" s="81"/>
      <c r="H308" s="81"/>
      <c r="I308" s="161"/>
      <c r="J308" s="154" t="str">
        <f aca="false">IF(H308="","",ROUNDUP(H308*35%,0))</f>
        <v/>
      </c>
      <c r="K308" s="113"/>
      <c r="L308" s="113"/>
    </row>
    <row r="309" customFormat="false" ht="12.75" hidden="false" customHeight="true" outlineLevel="0" collapsed="false">
      <c r="A309" s="121" t="str">
        <f aca="false">IF(B309="","",CONCATENATE(COUNTA($B$4:B309),"."))</f>
        <v/>
      </c>
      <c r="B309" s="112"/>
      <c r="C309" s="112"/>
      <c r="D309" s="81"/>
      <c r="E309" s="81"/>
      <c r="F309" s="81"/>
      <c r="G309" s="81"/>
      <c r="H309" s="81"/>
      <c r="I309" s="161"/>
      <c r="J309" s="154" t="str">
        <f aca="false">IF(H309="","",ROUNDUP(H309*35%,0))</f>
        <v/>
      </c>
      <c r="K309" s="113"/>
      <c r="L309" s="113"/>
    </row>
    <row r="310" customFormat="false" ht="12.75" hidden="false" customHeight="true" outlineLevel="0" collapsed="false">
      <c r="A310" s="121" t="str">
        <f aca="false">IF(B310="","",CONCATENATE(COUNTA($B$4:B310),"."))</f>
        <v/>
      </c>
      <c r="B310" s="112"/>
      <c r="C310" s="112"/>
      <c r="D310" s="81"/>
      <c r="E310" s="81"/>
      <c r="F310" s="81"/>
      <c r="G310" s="81"/>
      <c r="H310" s="81"/>
      <c r="I310" s="161"/>
      <c r="J310" s="154" t="str">
        <f aca="false">IF(H310="","",ROUNDUP(H310*35%,0))</f>
        <v/>
      </c>
      <c r="K310" s="113"/>
      <c r="L310" s="113"/>
    </row>
    <row r="311" customFormat="false" ht="12.75" hidden="false" customHeight="true" outlineLevel="0" collapsed="false">
      <c r="A311" s="121" t="str">
        <f aca="false">IF(B311="","",CONCATENATE(COUNTA($B$4:B311),"."))</f>
        <v/>
      </c>
      <c r="B311" s="112"/>
      <c r="C311" s="112"/>
      <c r="D311" s="81"/>
      <c r="E311" s="81"/>
      <c r="F311" s="81"/>
      <c r="G311" s="81"/>
      <c r="H311" s="81"/>
      <c r="I311" s="161"/>
      <c r="J311" s="154" t="str">
        <f aca="false">IF(H311="","",ROUNDUP(H311*35%,0))</f>
        <v/>
      </c>
      <c r="K311" s="113"/>
      <c r="L311" s="113"/>
    </row>
    <row r="312" customFormat="false" ht="12.75" hidden="false" customHeight="true" outlineLevel="0" collapsed="false">
      <c r="A312" s="121" t="str">
        <f aca="false">IF(B312="","",CONCATENATE(COUNTA($B$4:B312),"."))</f>
        <v/>
      </c>
      <c r="B312" s="112"/>
      <c r="C312" s="112"/>
      <c r="D312" s="81"/>
      <c r="E312" s="81"/>
      <c r="F312" s="81"/>
      <c r="G312" s="81"/>
      <c r="H312" s="81"/>
      <c r="I312" s="161"/>
      <c r="J312" s="154" t="str">
        <f aca="false">IF(H312="","",ROUNDUP(H312*35%,0))</f>
        <v/>
      </c>
      <c r="K312" s="113"/>
      <c r="L312" s="113"/>
    </row>
    <row r="313" customFormat="false" ht="12.75" hidden="false" customHeight="true" outlineLevel="0" collapsed="false">
      <c r="A313" s="121" t="str">
        <f aca="false">IF(B313="","",CONCATENATE(COUNTA($B$4:B313),"."))</f>
        <v/>
      </c>
      <c r="B313" s="112"/>
      <c r="C313" s="112"/>
      <c r="D313" s="81"/>
      <c r="E313" s="81"/>
      <c r="F313" s="81"/>
      <c r="G313" s="81"/>
      <c r="H313" s="81"/>
      <c r="I313" s="161"/>
      <c r="J313" s="154" t="str">
        <f aca="false">IF(H313="","",ROUNDUP(H313*35%,0))</f>
        <v/>
      </c>
      <c r="K313" s="113"/>
      <c r="L313" s="113"/>
    </row>
    <row r="314" customFormat="false" ht="12.75" hidden="false" customHeight="true" outlineLevel="0" collapsed="false">
      <c r="A314" s="121" t="str">
        <f aca="false">IF(B314="","",CONCATENATE(COUNTA($B$4:B314),"."))</f>
        <v/>
      </c>
      <c r="B314" s="112"/>
      <c r="C314" s="112"/>
      <c r="D314" s="81"/>
      <c r="E314" s="81"/>
      <c r="F314" s="81"/>
      <c r="G314" s="81"/>
      <c r="H314" s="81"/>
      <c r="I314" s="161"/>
      <c r="J314" s="154" t="str">
        <f aca="false">IF(H314="","",ROUNDUP(H314*35%,0))</f>
        <v/>
      </c>
      <c r="K314" s="113"/>
      <c r="L314" s="113"/>
    </row>
    <row r="315" customFormat="false" ht="12.75" hidden="false" customHeight="true" outlineLevel="0" collapsed="false">
      <c r="A315" s="121" t="str">
        <f aca="false">IF(B315="","",CONCATENATE(COUNTA($B$4:B315),"."))</f>
        <v/>
      </c>
      <c r="B315" s="112"/>
      <c r="C315" s="112"/>
      <c r="D315" s="81"/>
      <c r="E315" s="81"/>
      <c r="F315" s="81"/>
      <c r="G315" s="81"/>
      <c r="H315" s="81"/>
      <c r="I315" s="161"/>
      <c r="J315" s="154" t="str">
        <f aca="false">IF(H315="","",ROUNDUP(H315*35%,0))</f>
        <v/>
      </c>
      <c r="K315" s="113"/>
      <c r="L315" s="113"/>
    </row>
    <row r="316" customFormat="false" ht="12.75" hidden="false" customHeight="true" outlineLevel="0" collapsed="false">
      <c r="A316" s="121" t="str">
        <f aca="false">IF(B316="","",CONCATENATE(COUNTA($B$4:B316),"."))</f>
        <v/>
      </c>
      <c r="B316" s="112"/>
      <c r="C316" s="112"/>
      <c r="D316" s="81"/>
      <c r="E316" s="81"/>
      <c r="F316" s="81"/>
      <c r="G316" s="81"/>
      <c r="H316" s="81"/>
      <c r="I316" s="161"/>
      <c r="J316" s="154" t="str">
        <f aca="false">IF(H316="","",ROUNDUP(H316*35%,0))</f>
        <v/>
      </c>
      <c r="K316" s="113"/>
      <c r="L316" s="113"/>
    </row>
    <row r="317" customFormat="false" ht="12.75" hidden="false" customHeight="true" outlineLevel="0" collapsed="false">
      <c r="A317" s="121" t="str">
        <f aca="false">IF(B317="","",CONCATENATE(COUNTA($B$4:B317),"."))</f>
        <v/>
      </c>
      <c r="B317" s="112"/>
      <c r="C317" s="112"/>
      <c r="D317" s="81"/>
      <c r="E317" s="81"/>
      <c r="F317" s="81"/>
      <c r="G317" s="81"/>
      <c r="H317" s="81"/>
      <c r="I317" s="161"/>
      <c r="J317" s="154" t="str">
        <f aca="false">IF(H317="","",ROUNDUP(H317*35%,0))</f>
        <v/>
      </c>
      <c r="K317" s="113"/>
      <c r="L317" s="113"/>
    </row>
    <row r="318" customFormat="false" ht="12.75" hidden="false" customHeight="true" outlineLevel="0" collapsed="false">
      <c r="A318" s="121" t="str">
        <f aca="false">IF(B318="","",CONCATENATE(COUNTA($B$4:B318),"."))</f>
        <v/>
      </c>
      <c r="B318" s="112"/>
      <c r="C318" s="112"/>
      <c r="D318" s="81"/>
      <c r="E318" s="81"/>
      <c r="F318" s="81"/>
      <c r="G318" s="81"/>
      <c r="H318" s="81"/>
      <c r="I318" s="161"/>
      <c r="J318" s="154" t="str">
        <f aca="false">IF(H318="","",ROUNDUP(H318*35%,0))</f>
        <v/>
      </c>
      <c r="K318" s="113"/>
      <c r="L318" s="113"/>
    </row>
    <row r="319" customFormat="false" ht="12.75" hidden="false" customHeight="true" outlineLevel="0" collapsed="false">
      <c r="A319" s="121" t="str">
        <f aca="false">IF(B319="","",CONCATENATE(COUNTA($B$4:B319),"."))</f>
        <v/>
      </c>
      <c r="B319" s="112"/>
      <c r="C319" s="112"/>
      <c r="D319" s="81"/>
      <c r="E319" s="81"/>
      <c r="F319" s="81"/>
      <c r="G319" s="81"/>
      <c r="H319" s="81"/>
      <c r="I319" s="161"/>
      <c r="J319" s="154" t="str">
        <f aca="false">IF(H319="","",ROUNDUP(H319*35%,0))</f>
        <v/>
      </c>
      <c r="K319" s="113"/>
      <c r="L319" s="113"/>
    </row>
    <row r="320" customFormat="false" ht="12.75" hidden="false" customHeight="true" outlineLevel="0" collapsed="false">
      <c r="A320" s="121" t="str">
        <f aca="false">IF(B320="","",CONCATENATE(COUNTA($B$4:B320),"."))</f>
        <v/>
      </c>
      <c r="B320" s="112"/>
      <c r="C320" s="112"/>
      <c r="D320" s="81"/>
      <c r="E320" s="81"/>
      <c r="F320" s="81"/>
      <c r="G320" s="81"/>
      <c r="H320" s="81"/>
      <c r="I320" s="161"/>
      <c r="J320" s="154" t="str">
        <f aca="false">IF(H320="","",ROUNDUP(H320*35%,0))</f>
        <v/>
      </c>
      <c r="K320" s="113"/>
      <c r="L320" s="113"/>
    </row>
    <row r="321" customFormat="false" ht="12.75" hidden="false" customHeight="true" outlineLevel="0" collapsed="false">
      <c r="A321" s="121" t="str">
        <f aca="false">IF(B321="","",CONCATENATE(COUNTA($B$4:B321),"."))</f>
        <v/>
      </c>
      <c r="B321" s="112"/>
      <c r="C321" s="112"/>
      <c r="D321" s="81"/>
      <c r="E321" s="81"/>
      <c r="F321" s="81"/>
      <c r="G321" s="81"/>
      <c r="H321" s="81"/>
      <c r="I321" s="161"/>
      <c r="J321" s="154" t="str">
        <f aca="false">IF(H321="","",ROUNDUP(H321*35%,0))</f>
        <v/>
      </c>
      <c r="K321" s="113"/>
      <c r="L321" s="113"/>
    </row>
    <row r="322" customFormat="false" ht="12.75" hidden="false" customHeight="true" outlineLevel="0" collapsed="false">
      <c r="A322" s="121" t="str">
        <f aca="false">IF(B322="","",CONCATENATE(COUNTA($B$4:B322),"."))</f>
        <v/>
      </c>
      <c r="B322" s="112"/>
      <c r="C322" s="112"/>
      <c r="D322" s="81"/>
      <c r="E322" s="81"/>
      <c r="F322" s="81"/>
      <c r="G322" s="81"/>
      <c r="H322" s="81"/>
      <c r="I322" s="161"/>
      <c r="J322" s="154" t="str">
        <f aca="false">IF(H322="","",ROUNDUP(H322*35%,0))</f>
        <v/>
      </c>
      <c r="K322" s="113"/>
      <c r="L322" s="113"/>
    </row>
    <row r="323" customFormat="false" ht="12.75" hidden="false" customHeight="true" outlineLevel="0" collapsed="false">
      <c r="A323" s="121" t="str">
        <f aca="false">IF(B323="","",CONCATENATE(COUNTA($B$4:B323),"."))</f>
        <v/>
      </c>
      <c r="B323" s="112"/>
      <c r="C323" s="112"/>
      <c r="D323" s="81"/>
      <c r="E323" s="81"/>
      <c r="F323" s="81"/>
      <c r="G323" s="81"/>
      <c r="H323" s="81"/>
      <c r="I323" s="161"/>
      <c r="J323" s="154" t="str">
        <f aca="false">IF(H323="","",ROUNDUP(H323*35%,0))</f>
        <v/>
      </c>
      <c r="K323" s="113"/>
      <c r="L323" s="113"/>
    </row>
    <row r="324" customFormat="false" ht="12.75" hidden="false" customHeight="true" outlineLevel="0" collapsed="false">
      <c r="A324" s="121" t="str">
        <f aca="false">IF(B324="","",CONCATENATE(COUNTA($B$4:B324),"."))</f>
        <v/>
      </c>
      <c r="B324" s="112"/>
      <c r="C324" s="112"/>
      <c r="D324" s="81"/>
      <c r="E324" s="81"/>
      <c r="F324" s="81"/>
      <c r="G324" s="81"/>
      <c r="H324" s="81"/>
      <c r="I324" s="161"/>
      <c r="J324" s="154" t="str">
        <f aca="false">IF(H324="","",ROUNDUP(H324*35%,0))</f>
        <v/>
      </c>
      <c r="K324" s="113"/>
      <c r="L324" s="113"/>
    </row>
    <row r="325" customFormat="false" ht="12.75" hidden="false" customHeight="true" outlineLevel="0" collapsed="false">
      <c r="A325" s="121" t="str">
        <f aca="false">IF(B325="","",CONCATENATE(COUNTA($B$4:B325),"."))</f>
        <v/>
      </c>
      <c r="B325" s="112"/>
      <c r="C325" s="112"/>
      <c r="D325" s="81"/>
      <c r="E325" s="81"/>
      <c r="F325" s="81"/>
      <c r="G325" s="81"/>
      <c r="H325" s="81"/>
      <c r="I325" s="161"/>
      <c r="J325" s="154" t="str">
        <f aca="false">IF(H325="","",ROUNDUP(H325*35%,0))</f>
        <v/>
      </c>
      <c r="K325" s="113"/>
      <c r="L325" s="113"/>
    </row>
    <row r="326" customFormat="false" ht="12.75" hidden="false" customHeight="true" outlineLevel="0" collapsed="false">
      <c r="A326" s="121" t="str">
        <f aca="false">IF(B326="","",CONCATENATE(COUNTA($B$4:B326),"."))</f>
        <v/>
      </c>
      <c r="B326" s="112"/>
      <c r="C326" s="112"/>
      <c r="D326" s="81"/>
      <c r="E326" s="81"/>
      <c r="F326" s="81"/>
      <c r="G326" s="81"/>
      <c r="H326" s="81"/>
      <c r="I326" s="161"/>
      <c r="J326" s="154" t="str">
        <f aca="false">IF(H326="","",ROUNDUP(H326*35%,0))</f>
        <v/>
      </c>
      <c r="K326" s="113"/>
      <c r="L326" s="113"/>
    </row>
    <row r="327" customFormat="false" ht="12.75" hidden="false" customHeight="true" outlineLevel="0" collapsed="false">
      <c r="A327" s="121" t="str">
        <f aca="false">IF(B327="","",CONCATENATE(COUNTA($B$4:B327),"."))</f>
        <v/>
      </c>
      <c r="B327" s="112"/>
      <c r="C327" s="112"/>
      <c r="D327" s="81"/>
      <c r="E327" s="81"/>
      <c r="F327" s="81"/>
      <c r="G327" s="81"/>
      <c r="H327" s="81"/>
      <c r="I327" s="161"/>
      <c r="J327" s="154" t="str">
        <f aca="false">IF(H327="","",ROUNDUP(H327*35%,0))</f>
        <v/>
      </c>
      <c r="K327" s="113"/>
      <c r="L327" s="113"/>
    </row>
    <row r="328" customFormat="false" ht="12.75" hidden="false" customHeight="true" outlineLevel="0" collapsed="false">
      <c r="A328" s="121" t="str">
        <f aca="false">IF(B328="","",CONCATENATE(COUNTA($B$4:B328),"."))</f>
        <v/>
      </c>
      <c r="B328" s="112"/>
      <c r="C328" s="112"/>
      <c r="D328" s="81"/>
      <c r="E328" s="81"/>
      <c r="F328" s="81"/>
      <c r="G328" s="81"/>
      <c r="H328" s="81"/>
      <c r="I328" s="161"/>
      <c r="J328" s="154" t="str">
        <f aca="false">IF(H328="","",ROUNDUP(H328*35%,0))</f>
        <v/>
      </c>
      <c r="K328" s="113"/>
      <c r="L328" s="113"/>
    </row>
    <row r="329" customFormat="false" ht="12.75" hidden="false" customHeight="true" outlineLevel="0" collapsed="false">
      <c r="A329" s="121" t="str">
        <f aca="false">IF(B329="","",CONCATENATE(COUNTA($B$4:B329),"."))</f>
        <v/>
      </c>
      <c r="B329" s="112"/>
      <c r="C329" s="112"/>
      <c r="D329" s="81"/>
      <c r="E329" s="81"/>
      <c r="F329" s="81"/>
      <c r="G329" s="81"/>
      <c r="H329" s="81"/>
      <c r="I329" s="161"/>
      <c r="J329" s="154" t="str">
        <f aca="false">IF(H329="","",ROUNDUP(H329*35%,0))</f>
        <v/>
      </c>
      <c r="K329" s="113"/>
      <c r="L329" s="113"/>
    </row>
    <row r="330" customFormat="false" ht="12.75" hidden="false" customHeight="true" outlineLevel="0" collapsed="false">
      <c r="A330" s="121" t="str">
        <f aca="false">IF(B330="","",CONCATENATE(COUNTA($B$4:B330),"."))</f>
        <v/>
      </c>
      <c r="B330" s="112"/>
      <c r="C330" s="112"/>
      <c r="D330" s="81"/>
      <c r="E330" s="81"/>
      <c r="F330" s="81"/>
      <c r="G330" s="81"/>
      <c r="H330" s="81"/>
      <c r="I330" s="161"/>
      <c r="J330" s="154" t="str">
        <f aca="false">IF(H330="","",ROUNDUP(H330*35%,0))</f>
        <v/>
      </c>
      <c r="K330" s="113"/>
      <c r="L330" s="113"/>
    </row>
    <row r="331" customFormat="false" ht="12.75" hidden="false" customHeight="true" outlineLevel="0" collapsed="false">
      <c r="A331" s="121" t="str">
        <f aca="false">IF(B331="","",CONCATENATE(COUNTA($B$4:B331),"."))</f>
        <v/>
      </c>
      <c r="B331" s="112"/>
      <c r="C331" s="112"/>
      <c r="D331" s="81"/>
      <c r="E331" s="81"/>
      <c r="F331" s="81"/>
      <c r="G331" s="81"/>
      <c r="H331" s="81"/>
      <c r="I331" s="161"/>
      <c r="J331" s="154" t="str">
        <f aca="false">IF(H331="","",ROUNDUP(H331*35%,0))</f>
        <v/>
      </c>
      <c r="K331" s="113"/>
      <c r="L331" s="113"/>
    </row>
    <row r="332" customFormat="false" ht="12.75" hidden="false" customHeight="true" outlineLevel="0" collapsed="false">
      <c r="A332" s="121" t="str">
        <f aca="false">IF(B332="","",CONCATENATE(COUNTA($B$4:B332),"."))</f>
        <v/>
      </c>
      <c r="B332" s="112"/>
      <c r="C332" s="112"/>
      <c r="D332" s="81"/>
      <c r="E332" s="81"/>
      <c r="F332" s="81"/>
      <c r="G332" s="81"/>
      <c r="H332" s="81"/>
      <c r="I332" s="161"/>
      <c r="J332" s="154" t="str">
        <f aca="false">IF(H332="","",ROUNDUP(H332*35%,0))</f>
        <v/>
      </c>
      <c r="K332" s="113"/>
      <c r="L332" s="113"/>
    </row>
    <row r="333" customFormat="false" ht="12.75" hidden="false" customHeight="true" outlineLevel="0" collapsed="false">
      <c r="A333" s="121" t="str">
        <f aca="false">IF(B333="","",CONCATENATE(COUNTA($B$4:B333),"."))</f>
        <v/>
      </c>
      <c r="B333" s="112"/>
      <c r="C333" s="112"/>
      <c r="D333" s="81"/>
      <c r="E333" s="81"/>
      <c r="F333" s="81"/>
      <c r="G333" s="81"/>
      <c r="H333" s="81"/>
      <c r="I333" s="161"/>
      <c r="J333" s="154" t="str">
        <f aca="false">IF(H333="","",ROUNDUP(H333*35%,0))</f>
        <v/>
      </c>
      <c r="K333" s="113"/>
      <c r="L333" s="113"/>
    </row>
    <row r="334" customFormat="false" ht="12.75" hidden="false" customHeight="true" outlineLevel="0" collapsed="false">
      <c r="A334" s="121" t="str">
        <f aca="false">IF(B334="","",CONCATENATE(COUNTA($B$4:B334),"."))</f>
        <v/>
      </c>
      <c r="B334" s="112"/>
      <c r="C334" s="112"/>
      <c r="D334" s="81"/>
      <c r="E334" s="81"/>
      <c r="F334" s="81"/>
      <c r="G334" s="81"/>
      <c r="H334" s="81"/>
      <c r="I334" s="161"/>
      <c r="J334" s="154" t="str">
        <f aca="false">IF(H334="","",ROUNDUP(H334*35%,0))</f>
        <v/>
      </c>
      <c r="K334" s="113"/>
      <c r="L334" s="113"/>
    </row>
    <row r="335" customFormat="false" ht="12.75" hidden="false" customHeight="true" outlineLevel="0" collapsed="false">
      <c r="A335" s="121" t="str">
        <f aca="false">IF(B335="","",CONCATENATE(COUNTA($B$4:B335),"."))</f>
        <v/>
      </c>
      <c r="B335" s="112"/>
      <c r="C335" s="112"/>
      <c r="D335" s="81"/>
      <c r="E335" s="81"/>
      <c r="F335" s="81"/>
      <c r="G335" s="81"/>
      <c r="H335" s="81"/>
      <c r="I335" s="161"/>
      <c r="J335" s="154" t="str">
        <f aca="false">IF(H335="","",ROUNDUP(H335*35%,0))</f>
        <v/>
      </c>
      <c r="K335" s="113"/>
      <c r="L335" s="113"/>
    </row>
    <row r="336" customFormat="false" ht="12.75" hidden="false" customHeight="true" outlineLevel="0" collapsed="false">
      <c r="A336" s="121" t="str">
        <f aca="false">IF(B336="","",CONCATENATE(COUNTA($B$4:B336),"."))</f>
        <v/>
      </c>
      <c r="B336" s="112"/>
      <c r="C336" s="112"/>
      <c r="D336" s="81"/>
      <c r="E336" s="81"/>
      <c r="F336" s="81"/>
      <c r="G336" s="81"/>
      <c r="H336" s="81"/>
      <c r="I336" s="161"/>
      <c r="J336" s="154" t="str">
        <f aca="false">IF(H336="","",ROUNDUP(H336*35%,0))</f>
        <v/>
      </c>
      <c r="K336" s="113"/>
      <c r="L336" s="113"/>
    </row>
    <row r="337" customFormat="false" ht="12.75" hidden="false" customHeight="true" outlineLevel="0" collapsed="false">
      <c r="A337" s="121" t="str">
        <f aca="false">IF(B337="","",CONCATENATE(COUNTA($B$4:B337),"."))</f>
        <v/>
      </c>
      <c r="B337" s="112"/>
      <c r="C337" s="112"/>
      <c r="D337" s="81"/>
      <c r="E337" s="81"/>
      <c r="F337" s="81"/>
      <c r="G337" s="81"/>
      <c r="H337" s="81"/>
      <c r="I337" s="161"/>
      <c r="J337" s="154" t="str">
        <f aca="false">IF(H337="","",ROUNDUP(H337*35%,0))</f>
        <v/>
      </c>
      <c r="K337" s="113"/>
      <c r="L337" s="113"/>
    </row>
    <row r="338" customFormat="false" ht="12.75" hidden="false" customHeight="true" outlineLevel="0" collapsed="false">
      <c r="A338" s="121" t="str">
        <f aca="false">IF(B338="","",CONCATENATE(COUNTA($B$4:B338),"."))</f>
        <v/>
      </c>
      <c r="B338" s="112"/>
      <c r="C338" s="112"/>
      <c r="D338" s="81"/>
      <c r="E338" s="81"/>
      <c r="F338" s="81"/>
      <c r="G338" s="81"/>
      <c r="H338" s="81"/>
      <c r="I338" s="161"/>
      <c r="J338" s="154" t="str">
        <f aca="false">IF(H338="","",ROUNDUP(H338*35%,0))</f>
        <v/>
      </c>
      <c r="K338" s="113"/>
      <c r="L338" s="113"/>
    </row>
    <row r="339" customFormat="false" ht="12.75" hidden="false" customHeight="true" outlineLevel="0" collapsed="false">
      <c r="A339" s="121" t="str">
        <f aca="false">IF(B339="","",CONCATENATE(COUNTA($B$4:B339),"."))</f>
        <v/>
      </c>
      <c r="B339" s="112"/>
      <c r="C339" s="112"/>
      <c r="D339" s="81"/>
      <c r="E339" s="81"/>
      <c r="F339" s="81"/>
      <c r="G339" s="81"/>
      <c r="H339" s="81"/>
      <c r="I339" s="161"/>
      <c r="J339" s="154" t="str">
        <f aca="false">IF(H339="","",ROUNDUP(H339*35%,0))</f>
        <v/>
      </c>
      <c r="K339" s="113"/>
      <c r="L339" s="113"/>
    </row>
    <row r="340" customFormat="false" ht="12.75" hidden="false" customHeight="true" outlineLevel="0" collapsed="false">
      <c r="A340" s="121" t="str">
        <f aca="false">IF(B340="","",CONCATENATE(COUNTA($B$4:B340),"."))</f>
        <v/>
      </c>
      <c r="B340" s="112"/>
      <c r="C340" s="112"/>
      <c r="D340" s="81"/>
      <c r="E340" s="81"/>
      <c r="F340" s="81"/>
      <c r="G340" s="81"/>
      <c r="H340" s="81"/>
      <c r="I340" s="161"/>
      <c r="J340" s="154" t="str">
        <f aca="false">IF(H340="","",ROUNDUP(H340*35%,0))</f>
        <v/>
      </c>
      <c r="K340" s="113"/>
      <c r="L340" s="113"/>
    </row>
    <row r="341" customFormat="false" ht="12.75" hidden="false" customHeight="true" outlineLevel="0" collapsed="false">
      <c r="A341" s="121" t="str">
        <f aca="false">IF(B341="","",CONCATENATE(COUNTA($B$4:B341),"."))</f>
        <v/>
      </c>
      <c r="B341" s="112"/>
      <c r="C341" s="112"/>
      <c r="D341" s="81"/>
      <c r="E341" s="81"/>
      <c r="F341" s="81"/>
      <c r="G341" s="81"/>
      <c r="H341" s="81"/>
      <c r="I341" s="161"/>
      <c r="J341" s="154" t="str">
        <f aca="false">IF(H341="","",ROUNDUP(H341*35%,0))</f>
        <v/>
      </c>
      <c r="K341" s="113"/>
      <c r="L341" s="113"/>
    </row>
    <row r="342" customFormat="false" ht="12.75" hidden="false" customHeight="true" outlineLevel="0" collapsed="false">
      <c r="A342" s="121" t="str">
        <f aca="false">IF(B342="","",CONCATENATE(COUNTA($B$4:B342),"."))</f>
        <v/>
      </c>
      <c r="B342" s="112"/>
      <c r="C342" s="112"/>
      <c r="D342" s="81"/>
      <c r="E342" s="81"/>
      <c r="F342" s="81"/>
      <c r="G342" s="81"/>
      <c r="H342" s="81"/>
      <c r="I342" s="161"/>
      <c r="J342" s="154" t="str">
        <f aca="false">IF(H342="","",ROUNDUP(H342*35%,0))</f>
        <v/>
      </c>
      <c r="K342" s="113"/>
      <c r="L342" s="113"/>
    </row>
    <row r="343" customFormat="false" ht="12.75" hidden="false" customHeight="true" outlineLevel="0" collapsed="false">
      <c r="A343" s="121" t="str">
        <f aca="false">IF(B343="","",CONCATENATE(COUNTA($B$4:B343),"."))</f>
        <v/>
      </c>
      <c r="B343" s="112"/>
      <c r="C343" s="112"/>
      <c r="D343" s="81"/>
      <c r="E343" s="81"/>
      <c r="F343" s="81"/>
      <c r="G343" s="81"/>
      <c r="H343" s="81"/>
      <c r="I343" s="161"/>
      <c r="J343" s="154" t="str">
        <f aca="false">IF(H343="","",ROUNDUP(H343*35%,0))</f>
        <v/>
      </c>
      <c r="K343" s="113"/>
      <c r="L343" s="113"/>
    </row>
    <row r="344" customFormat="false" ht="12.75" hidden="false" customHeight="true" outlineLevel="0" collapsed="false">
      <c r="A344" s="121" t="str">
        <f aca="false">IF(B344="","",CONCATENATE(COUNTA($B$4:B344),"."))</f>
        <v/>
      </c>
      <c r="B344" s="112"/>
      <c r="C344" s="112"/>
      <c r="D344" s="81"/>
      <c r="E344" s="81"/>
      <c r="F344" s="81"/>
      <c r="G344" s="81"/>
      <c r="H344" s="81"/>
      <c r="I344" s="161"/>
      <c r="J344" s="154" t="str">
        <f aca="false">IF(H344="","",ROUNDUP(H344*35%,0))</f>
        <v/>
      </c>
      <c r="K344" s="113"/>
      <c r="L344" s="113"/>
    </row>
    <row r="345" customFormat="false" ht="12.75" hidden="false" customHeight="true" outlineLevel="0" collapsed="false">
      <c r="A345" s="121" t="str">
        <f aca="false">IF(B345="","",CONCATENATE(COUNTA($B$4:B345),"."))</f>
        <v/>
      </c>
      <c r="B345" s="112"/>
      <c r="C345" s="112"/>
      <c r="D345" s="81"/>
      <c r="E345" s="81"/>
      <c r="F345" s="81"/>
      <c r="G345" s="81"/>
      <c r="H345" s="81"/>
      <c r="I345" s="161"/>
      <c r="J345" s="154" t="str">
        <f aca="false">IF(H345="","",ROUNDUP(H345*35%,0))</f>
        <v/>
      </c>
      <c r="K345" s="113"/>
      <c r="L345" s="113"/>
    </row>
    <row r="346" customFormat="false" ht="12.75" hidden="false" customHeight="true" outlineLevel="0" collapsed="false">
      <c r="A346" s="121" t="str">
        <f aca="false">IF(B346="","",CONCATENATE(COUNTA($B$4:B346),"."))</f>
        <v/>
      </c>
      <c r="B346" s="112"/>
      <c r="C346" s="112"/>
      <c r="D346" s="81"/>
      <c r="E346" s="81"/>
      <c r="F346" s="81"/>
      <c r="G346" s="81"/>
      <c r="H346" s="81"/>
      <c r="I346" s="161"/>
      <c r="J346" s="154" t="str">
        <f aca="false">IF(H346="","",ROUNDUP(H346*35%,0))</f>
        <v/>
      </c>
      <c r="K346" s="113"/>
      <c r="L346" s="113"/>
    </row>
    <row r="347" customFormat="false" ht="12.75" hidden="false" customHeight="true" outlineLevel="0" collapsed="false">
      <c r="A347" s="121" t="str">
        <f aca="false">IF(B347="","",CONCATENATE(COUNTA($B$4:B347),"."))</f>
        <v/>
      </c>
      <c r="B347" s="112"/>
      <c r="C347" s="112"/>
      <c r="D347" s="81"/>
      <c r="E347" s="81"/>
      <c r="F347" s="81"/>
      <c r="G347" s="81"/>
      <c r="H347" s="81"/>
      <c r="I347" s="161"/>
      <c r="J347" s="154" t="str">
        <f aca="false">IF(H347="","",ROUNDUP(H347*35%,0))</f>
        <v/>
      </c>
      <c r="K347" s="113"/>
      <c r="L347" s="113"/>
    </row>
    <row r="348" customFormat="false" ht="12.75" hidden="false" customHeight="true" outlineLevel="0" collapsed="false">
      <c r="A348" s="121" t="str">
        <f aca="false">IF(B348="","",CONCATENATE(COUNTA($B$4:B348),"."))</f>
        <v/>
      </c>
      <c r="B348" s="112"/>
      <c r="C348" s="112"/>
      <c r="D348" s="81"/>
      <c r="E348" s="81"/>
      <c r="F348" s="81"/>
      <c r="G348" s="81"/>
      <c r="H348" s="81"/>
      <c r="I348" s="161"/>
      <c r="J348" s="154" t="str">
        <f aca="false">IF(H348="","",ROUNDUP(H348*35%,0))</f>
        <v/>
      </c>
      <c r="K348" s="113"/>
      <c r="L348" s="113"/>
    </row>
    <row r="349" customFormat="false" ht="12.75" hidden="false" customHeight="true" outlineLevel="0" collapsed="false">
      <c r="A349" s="121" t="str">
        <f aca="false">IF(B349="","",CONCATENATE(COUNTA($B$4:B349),"."))</f>
        <v/>
      </c>
      <c r="B349" s="112"/>
      <c r="C349" s="112"/>
      <c r="D349" s="81"/>
      <c r="E349" s="81"/>
      <c r="F349" s="81"/>
      <c r="G349" s="81"/>
      <c r="H349" s="81"/>
      <c r="I349" s="161"/>
      <c r="J349" s="154" t="str">
        <f aca="false">IF(H349="","",ROUNDUP(H349*35%,0))</f>
        <v/>
      </c>
      <c r="K349" s="113"/>
      <c r="L349" s="113"/>
    </row>
    <row r="350" customFormat="false" ht="12.75" hidden="false" customHeight="true" outlineLevel="0" collapsed="false">
      <c r="A350" s="121" t="str">
        <f aca="false">IF(B350="","",CONCATENATE(COUNTA($B$4:B350),"."))</f>
        <v/>
      </c>
      <c r="B350" s="112"/>
      <c r="C350" s="112"/>
      <c r="D350" s="81"/>
      <c r="E350" s="81"/>
      <c r="F350" s="81"/>
      <c r="G350" s="81"/>
      <c r="H350" s="81"/>
      <c r="I350" s="161"/>
      <c r="J350" s="154" t="str">
        <f aca="false">IF(H350="","",ROUNDUP(H350*35%,0))</f>
        <v/>
      </c>
      <c r="K350" s="113"/>
      <c r="L350" s="113"/>
    </row>
    <row r="351" customFormat="false" ht="12.75" hidden="false" customHeight="true" outlineLevel="0" collapsed="false">
      <c r="A351" s="121" t="str">
        <f aca="false">IF(B351="","",CONCATENATE(COUNTA($B$4:B351),"."))</f>
        <v/>
      </c>
      <c r="B351" s="112"/>
      <c r="C351" s="112"/>
      <c r="D351" s="81"/>
      <c r="E351" s="81"/>
      <c r="F351" s="81"/>
      <c r="G351" s="81"/>
      <c r="H351" s="81"/>
      <c r="I351" s="161"/>
      <c r="J351" s="154" t="str">
        <f aca="false">IF(H351="","",ROUNDUP(H351*35%,0))</f>
        <v/>
      </c>
      <c r="K351" s="113"/>
      <c r="L351" s="113"/>
    </row>
    <row r="352" customFormat="false" ht="12.75" hidden="false" customHeight="true" outlineLevel="0" collapsed="false">
      <c r="A352" s="121" t="str">
        <f aca="false">IF(B352="","",CONCATENATE(COUNTA($B$4:B352),"."))</f>
        <v/>
      </c>
      <c r="B352" s="112"/>
      <c r="C352" s="112"/>
      <c r="D352" s="81"/>
      <c r="E352" s="81"/>
      <c r="F352" s="81"/>
      <c r="G352" s="81"/>
      <c r="H352" s="81"/>
      <c r="I352" s="161"/>
      <c r="J352" s="154" t="str">
        <f aca="false">IF(H352="","",ROUNDUP(H352*35%,0))</f>
        <v/>
      </c>
      <c r="K352" s="113"/>
      <c r="L352" s="113"/>
    </row>
    <row r="353" customFormat="false" ht="12.75" hidden="false" customHeight="true" outlineLevel="0" collapsed="false">
      <c r="A353" s="121" t="str">
        <f aca="false">IF(B353="","",CONCATENATE(COUNTA($B$4:B353),"."))</f>
        <v/>
      </c>
      <c r="B353" s="112"/>
      <c r="C353" s="112"/>
      <c r="D353" s="81"/>
      <c r="E353" s="81"/>
      <c r="F353" s="81"/>
      <c r="G353" s="81"/>
      <c r="H353" s="81"/>
      <c r="I353" s="161"/>
      <c r="J353" s="154" t="str">
        <f aca="false">IF(H353="","",ROUNDUP(H353*35%,0))</f>
        <v/>
      </c>
      <c r="K353" s="113"/>
      <c r="L353" s="113"/>
    </row>
    <row r="354" customFormat="false" ht="12.75" hidden="false" customHeight="true" outlineLevel="0" collapsed="false">
      <c r="A354" s="121" t="str">
        <f aca="false">IF(B354="","",CONCATENATE(COUNTA($B$4:B354),"."))</f>
        <v/>
      </c>
      <c r="B354" s="112"/>
      <c r="C354" s="112"/>
      <c r="D354" s="81"/>
      <c r="E354" s="81"/>
      <c r="F354" s="81"/>
      <c r="G354" s="81"/>
      <c r="H354" s="81"/>
      <c r="I354" s="161"/>
      <c r="J354" s="154" t="str">
        <f aca="false">IF(H354="","",ROUNDUP(H354*35%,0))</f>
        <v/>
      </c>
      <c r="K354" s="113"/>
      <c r="L354" s="113"/>
    </row>
    <row r="355" customFormat="false" ht="12.75" hidden="false" customHeight="true" outlineLevel="0" collapsed="false">
      <c r="A355" s="121" t="str">
        <f aca="false">IF(B355="","",CONCATENATE(COUNTA($B$4:B355),"."))</f>
        <v/>
      </c>
      <c r="B355" s="112"/>
      <c r="C355" s="112"/>
      <c r="D355" s="81"/>
      <c r="E355" s="81"/>
      <c r="F355" s="81"/>
      <c r="G355" s="81"/>
      <c r="H355" s="81"/>
      <c r="I355" s="161"/>
      <c r="J355" s="154" t="str">
        <f aca="false">IF(H355="","",ROUNDUP(H355*35%,0))</f>
        <v/>
      </c>
      <c r="K355" s="113"/>
      <c r="L355" s="113"/>
    </row>
    <row r="356" customFormat="false" ht="12.75" hidden="false" customHeight="true" outlineLevel="0" collapsed="false">
      <c r="A356" s="121" t="str">
        <f aca="false">IF(B356="","",CONCATENATE(COUNTA($B$4:B356),"."))</f>
        <v/>
      </c>
      <c r="B356" s="112"/>
      <c r="C356" s="112"/>
      <c r="D356" s="81"/>
      <c r="E356" s="81"/>
      <c r="F356" s="81"/>
      <c r="G356" s="81"/>
      <c r="H356" s="81"/>
      <c r="I356" s="161"/>
      <c r="J356" s="154" t="str">
        <f aca="false">IF(H356="","",ROUNDUP(H356*35%,0))</f>
        <v/>
      </c>
      <c r="K356" s="113"/>
      <c r="L356" s="113"/>
    </row>
    <row r="357" customFormat="false" ht="12.75" hidden="false" customHeight="true" outlineLevel="0" collapsed="false">
      <c r="A357" s="121" t="str">
        <f aca="false">IF(B357="","",CONCATENATE(COUNTA($B$4:B357),"."))</f>
        <v/>
      </c>
      <c r="B357" s="112"/>
      <c r="C357" s="112"/>
      <c r="D357" s="81"/>
      <c r="E357" s="81"/>
      <c r="F357" s="81"/>
      <c r="G357" s="81"/>
      <c r="H357" s="81"/>
      <c r="I357" s="161"/>
      <c r="J357" s="154" t="str">
        <f aca="false">IF(H357="","",ROUNDUP(H357*35%,0))</f>
        <v/>
      </c>
      <c r="K357" s="113"/>
      <c r="L357" s="113"/>
    </row>
    <row r="358" customFormat="false" ht="12.75" hidden="false" customHeight="true" outlineLevel="0" collapsed="false">
      <c r="A358" s="121" t="str">
        <f aca="false">IF(B358="","",CONCATENATE(COUNTA($B$4:B358),"."))</f>
        <v/>
      </c>
      <c r="B358" s="112"/>
      <c r="C358" s="112"/>
      <c r="D358" s="81"/>
      <c r="E358" s="81"/>
      <c r="F358" s="81"/>
      <c r="G358" s="81"/>
      <c r="H358" s="81"/>
      <c r="I358" s="161"/>
      <c r="J358" s="154" t="str">
        <f aca="false">IF(H358="","",ROUNDUP(H358*35%,0))</f>
        <v/>
      </c>
      <c r="K358" s="113"/>
      <c r="L358" s="113"/>
    </row>
    <row r="359" customFormat="false" ht="12.75" hidden="false" customHeight="true" outlineLevel="0" collapsed="false">
      <c r="A359" s="121" t="str">
        <f aca="false">IF(B359="","",CONCATENATE(COUNTA($B$4:B359),"."))</f>
        <v/>
      </c>
      <c r="B359" s="112"/>
      <c r="C359" s="112"/>
      <c r="D359" s="81"/>
      <c r="E359" s="81"/>
      <c r="F359" s="81"/>
      <c r="G359" s="81"/>
      <c r="H359" s="81"/>
      <c r="I359" s="161"/>
      <c r="J359" s="154" t="str">
        <f aca="false">IF(H359="","",ROUNDUP(H359*35%,0))</f>
        <v/>
      </c>
      <c r="K359" s="113"/>
      <c r="L359" s="113"/>
    </row>
    <row r="360" customFormat="false" ht="12.75" hidden="false" customHeight="true" outlineLevel="0" collapsed="false">
      <c r="A360" s="121" t="str">
        <f aca="false">IF(B360="","",CONCATENATE(COUNTA($B$4:B360),"."))</f>
        <v/>
      </c>
      <c r="B360" s="112"/>
      <c r="C360" s="112"/>
      <c r="D360" s="81"/>
      <c r="E360" s="81"/>
      <c r="F360" s="81"/>
      <c r="G360" s="81"/>
      <c r="H360" s="81"/>
      <c r="I360" s="161"/>
      <c r="J360" s="154" t="str">
        <f aca="false">IF(H360="","",ROUNDUP(H360*35%,0))</f>
        <v/>
      </c>
      <c r="K360" s="113"/>
      <c r="L360" s="113"/>
    </row>
    <row r="361" customFormat="false" ht="12.75" hidden="false" customHeight="true" outlineLevel="0" collapsed="false">
      <c r="A361" s="121" t="str">
        <f aca="false">IF(B361="","",CONCATENATE(COUNTA($B$4:B361),"."))</f>
        <v/>
      </c>
      <c r="B361" s="112"/>
      <c r="C361" s="112"/>
      <c r="D361" s="81"/>
      <c r="E361" s="81"/>
      <c r="F361" s="81"/>
      <c r="G361" s="81"/>
      <c r="H361" s="81"/>
      <c r="I361" s="161"/>
      <c r="J361" s="154" t="str">
        <f aca="false">IF(H361="","",ROUNDUP(H361*35%,0))</f>
        <v/>
      </c>
      <c r="K361" s="113"/>
      <c r="L361" s="113"/>
    </row>
    <row r="362" customFormat="false" ht="12.75" hidden="false" customHeight="true" outlineLevel="0" collapsed="false">
      <c r="A362" s="121" t="str">
        <f aca="false">IF(B362="","",CONCATENATE(COUNTA($B$4:B362),"."))</f>
        <v/>
      </c>
      <c r="B362" s="112"/>
      <c r="C362" s="112"/>
      <c r="D362" s="81"/>
      <c r="E362" s="81"/>
      <c r="F362" s="81"/>
      <c r="G362" s="81"/>
      <c r="H362" s="81"/>
      <c r="I362" s="161"/>
      <c r="J362" s="154" t="str">
        <f aca="false">IF(H362="","",ROUNDUP(H362*35%,0))</f>
        <v/>
      </c>
      <c r="K362" s="113"/>
      <c r="L362" s="113"/>
    </row>
    <row r="363" customFormat="false" ht="12.75" hidden="false" customHeight="true" outlineLevel="0" collapsed="false">
      <c r="A363" s="121" t="str">
        <f aca="false">IF(B363="","",CONCATENATE(COUNTA($B$4:B363),"."))</f>
        <v/>
      </c>
      <c r="B363" s="112"/>
      <c r="C363" s="112"/>
      <c r="D363" s="81"/>
      <c r="E363" s="81"/>
      <c r="F363" s="81"/>
      <c r="G363" s="81"/>
      <c r="H363" s="81"/>
      <c r="I363" s="161"/>
      <c r="J363" s="154" t="str">
        <f aca="false">IF(H363="","",ROUNDUP(H363*35%,0))</f>
        <v/>
      </c>
      <c r="K363" s="113"/>
      <c r="L363" s="113"/>
    </row>
    <row r="364" customFormat="false" ht="12.75" hidden="false" customHeight="true" outlineLevel="0" collapsed="false">
      <c r="A364" s="121" t="str">
        <f aca="false">IF(B364="","",CONCATENATE(COUNTA($B$4:B364),"."))</f>
        <v/>
      </c>
      <c r="B364" s="112"/>
      <c r="C364" s="112"/>
      <c r="D364" s="81"/>
      <c r="E364" s="81"/>
      <c r="F364" s="81"/>
      <c r="G364" s="81"/>
      <c r="H364" s="81"/>
      <c r="I364" s="161"/>
      <c r="J364" s="154" t="str">
        <f aca="false">IF(H364="","",ROUNDUP(H364*35%,0))</f>
        <v/>
      </c>
      <c r="K364" s="113"/>
      <c r="L364" s="113"/>
    </row>
    <row r="365" customFormat="false" ht="12.75" hidden="false" customHeight="true" outlineLevel="0" collapsed="false">
      <c r="A365" s="121" t="str">
        <f aca="false">IF(B365="","",CONCATENATE(COUNTA($B$4:B365),"."))</f>
        <v/>
      </c>
      <c r="B365" s="112"/>
      <c r="C365" s="112"/>
      <c r="D365" s="81"/>
      <c r="E365" s="81"/>
      <c r="F365" s="81"/>
      <c r="G365" s="81"/>
      <c r="H365" s="81"/>
      <c r="I365" s="161"/>
      <c r="J365" s="154" t="str">
        <f aca="false">IF(H365="","",ROUNDUP(H365*35%,0))</f>
        <v/>
      </c>
      <c r="K365" s="113"/>
      <c r="L365" s="113"/>
    </row>
    <row r="366" customFormat="false" ht="12.75" hidden="false" customHeight="true" outlineLevel="0" collapsed="false">
      <c r="A366" s="121" t="str">
        <f aca="false">IF(B366="","",CONCATENATE(COUNTA($B$4:B366),"."))</f>
        <v/>
      </c>
      <c r="B366" s="112"/>
      <c r="C366" s="112"/>
      <c r="D366" s="81"/>
      <c r="E366" s="81"/>
      <c r="F366" s="81"/>
      <c r="G366" s="81"/>
      <c r="H366" s="81"/>
      <c r="I366" s="161"/>
      <c r="J366" s="154" t="str">
        <f aca="false">IF(H366="","",ROUNDUP(H366*35%,0))</f>
        <v/>
      </c>
      <c r="K366" s="113"/>
      <c r="L366" s="113"/>
    </row>
    <row r="367" customFormat="false" ht="12.75" hidden="false" customHeight="true" outlineLevel="0" collapsed="false">
      <c r="A367" s="121" t="str">
        <f aca="false">IF(B367="","",CONCATENATE(COUNTA($B$4:B367),"."))</f>
        <v/>
      </c>
      <c r="B367" s="112"/>
      <c r="C367" s="112"/>
      <c r="D367" s="81"/>
      <c r="E367" s="81"/>
      <c r="F367" s="81"/>
      <c r="G367" s="81"/>
      <c r="H367" s="81"/>
      <c r="I367" s="161"/>
      <c r="J367" s="154" t="str">
        <f aca="false">IF(H367="","",ROUNDUP(H367*35%,0))</f>
        <v/>
      </c>
      <c r="K367" s="113"/>
      <c r="L367" s="113"/>
    </row>
    <row r="368" customFormat="false" ht="12.75" hidden="false" customHeight="true" outlineLevel="0" collapsed="false">
      <c r="A368" s="121" t="str">
        <f aca="false">IF(B368="","",CONCATENATE(COUNTA($B$4:B368),"."))</f>
        <v/>
      </c>
      <c r="B368" s="112"/>
      <c r="C368" s="112"/>
      <c r="D368" s="81"/>
      <c r="E368" s="81"/>
      <c r="F368" s="81"/>
      <c r="G368" s="81"/>
      <c r="H368" s="81"/>
      <c r="I368" s="161"/>
      <c r="J368" s="154" t="str">
        <f aca="false">IF(H368="","",ROUNDUP(H368*35%,0))</f>
        <v/>
      </c>
      <c r="K368" s="113"/>
      <c r="L368" s="113"/>
    </row>
    <row r="369" customFormat="false" ht="12.75" hidden="false" customHeight="true" outlineLevel="0" collapsed="false">
      <c r="A369" s="121" t="str">
        <f aca="false">IF(B369="","",CONCATENATE(COUNTA($B$4:B369),"."))</f>
        <v/>
      </c>
      <c r="B369" s="112"/>
      <c r="C369" s="112"/>
      <c r="D369" s="81"/>
      <c r="E369" s="81"/>
      <c r="F369" s="81"/>
      <c r="G369" s="81"/>
      <c r="H369" s="81"/>
      <c r="I369" s="161"/>
      <c r="J369" s="154" t="str">
        <f aca="false">IF(H369="","",ROUNDUP(H369*35%,0))</f>
        <v/>
      </c>
      <c r="K369" s="113"/>
      <c r="L369" s="113"/>
    </row>
    <row r="370" customFormat="false" ht="12.75" hidden="false" customHeight="true" outlineLevel="0" collapsed="false">
      <c r="A370" s="121" t="str">
        <f aca="false">IF(B370="","",CONCATENATE(COUNTA($B$4:B370),"."))</f>
        <v/>
      </c>
      <c r="B370" s="112"/>
      <c r="C370" s="112"/>
      <c r="D370" s="81"/>
      <c r="E370" s="81"/>
      <c r="F370" s="81"/>
      <c r="G370" s="81"/>
      <c r="H370" s="81"/>
      <c r="I370" s="161"/>
      <c r="J370" s="154" t="str">
        <f aca="false">IF(H370="","",ROUNDUP(H370*35%,0))</f>
        <v/>
      </c>
      <c r="K370" s="113"/>
      <c r="L370" s="113"/>
    </row>
    <row r="371" customFormat="false" ht="12.75" hidden="false" customHeight="true" outlineLevel="0" collapsed="false">
      <c r="A371" s="121" t="str">
        <f aca="false">IF(B371="","",CONCATENATE(COUNTA($B$4:B371),"."))</f>
        <v/>
      </c>
      <c r="B371" s="112"/>
      <c r="C371" s="112"/>
      <c r="D371" s="81"/>
      <c r="E371" s="81"/>
      <c r="F371" s="81"/>
      <c r="G371" s="81"/>
      <c r="H371" s="81"/>
      <c r="I371" s="161"/>
      <c r="J371" s="154" t="str">
        <f aca="false">IF(H371="","",ROUNDUP(H371*35%,0))</f>
        <v/>
      </c>
      <c r="K371" s="113"/>
      <c r="L371" s="113"/>
    </row>
    <row r="372" customFormat="false" ht="12.75" hidden="false" customHeight="true" outlineLevel="0" collapsed="false">
      <c r="A372" s="121" t="str">
        <f aca="false">IF(B372="","",CONCATENATE(COUNTA($B$4:B372),"."))</f>
        <v/>
      </c>
      <c r="B372" s="112"/>
      <c r="C372" s="112"/>
      <c r="D372" s="81"/>
      <c r="E372" s="81"/>
      <c r="F372" s="81"/>
      <c r="G372" s="81"/>
      <c r="H372" s="81"/>
      <c r="I372" s="161"/>
      <c r="J372" s="154" t="str">
        <f aca="false">IF(H372="","",ROUNDUP(H372*35%,0))</f>
        <v/>
      </c>
      <c r="K372" s="113"/>
      <c r="L372" s="113"/>
    </row>
    <row r="373" customFormat="false" ht="12.75" hidden="false" customHeight="true" outlineLevel="0" collapsed="false">
      <c r="A373" s="121" t="str">
        <f aca="false">IF(B373="","",CONCATENATE(COUNTA($B$4:B373),"."))</f>
        <v/>
      </c>
      <c r="B373" s="112"/>
      <c r="C373" s="112"/>
      <c r="D373" s="81"/>
      <c r="E373" s="81"/>
      <c r="F373" s="81"/>
      <c r="G373" s="81"/>
      <c r="H373" s="81"/>
      <c r="I373" s="161"/>
      <c r="J373" s="154" t="str">
        <f aca="false">IF(H373="","",ROUNDUP(H373*35%,0))</f>
        <v/>
      </c>
      <c r="K373" s="113"/>
      <c r="L373" s="113"/>
    </row>
    <row r="374" customFormat="false" ht="12.75" hidden="false" customHeight="true" outlineLevel="0" collapsed="false">
      <c r="A374" s="121" t="str">
        <f aca="false">IF(B374="","",CONCATENATE(COUNTA($B$4:B374),"."))</f>
        <v/>
      </c>
      <c r="B374" s="112"/>
      <c r="C374" s="112"/>
      <c r="D374" s="81"/>
      <c r="E374" s="81"/>
      <c r="F374" s="81"/>
      <c r="G374" s="81"/>
      <c r="H374" s="81"/>
      <c r="I374" s="161"/>
      <c r="J374" s="154" t="str">
        <f aca="false">IF(H374="","",ROUNDUP(H374*35%,0))</f>
        <v/>
      </c>
      <c r="K374" s="113"/>
      <c r="L374" s="113"/>
    </row>
    <row r="375" customFormat="false" ht="12.75" hidden="false" customHeight="true" outlineLevel="0" collapsed="false">
      <c r="A375" s="121" t="str">
        <f aca="false">IF(B375="","",CONCATENATE(COUNTA($B$4:B375),"."))</f>
        <v/>
      </c>
      <c r="B375" s="112"/>
      <c r="C375" s="112"/>
      <c r="D375" s="81"/>
      <c r="E375" s="81"/>
      <c r="F375" s="81"/>
      <c r="G375" s="81"/>
      <c r="H375" s="81"/>
      <c r="I375" s="161"/>
      <c r="J375" s="154" t="str">
        <f aca="false">IF(H375="","",ROUNDUP(H375*35%,0))</f>
        <v/>
      </c>
      <c r="K375" s="113"/>
      <c r="L375" s="113"/>
    </row>
    <row r="376" customFormat="false" ht="12.75" hidden="false" customHeight="true" outlineLevel="0" collapsed="false">
      <c r="A376" s="121" t="str">
        <f aca="false">IF(B376="","",CONCATENATE(COUNTA($B$4:B376),"."))</f>
        <v/>
      </c>
      <c r="B376" s="112"/>
      <c r="C376" s="112"/>
      <c r="D376" s="81"/>
      <c r="E376" s="81"/>
      <c r="F376" s="81"/>
      <c r="G376" s="81"/>
      <c r="H376" s="81"/>
      <c r="I376" s="161"/>
      <c r="J376" s="154" t="str">
        <f aca="false">IF(H376="","",ROUNDUP(H376*35%,0))</f>
        <v/>
      </c>
      <c r="K376" s="113"/>
      <c r="L376" s="113"/>
    </row>
    <row r="377" customFormat="false" ht="12.75" hidden="false" customHeight="true" outlineLevel="0" collapsed="false">
      <c r="A377" s="121" t="str">
        <f aca="false">IF(B377="","",CONCATENATE(COUNTA($B$4:B377),"."))</f>
        <v/>
      </c>
      <c r="B377" s="112"/>
      <c r="C377" s="112"/>
      <c r="D377" s="81"/>
      <c r="E377" s="81"/>
      <c r="F377" s="81"/>
      <c r="G377" s="81"/>
      <c r="H377" s="81"/>
      <c r="I377" s="161"/>
      <c r="J377" s="154" t="str">
        <f aca="false">IF(H377="","",ROUNDUP(H377*35%,0))</f>
        <v/>
      </c>
      <c r="K377" s="113"/>
      <c r="L377" s="113"/>
    </row>
    <row r="378" customFormat="false" ht="12.75" hidden="false" customHeight="true" outlineLevel="0" collapsed="false">
      <c r="A378" s="121" t="str">
        <f aca="false">IF(B378="","",CONCATENATE(COUNTA($B$4:B378),"."))</f>
        <v/>
      </c>
      <c r="B378" s="112"/>
      <c r="C378" s="112"/>
      <c r="D378" s="81"/>
      <c r="E378" s="81"/>
      <c r="F378" s="81"/>
      <c r="G378" s="81"/>
      <c r="H378" s="81"/>
      <c r="I378" s="161"/>
      <c r="J378" s="154" t="str">
        <f aca="false">IF(H378="","",ROUNDUP(H378*35%,0))</f>
        <v/>
      </c>
      <c r="K378" s="113"/>
      <c r="L378" s="113"/>
    </row>
    <row r="379" customFormat="false" ht="12.75" hidden="false" customHeight="true" outlineLevel="0" collapsed="false">
      <c r="A379" s="121" t="str">
        <f aca="false">IF(B379="","",CONCATENATE(COUNTA($B$4:B379),"."))</f>
        <v/>
      </c>
      <c r="B379" s="112"/>
      <c r="C379" s="112"/>
      <c r="D379" s="81"/>
      <c r="E379" s="81"/>
      <c r="F379" s="81"/>
      <c r="G379" s="81"/>
      <c r="H379" s="81"/>
      <c r="I379" s="161"/>
      <c r="J379" s="154" t="str">
        <f aca="false">IF(H379="","",ROUNDUP(H379*35%,0))</f>
        <v/>
      </c>
      <c r="K379" s="113"/>
      <c r="L379" s="113"/>
    </row>
    <row r="380" customFormat="false" ht="12.75" hidden="false" customHeight="true" outlineLevel="0" collapsed="false">
      <c r="A380" s="121" t="str">
        <f aca="false">IF(B380="","",CONCATENATE(COUNTA($B$4:B380),"."))</f>
        <v/>
      </c>
      <c r="B380" s="112"/>
      <c r="C380" s="112"/>
      <c r="D380" s="81"/>
      <c r="E380" s="81"/>
      <c r="F380" s="81"/>
      <c r="G380" s="81"/>
      <c r="H380" s="81"/>
      <c r="I380" s="161"/>
      <c r="J380" s="154" t="str">
        <f aca="false">IF(H380="","",ROUNDUP(H380*35%,0))</f>
        <v/>
      </c>
      <c r="K380" s="113"/>
      <c r="L380" s="113"/>
    </row>
    <row r="381" customFormat="false" ht="12.75" hidden="false" customHeight="true" outlineLevel="0" collapsed="false">
      <c r="A381" s="121" t="str">
        <f aca="false">IF(B381="","",CONCATENATE(COUNTA($B$4:B381),"."))</f>
        <v/>
      </c>
      <c r="B381" s="112"/>
      <c r="C381" s="112"/>
      <c r="D381" s="81"/>
      <c r="E381" s="81"/>
      <c r="F381" s="81"/>
      <c r="G381" s="81"/>
      <c r="H381" s="81"/>
      <c r="I381" s="161"/>
      <c r="J381" s="154" t="str">
        <f aca="false">IF(H381="","",ROUNDUP(H381*35%,0))</f>
        <v/>
      </c>
      <c r="K381" s="113"/>
      <c r="L381" s="113"/>
    </row>
    <row r="382" customFormat="false" ht="12.75" hidden="false" customHeight="true" outlineLevel="0" collapsed="false">
      <c r="A382" s="121" t="str">
        <f aca="false">IF(B382="","",CONCATENATE(COUNTA($B$4:B382),"."))</f>
        <v/>
      </c>
      <c r="B382" s="112"/>
      <c r="C382" s="112"/>
      <c r="D382" s="81"/>
      <c r="E382" s="81"/>
      <c r="F382" s="81"/>
      <c r="G382" s="81"/>
      <c r="H382" s="81"/>
      <c r="I382" s="161"/>
      <c r="J382" s="154" t="str">
        <f aca="false">IF(H382="","",ROUNDUP(H382*35%,0))</f>
        <v/>
      </c>
      <c r="K382" s="113"/>
      <c r="L382" s="113"/>
    </row>
    <row r="383" customFormat="false" ht="12.75" hidden="false" customHeight="true" outlineLevel="0" collapsed="false">
      <c r="A383" s="121" t="str">
        <f aca="false">IF(B383="","",CONCATENATE(COUNTA($B$4:B383),"."))</f>
        <v/>
      </c>
      <c r="B383" s="112"/>
      <c r="C383" s="112"/>
      <c r="D383" s="81"/>
      <c r="E383" s="81"/>
      <c r="F383" s="81"/>
      <c r="G383" s="81"/>
      <c r="H383" s="81"/>
      <c r="I383" s="161"/>
      <c r="J383" s="154" t="str">
        <f aca="false">IF(H383="","",ROUNDUP(H383*35%,0))</f>
        <v/>
      </c>
      <c r="K383" s="113"/>
      <c r="L383" s="113"/>
    </row>
    <row r="384" customFormat="false" ht="12.75" hidden="false" customHeight="true" outlineLevel="0" collapsed="false">
      <c r="A384" s="121" t="str">
        <f aca="false">IF(B384="","",CONCATENATE(COUNTA($B$4:B384),"."))</f>
        <v/>
      </c>
      <c r="B384" s="112"/>
      <c r="C384" s="112"/>
      <c r="D384" s="81"/>
      <c r="E384" s="81"/>
      <c r="F384" s="81"/>
      <c r="G384" s="81"/>
      <c r="H384" s="81"/>
      <c r="I384" s="161"/>
      <c r="J384" s="154" t="str">
        <f aca="false">IF(H384="","",ROUNDUP(H384*35%,0))</f>
        <v/>
      </c>
      <c r="K384" s="113"/>
      <c r="L384" s="113"/>
    </row>
    <row r="385" customFormat="false" ht="12.75" hidden="false" customHeight="true" outlineLevel="0" collapsed="false">
      <c r="A385" s="121" t="str">
        <f aca="false">IF(B385="","",CONCATENATE(COUNTA($B$4:B385),"."))</f>
        <v/>
      </c>
      <c r="B385" s="112"/>
      <c r="C385" s="112"/>
      <c r="D385" s="81"/>
      <c r="E385" s="81"/>
      <c r="F385" s="81"/>
      <c r="G385" s="81"/>
      <c r="H385" s="81"/>
      <c r="I385" s="161"/>
      <c r="J385" s="154" t="str">
        <f aca="false">IF(H385="","",ROUNDUP(H385*35%,0))</f>
        <v/>
      </c>
      <c r="K385" s="113"/>
      <c r="L385" s="113"/>
    </row>
    <row r="386" customFormat="false" ht="12.75" hidden="false" customHeight="true" outlineLevel="0" collapsed="false">
      <c r="A386" s="121" t="str">
        <f aca="false">IF(B386="","",CONCATENATE(COUNTA($B$4:B386),"."))</f>
        <v/>
      </c>
      <c r="B386" s="112"/>
      <c r="C386" s="112"/>
      <c r="D386" s="81"/>
      <c r="E386" s="81"/>
      <c r="F386" s="81"/>
      <c r="G386" s="81"/>
      <c r="H386" s="81"/>
      <c r="I386" s="161"/>
      <c r="J386" s="154" t="str">
        <f aca="false">IF(H386="","",ROUNDUP(H386*35%,0))</f>
        <v/>
      </c>
      <c r="K386" s="113"/>
      <c r="L386" s="113"/>
    </row>
    <row r="387" customFormat="false" ht="12.75" hidden="false" customHeight="true" outlineLevel="0" collapsed="false">
      <c r="A387" s="121" t="str">
        <f aca="false">IF(B387="","",CONCATENATE(COUNTA($B$4:B387),"."))</f>
        <v/>
      </c>
      <c r="B387" s="112"/>
      <c r="C387" s="112"/>
      <c r="D387" s="81"/>
      <c r="E387" s="81"/>
      <c r="F387" s="81"/>
      <c r="G387" s="81"/>
      <c r="H387" s="81"/>
      <c r="I387" s="161"/>
      <c r="J387" s="154" t="str">
        <f aca="false">IF(H387="","",ROUNDUP(H387*35%,0))</f>
        <v/>
      </c>
      <c r="K387" s="113"/>
      <c r="L387" s="113"/>
    </row>
    <row r="388" customFormat="false" ht="12.75" hidden="false" customHeight="true" outlineLevel="0" collapsed="false">
      <c r="A388" s="121" t="str">
        <f aca="false">IF(B388="","",CONCATENATE(COUNTA($B$4:B388),"."))</f>
        <v/>
      </c>
      <c r="B388" s="112"/>
      <c r="C388" s="112"/>
      <c r="D388" s="81"/>
      <c r="E388" s="81"/>
      <c r="F388" s="81"/>
      <c r="G388" s="81"/>
      <c r="H388" s="81"/>
      <c r="I388" s="161"/>
      <c r="J388" s="154" t="str">
        <f aca="false">IF(H388="","",ROUNDUP(H388*35%,0))</f>
        <v/>
      </c>
      <c r="K388" s="113"/>
      <c r="L388" s="113"/>
    </row>
    <row r="389" customFormat="false" ht="12.75" hidden="false" customHeight="true" outlineLevel="0" collapsed="false">
      <c r="A389" s="121" t="str">
        <f aca="false">IF(B389="","",CONCATENATE(COUNTA($B$4:B389),"."))</f>
        <v/>
      </c>
      <c r="B389" s="112"/>
      <c r="C389" s="112"/>
      <c r="D389" s="81"/>
      <c r="E389" s="81"/>
      <c r="F389" s="81"/>
      <c r="G389" s="81"/>
      <c r="H389" s="81"/>
      <c r="I389" s="161"/>
      <c r="J389" s="154" t="str">
        <f aca="false">IF(H389="","",ROUNDUP(H389*35%,0))</f>
        <v/>
      </c>
      <c r="K389" s="113"/>
      <c r="L389" s="113"/>
    </row>
    <row r="390" customFormat="false" ht="12.75" hidden="false" customHeight="true" outlineLevel="0" collapsed="false">
      <c r="A390" s="121" t="str">
        <f aca="false">IF(B390="","",CONCATENATE(COUNTA($B$4:B390),"."))</f>
        <v/>
      </c>
      <c r="B390" s="112"/>
      <c r="C390" s="112"/>
      <c r="D390" s="81"/>
      <c r="E390" s="81"/>
      <c r="F390" s="81"/>
      <c r="G390" s="81"/>
      <c r="H390" s="81"/>
      <c r="I390" s="161"/>
      <c r="J390" s="154" t="str">
        <f aca="false">IF(H390="","",ROUNDUP(H390*35%,0))</f>
        <v/>
      </c>
      <c r="K390" s="113"/>
      <c r="L390" s="113"/>
    </row>
    <row r="391" customFormat="false" ht="12.75" hidden="false" customHeight="true" outlineLevel="0" collapsed="false">
      <c r="A391" s="121" t="str">
        <f aca="false">IF(B391="","",CONCATENATE(COUNTA($B$4:B391),"."))</f>
        <v/>
      </c>
      <c r="B391" s="112"/>
      <c r="C391" s="112"/>
      <c r="D391" s="81"/>
      <c r="E391" s="81"/>
      <c r="F391" s="81"/>
      <c r="G391" s="81"/>
      <c r="H391" s="81"/>
      <c r="I391" s="161"/>
      <c r="J391" s="154" t="str">
        <f aca="false">IF(H391="","",ROUNDUP(H391*35%,0))</f>
        <v/>
      </c>
      <c r="K391" s="113"/>
      <c r="L391" s="113"/>
    </row>
    <row r="392" customFormat="false" ht="12.75" hidden="false" customHeight="true" outlineLevel="0" collapsed="false">
      <c r="A392" s="121" t="str">
        <f aca="false">IF(B392="","",CONCATENATE(COUNTA($B$4:B392),"."))</f>
        <v/>
      </c>
      <c r="B392" s="112"/>
      <c r="C392" s="112"/>
      <c r="D392" s="81"/>
      <c r="E392" s="81"/>
      <c r="F392" s="81"/>
      <c r="G392" s="81"/>
      <c r="H392" s="81"/>
      <c r="I392" s="161"/>
      <c r="J392" s="154" t="str">
        <f aca="false">IF(H392="","",ROUNDUP(H392*35%,0))</f>
        <v/>
      </c>
      <c r="K392" s="113"/>
      <c r="L392" s="113"/>
    </row>
    <row r="393" customFormat="false" ht="12.75" hidden="false" customHeight="true" outlineLevel="0" collapsed="false">
      <c r="A393" s="121" t="str">
        <f aca="false">IF(B393="","",CONCATENATE(COUNTA($B$4:B393),"."))</f>
        <v/>
      </c>
      <c r="B393" s="112"/>
      <c r="C393" s="112"/>
      <c r="D393" s="81"/>
      <c r="E393" s="81"/>
      <c r="F393" s="81"/>
      <c r="G393" s="81"/>
      <c r="H393" s="81"/>
      <c r="I393" s="161"/>
      <c r="J393" s="154" t="str">
        <f aca="false">IF(H393="","",ROUNDUP(H393*35%,0))</f>
        <v/>
      </c>
      <c r="K393" s="113"/>
      <c r="L393" s="113"/>
    </row>
    <row r="394" customFormat="false" ht="12.75" hidden="false" customHeight="true" outlineLevel="0" collapsed="false">
      <c r="A394" s="121" t="str">
        <f aca="false">IF(B394="","",CONCATENATE(COUNTA($B$4:B394),"."))</f>
        <v/>
      </c>
      <c r="B394" s="112"/>
      <c r="C394" s="112"/>
      <c r="D394" s="81"/>
      <c r="E394" s="81"/>
      <c r="F394" s="81"/>
      <c r="G394" s="81"/>
      <c r="H394" s="81"/>
      <c r="I394" s="161"/>
      <c r="J394" s="154" t="str">
        <f aca="false">IF(H394="","",ROUNDUP(H394*35%,0))</f>
        <v/>
      </c>
      <c r="K394" s="113"/>
      <c r="L394" s="113"/>
    </row>
    <row r="395" customFormat="false" ht="12.75" hidden="false" customHeight="true" outlineLevel="0" collapsed="false">
      <c r="A395" s="121" t="str">
        <f aca="false">IF(B395="","",CONCATENATE(COUNTA($B$4:B395),"."))</f>
        <v/>
      </c>
      <c r="B395" s="112"/>
      <c r="C395" s="112"/>
      <c r="D395" s="81"/>
      <c r="E395" s="81"/>
      <c r="F395" s="81"/>
      <c r="G395" s="81"/>
      <c r="H395" s="81"/>
      <c r="I395" s="161"/>
      <c r="J395" s="154" t="str">
        <f aca="false">IF(H395="","",ROUNDUP(H395*35%,0))</f>
        <v/>
      </c>
      <c r="K395" s="113"/>
      <c r="L395" s="113"/>
    </row>
    <row r="396" customFormat="false" ht="12.75" hidden="false" customHeight="true" outlineLevel="0" collapsed="false">
      <c r="A396" s="121" t="str">
        <f aca="false">IF(B396="","",CONCATENATE(COUNTA($B$4:B396),"."))</f>
        <v/>
      </c>
      <c r="B396" s="112"/>
      <c r="C396" s="112"/>
      <c r="D396" s="81"/>
      <c r="E396" s="81"/>
      <c r="F396" s="81"/>
      <c r="G396" s="81"/>
      <c r="H396" s="81"/>
      <c r="I396" s="161"/>
      <c r="J396" s="154" t="str">
        <f aca="false">IF(H396="","",ROUNDUP(H396*35%,0))</f>
        <v/>
      </c>
      <c r="K396" s="113"/>
      <c r="L396" s="113"/>
    </row>
    <row r="397" customFormat="false" ht="12.75" hidden="false" customHeight="true" outlineLevel="0" collapsed="false">
      <c r="A397" s="121" t="str">
        <f aca="false">IF(B397="","",CONCATENATE(COUNTA($B$4:B397),"."))</f>
        <v/>
      </c>
      <c r="B397" s="112"/>
      <c r="C397" s="112"/>
      <c r="D397" s="81"/>
      <c r="E397" s="81"/>
      <c r="F397" s="81"/>
      <c r="G397" s="81"/>
      <c r="H397" s="81"/>
      <c r="I397" s="161"/>
      <c r="J397" s="154" t="str">
        <f aca="false">IF(H397="","",ROUNDUP(H397*35%,0))</f>
        <v/>
      </c>
      <c r="K397" s="113"/>
      <c r="L397" s="113"/>
    </row>
    <row r="398" customFormat="false" ht="12.75" hidden="false" customHeight="true" outlineLevel="0" collapsed="false">
      <c r="A398" s="121" t="str">
        <f aca="false">IF(B398="","",CONCATENATE(COUNTA($B$4:B398),"."))</f>
        <v/>
      </c>
      <c r="B398" s="112"/>
      <c r="C398" s="112"/>
      <c r="D398" s="81"/>
      <c r="E398" s="81"/>
      <c r="F398" s="81"/>
      <c r="G398" s="81"/>
      <c r="H398" s="81"/>
      <c r="I398" s="161"/>
      <c r="J398" s="154" t="str">
        <f aca="false">IF(H398="","",ROUNDUP(H398*35%,0))</f>
        <v/>
      </c>
      <c r="K398" s="113"/>
      <c r="L398" s="113"/>
    </row>
    <row r="399" customFormat="false" ht="12.75" hidden="false" customHeight="true" outlineLevel="0" collapsed="false">
      <c r="A399" s="121" t="str">
        <f aca="false">IF(B399="","",CONCATENATE(COUNTA($B$4:B399),"."))</f>
        <v/>
      </c>
      <c r="B399" s="112"/>
      <c r="C399" s="112"/>
      <c r="D399" s="81"/>
      <c r="E399" s="81"/>
      <c r="F399" s="81"/>
      <c r="G399" s="81"/>
      <c r="H399" s="81"/>
      <c r="I399" s="161"/>
      <c r="J399" s="154" t="str">
        <f aca="false">IF(H399="","",ROUNDUP(H399*35%,0))</f>
        <v/>
      </c>
      <c r="K399" s="113"/>
      <c r="L399" s="113"/>
    </row>
    <row r="400" customFormat="false" ht="12.75" hidden="false" customHeight="true" outlineLevel="0" collapsed="false">
      <c r="A400" s="121" t="str">
        <f aca="false">IF(B400="","",CONCATENATE(COUNTA($B$4:B400),"."))</f>
        <v/>
      </c>
      <c r="B400" s="112"/>
      <c r="C400" s="112"/>
      <c r="D400" s="81"/>
      <c r="E400" s="81"/>
      <c r="F400" s="81"/>
      <c r="G400" s="81"/>
      <c r="H400" s="81"/>
      <c r="I400" s="161"/>
      <c r="J400" s="154" t="str">
        <f aca="false">IF(H400="","",ROUNDUP(H400*35%,0))</f>
        <v/>
      </c>
      <c r="K400" s="113"/>
      <c r="L400" s="113"/>
    </row>
    <row r="401" customFormat="false" ht="12.75" hidden="false" customHeight="true" outlineLevel="0" collapsed="false">
      <c r="A401" s="121" t="str">
        <f aca="false">IF(B401="","",CONCATENATE(COUNTA($B$4:B401),"."))</f>
        <v/>
      </c>
      <c r="B401" s="112"/>
      <c r="C401" s="112"/>
      <c r="D401" s="81"/>
      <c r="E401" s="81"/>
      <c r="F401" s="81"/>
      <c r="G401" s="81"/>
      <c r="H401" s="81"/>
      <c r="I401" s="161"/>
      <c r="J401" s="154" t="str">
        <f aca="false">IF(H401="","",ROUNDUP(H401*35%,0))</f>
        <v/>
      </c>
      <c r="K401" s="113"/>
      <c r="L401" s="113"/>
    </row>
    <row r="402" customFormat="false" ht="12.75" hidden="false" customHeight="true" outlineLevel="0" collapsed="false">
      <c r="A402" s="121" t="str">
        <f aca="false">IF(B402="","",CONCATENATE(COUNTA($B$4:B402),"."))</f>
        <v/>
      </c>
      <c r="B402" s="112"/>
      <c r="C402" s="112"/>
      <c r="D402" s="81"/>
      <c r="E402" s="81"/>
      <c r="F402" s="81"/>
      <c r="G402" s="81"/>
      <c r="H402" s="81"/>
      <c r="I402" s="161"/>
      <c r="J402" s="154" t="str">
        <f aca="false">IF(H402="","",ROUNDUP(H402*35%,0))</f>
        <v/>
      </c>
      <c r="K402" s="113"/>
      <c r="L402" s="113"/>
    </row>
    <row r="403" customFormat="false" ht="12.75" hidden="false" customHeight="true" outlineLevel="0" collapsed="false">
      <c r="A403" s="121" t="str">
        <f aca="false">IF(B403="","",CONCATENATE(COUNTA($B$4:B403),"."))</f>
        <v/>
      </c>
      <c r="B403" s="112"/>
      <c r="C403" s="112"/>
      <c r="D403" s="81"/>
      <c r="E403" s="81"/>
      <c r="F403" s="81"/>
      <c r="G403" s="81"/>
      <c r="H403" s="81"/>
      <c r="I403" s="161"/>
      <c r="J403" s="154" t="str">
        <f aca="false">IF(H403="","",ROUNDUP(H403*35%,0))</f>
        <v/>
      </c>
      <c r="K403" s="113"/>
      <c r="L403" s="113"/>
    </row>
    <row r="404" customFormat="false" ht="12.75" hidden="false" customHeight="true" outlineLevel="0" collapsed="false">
      <c r="A404" s="121" t="str">
        <f aca="false">IF(B404="","",CONCATENATE(COUNTA($B$4:B404),"."))</f>
        <v/>
      </c>
      <c r="B404" s="112"/>
      <c r="C404" s="112"/>
      <c r="D404" s="81"/>
      <c r="E404" s="81"/>
      <c r="F404" s="81"/>
      <c r="G404" s="81"/>
      <c r="H404" s="81"/>
      <c r="I404" s="161"/>
      <c r="J404" s="154" t="str">
        <f aca="false">IF(H404="","",ROUNDUP(H404*35%,0))</f>
        <v/>
      </c>
      <c r="K404" s="113"/>
      <c r="L404" s="113"/>
    </row>
    <row r="405" customFormat="false" ht="12.75" hidden="false" customHeight="true" outlineLevel="0" collapsed="false">
      <c r="A405" s="121" t="str">
        <f aca="false">IF(B405="","",CONCATENATE(COUNTA($B$4:B405),"."))</f>
        <v/>
      </c>
      <c r="B405" s="112"/>
      <c r="C405" s="112"/>
      <c r="D405" s="81"/>
      <c r="E405" s="81"/>
      <c r="F405" s="81"/>
      <c r="G405" s="81"/>
      <c r="H405" s="81"/>
      <c r="I405" s="161"/>
      <c r="J405" s="154" t="str">
        <f aca="false">IF(H405="","",ROUNDUP(H405*35%,0))</f>
        <v/>
      </c>
      <c r="K405" s="113"/>
      <c r="L405" s="113"/>
    </row>
    <row r="406" customFormat="false" ht="12.75" hidden="false" customHeight="true" outlineLevel="0" collapsed="false">
      <c r="A406" s="121" t="str">
        <f aca="false">IF(B406="","",CONCATENATE(COUNTA($B$4:B406),"."))</f>
        <v/>
      </c>
      <c r="B406" s="112"/>
      <c r="C406" s="112"/>
      <c r="D406" s="81"/>
      <c r="E406" s="81"/>
      <c r="F406" s="81"/>
      <c r="G406" s="81"/>
      <c r="H406" s="81"/>
      <c r="I406" s="161"/>
      <c r="J406" s="154" t="str">
        <f aca="false">IF(H406="","",ROUNDUP(H406*35%,0))</f>
        <v/>
      </c>
      <c r="K406" s="113"/>
      <c r="L406" s="113"/>
    </row>
    <row r="407" customFormat="false" ht="12.75" hidden="false" customHeight="true" outlineLevel="0" collapsed="false">
      <c r="A407" s="121" t="str">
        <f aca="false">IF(B407="","",CONCATENATE(COUNTA($B$4:B407),"."))</f>
        <v/>
      </c>
      <c r="B407" s="112"/>
      <c r="C407" s="112"/>
      <c r="D407" s="81"/>
      <c r="E407" s="81"/>
      <c r="F407" s="81"/>
      <c r="G407" s="81"/>
      <c r="H407" s="81"/>
      <c r="I407" s="161"/>
      <c r="J407" s="154" t="str">
        <f aca="false">IF(H407="","",ROUNDUP(H407*35%,0))</f>
        <v/>
      </c>
      <c r="K407" s="113"/>
      <c r="L407" s="113"/>
    </row>
    <row r="408" customFormat="false" ht="12.75" hidden="false" customHeight="true" outlineLevel="0" collapsed="false">
      <c r="A408" s="121" t="str">
        <f aca="false">IF(B408="","",CONCATENATE(COUNTA($B$4:B408),"."))</f>
        <v/>
      </c>
      <c r="B408" s="112"/>
      <c r="C408" s="112"/>
      <c r="D408" s="81"/>
      <c r="E408" s="81"/>
      <c r="F408" s="81"/>
      <c r="G408" s="81"/>
      <c r="H408" s="81"/>
      <c r="I408" s="161"/>
      <c r="J408" s="154" t="str">
        <f aca="false">IF(H408="","",ROUNDUP(H408*35%,0))</f>
        <v/>
      </c>
      <c r="K408" s="113"/>
      <c r="L408" s="113"/>
    </row>
    <row r="409" customFormat="false" ht="12.75" hidden="false" customHeight="true" outlineLevel="0" collapsed="false">
      <c r="A409" s="121" t="str">
        <f aca="false">IF(B409="","",CONCATENATE(COUNTA($B$4:B409),"."))</f>
        <v/>
      </c>
      <c r="B409" s="112"/>
      <c r="C409" s="112"/>
      <c r="D409" s="81"/>
      <c r="E409" s="81"/>
      <c r="F409" s="81"/>
      <c r="G409" s="81"/>
      <c r="H409" s="81"/>
      <c r="I409" s="161"/>
      <c r="J409" s="154" t="str">
        <f aca="false">IF(H409="","",ROUNDUP(H409*35%,0))</f>
        <v/>
      </c>
      <c r="K409" s="113"/>
      <c r="L409" s="113"/>
    </row>
    <row r="410" customFormat="false" ht="12.75" hidden="false" customHeight="true" outlineLevel="0" collapsed="false">
      <c r="A410" s="121" t="str">
        <f aca="false">IF(B410="","",CONCATENATE(COUNTA($B$4:B410),"."))</f>
        <v/>
      </c>
      <c r="B410" s="112"/>
      <c r="C410" s="112"/>
      <c r="D410" s="81"/>
      <c r="E410" s="81"/>
      <c r="F410" s="81"/>
      <c r="G410" s="81"/>
      <c r="H410" s="81"/>
      <c r="I410" s="161"/>
      <c r="J410" s="154" t="str">
        <f aca="false">IF(H410="","",ROUNDUP(H410*35%,0))</f>
        <v/>
      </c>
      <c r="K410" s="113"/>
      <c r="L410" s="113"/>
    </row>
    <row r="411" customFormat="false" ht="12.75" hidden="false" customHeight="true" outlineLevel="0" collapsed="false">
      <c r="A411" s="121" t="str">
        <f aca="false">IF(B411="","",CONCATENATE(COUNTA($B$4:B411),"."))</f>
        <v/>
      </c>
      <c r="B411" s="112"/>
      <c r="C411" s="112"/>
      <c r="D411" s="81"/>
      <c r="E411" s="81"/>
      <c r="F411" s="81"/>
      <c r="G411" s="81"/>
      <c r="H411" s="81"/>
      <c r="I411" s="161"/>
      <c r="J411" s="154" t="str">
        <f aca="false">IF(H411="","",ROUNDUP(H411*35%,0))</f>
        <v/>
      </c>
      <c r="K411" s="113"/>
      <c r="L411" s="113"/>
    </row>
    <row r="412" customFormat="false" ht="12.75" hidden="false" customHeight="true" outlineLevel="0" collapsed="false">
      <c r="A412" s="121" t="str">
        <f aca="false">IF(B412="","",CONCATENATE(COUNTA($B$4:B412),"."))</f>
        <v/>
      </c>
      <c r="B412" s="112"/>
      <c r="C412" s="112"/>
      <c r="D412" s="81"/>
      <c r="E412" s="81"/>
      <c r="F412" s="81"/>
      <c r="G412" s="81"/>
      <c r="H412" s="81"/>
      <c r="I412" s="161"/>
      <c r="J412" s="154" t="str">
        <f aca="false">IF(H412="","",ROUNDUP(H412*35%,0))</f>
        <v/>
      </c>
      <c r="K412" s="113"/>
      <c r="L412" s="113"/>
    </row>
    <row r="413" customFormat="false" ht="12.75" hidden="false" customHeight="true" outlineLevel="0" collapsed="false">
      <c r="A413" s="121" t="str">
        <f aca="false">IF(B413="","",CONCATENATE(COUNTA($B$4:B413),"."))</f>
        <v/>
      </c>
      <c r="B413" s="112"/>
      <c r="C413" s="112"/>
      <c r="D413" s="81"/>
      <c r="E413" s="81"/>
      <c r="F413" s="81"/>
      <c r="G413" s="81"/>
      <c r="H413" s="81"/>
      <c r="I413" s="161"/>
      <c r="J413" s="154" t="str">
        <f aca="false">IF(H413="","",ROUNDUP(H413*35%,0))</f>
        <v/>
      </c>
      <c r="K413" s="113"/>
      <c r="L413" s="113"/>
    </row>
    <row r="414" customFormat="false" ht="12.75" hidden="false" customHeight="true" outlineLevel="0" collapsed="false">
      <c r="A414" s="121" t="str">
        <f aca="false">IF(B414="","",CONCATENATE(COUNTA($B$4:B414),"."))</f>
        <v/>
      </c>
      <c r="B414" s="112"/>
      <c r="C414" s="112"/>
      <c r="D414" s="81"/>
      <c r="E414" s="81"/>
      <c r="F414" s="81"/>
      <c r="G414" s="81"/>
      <c r="H414" s="81"/>
      <c r="I414" s="161"/>
      <c r="J414" s="154" t="str">
        <f aca="false">IF(H414="","",ROUNDUP(H414*35%,0))</f>
        <v/>
      </c>
      <c r="K414" s="113"/>
      <c r="L414" s="113"/>
    </row>
    <row r="415" customFormat="false" ht="12.75" hidden="false" customHeight="true" outlineLevel="0" collapsed="false">
      <c r="A415" s="121" t="str">
        <f aca="false">IF(B415="","",CONCATENATE(COUNTA($B$4:B415),"."))</f>
        <v/>
      </c>
      <c r="B415" s="112"/>
      <c r="C415" s="112"/>
      <c r="D415" s="81"/>
      <c r="E415" s="81"/>
      <c r="F415" s="81"/>
      <c r="G415" s="81"/>
      <c r="H415" s="81"/>
      <c r="I415" s="161"/>
      <c r="J415" s="154" t="str">
        <f aca="false">IF(H415="","",ROUNDUP(H415*35%,0))</f>
        <v/>
      </c>
      <c r="K415" s="113"/>
      <c r="L415" s="113"/>
    </row>
    <row r="416" customFormat="false" ht="12.75" hidden="false" customHeight="true" outlineLevel="0" collapsed="false">
      <c r="A416" s="121" t="str">
        <f aca="false">IF(B416="","",CONCATENATE(COUNTA($B$4:B416),"."))</f>
        <v/>
      </c>
      <c r="B416" s="112"/>
      <c r="C416" s="112"/>
      <c r="D416" s="81"/>
      <c r="E416" s="81"/>
      <c r="F416" s="81"/>
      <c r="G416" s="81"/>
      <c r="H416" s="81"/>
      <c r="I416" s="161"/>
      <c r="J416" s="154" t="str">
        <f aca="false">IF(H416="","",ROUNDUP(H416*35%,0))</f>
        <v/>
      </c>
      <c r="K416" s="113"/>
      <c r="L416" s="113"/>
    </row>
    <row r="417" customFormat="false" ht="12.75" hidden="false" customHeight="true" outlineLevel="0" collapsed="false">
      <c r="A417" s="121" t="str">
        <f aca="false">IF(B417="","",CONCATENATE(COUNTA($B$4:B417),"."))</f>
        <v/>
      </c>
      <c r="B417" s="112"/>
      <c r="C417" s="112"/>
      <c r="D417" s="81"/>
      <c r="E417" s="81"/>
      <c r="F417" s="81"/>
      <c r="G417" s="81"/>
      <c r="H417" s="81"/>
      <c r="I417" s="161"/>
      <c r="J417" s="154" t="str">
        <f aca="false">IF(H417="","",ROUNDUP(H417*35%,0))</f>
        <v/>
      </c>
      <c r="K417" s="113"/>
      <c r="L417" s="113"/>
    </row>
    <row r="418" customFormat="false" ht="12.75" hidden="false" customHeight="true" outlineLevel="0" collapsed="false">
      <c r="A418" s="121" t="str">
        <f aca="false">IF(B418="","",CONCATENATE(COUNTA($B$4:B418),"."))</f>
        <v/>
      </c>
      <c r="B418" s="112"/>
      <c r="C418" s="112"/>
      <c r="D418" s="81"/>
      <c r="E418" s="81"/>
      <c r="F418" s="81"/>
      <c r="G418" s="81"/>
      <c r="H418" s="81"/>
      <c r="I418" s="161"/>
      <c r="J418" s="154" t="str">
        <f aca="false">IF(H418="","",ROUNDUP(H418*35%,0))</f>
        <v/>
      </c>
      <c r="K418" s="113"/>
      <c r="L418" s="113"/>
    </row>
    <row r="419" customFormat="false" ht="12.75" hidden="false" customHeight="true" outlineLevel="0" collapsed="false">
      <c r="A419" s="121" t="str">
        <f aca="false">IF(B419="","",CONCATENATE(COUNTA($B$4:B419),"."))</f>
        <v/>
      </c>
      <c r="B419" s="112"/>
      <c r="C419" s="112"/>
      <c r="D419" s="81"/>
      <c r="E419" s="81"/>
      <c r="F419" s="81"/>
      <c r="G419" s="81"/>
      <c r="H419" s="81"/>
      <c r="I419" s="161"/>
      <c r="J419" s="154" t="str">
        <f aca="false">IF(H419="","",ROUNDUP(H419*35%,0))</f>
        <v/>
      </c>
      <c r="K419" s="113"/>
      <c r="L419" s="113"/>
    </row>
    <row r="420" customFormat="false" ht="12.75" hidden="false" customHeight="true" outlineLevel="0" collapsed="false">
      <c r="A420" s="121" t="str">
        <f aca="false">IF(B420="","",CONCATENATE(COUNTA($B$4:B420),"."))</f>
        <v/>
      </c>
      <c r="B420" s="112"/>
      <c r="C420" s="112"/>
      <c r="D420" s="81"/>
      <c r="E420" s="81"/>
      <c r="F420" s="81"/>
      <c r="G420" s="81"/>
      <c r="H420" s="81"/>
      <c r="I420" s="161"/>
      <c r="J420" s="154" t="str">
        <f aca="false">IF(H420="","",ROUNDUP(H420*35%,0))</f>
        <v/>
      </c>
      <c r="K420" s="113"/>
      <c r="L420" s="113"/>
    </row>
    <row r="421" customFormat="false" ht="12.75" hidden="false" customHeight="true" outlineLevel="0" collapsed="false">
      <c r="A421" s="121" t="str">
        <f aca="false">IF(B421="","",CONCATENATE(COUNTA($B$4:B421),"."))</f>
        <v/>
      </c>
      <c r="B421" s="112"/>
      <c r="C421" s="112"/>
      <c r="D421" s="81"/>
      <c r="E421" s="81"/>
      <c r="F421" s="81"/>
      <c r="G421" s="81"/>
      <c r="H421" s="81"/>
      <c r="I421" s="161"/>
      <c r="J421" s="154" t="str">
        <f aca="false">IF(H421="","",ROUNDUP(H421*35%,0))</f>
        <v/>
      </c>
      <c r="K421" s="113"/>
      <c r="L421" s="113"/>
    </row>
    <row r="422" customFormat="false" ht="12.75" hidden="false" customHeight="true" outlineLevel="0" collapsed="false">
      <c r="A422" s="121" t="str">
        <f aca="false">IF(B422="","",CONCATENATE(COUNTA($B$4:B422),"."))</f>
        <v/>
      </c>
      <c r="B422" s="112"/>
      <c r="C422" s="112"/>
      <c r="D422" s="81"/>
      <c r="E422" s="81"/>
      <c r="F422" s="81"/>
      <c r="G422" s="81"/>
      <c r="H422" s="81"/>
      <c r="I422" s="161"/>
      <c r="J422" s="154" t="str">
        <f aca="false">IF(H422="","",ROUNDUP(H422*35%,0))</f>
        <v/>
      </c>
      <c r="K422" s="113"/>
      <c r="L422" s="113"/>
    </row>
    <row r="423" customFormat="false" ht="12.75" hidden="false" customHeight="true" outlineLevel="0" collapsed="false">
      <c r="A423" s="121" t="str">
        <f aca="false">IF(B423="","",CONCATENATE(COUNTA($B$4:B423),"."))</f>
        <v/>
      </c>
      <c r="B423" s="112"/>
      <c r="C423" s="112"/>
      <c r="D423" s="81"/>
      <c r="E423" s="81"/>
      <c r="F423" s="81"/>
      <c r="G423" s="81"/>
      <c r="H423" s="81"/>
      <c r="I423" s="161"/>
      <c r="J423" s="154" t="str">
        <f aca="false">IF(H423="","",ROUNDUP(H423*35%,0))</f>
        <v/>
      </c>
      <c r="K423" s="113"/>
      <c r="L423" s="113"/>
    </row>
    <row r="424" customFormat="false" ht="12.75" hidden="false" customHeight="true" outlineLevel="0" collapsed="false">
      <c r="A424" s="121" t="str">
        <f aca="false">IF(B424="","",CONCATENATE(COUNTA($B$4:B424),"."))</f>
        <v/>
      </c>
      <c r="B424" s="112"/>
      <c r="C424" s="112"/>
      <c r="D424" s="81"/>
      <c r="E424" s="81"/>
      <c r="F424" s="81"/>
      <c r="G424" s="81"/>
      <c r="H424" s="81"/>
      <c r="I424" s="161"/>
      <c r="J424" s="154" t="str">
        <f aca="false">IF(H424="","",ROUNDUP(H424*35%,0))</f>
        <v/>
      </c>
      <c r="K424" s="113"/>
      <c r="L424" s="113"/>
    </row>
    <row r="425" customFormat="false" ht="12.75" hidden="false" customHeight="true" outlineLevel="0" collapsed="false">
      <c r="A425" s="121" t="str">
        <f aca="false">IF(B425="","",CONCATENATE(COUNTA($B$4:B425),"."))</f>
        <v/>
      </c>
      <c r="B425" s="112"/>
      <c r="C425" s="112"/>
      <c r="D425" s="81"/>
      <c r="E425" s="81"/>
      <c r="F425" s="81"/>
      <c r="G425" s="81"/>
      <c r="H425" s="81"/>
      <c r="I425" s="161"/>
      <c r="J425" s="154" t="str">
        <f aca="false">IF(H425="","",ROUNDUP(H425*35%,0))</f>
        <v/>
      </c>
      <c r="K425" s="113"/>
      <c r="L425" s="113"/>
    </row>
    <row r="426" customFormat="false" ht="12.75" hidden="false" customHeight="true" outlineLevel="0" collapsed="false">
      <c r="A426" s="121" t="str">
        <f aca="false">IF(B426="","",CONCATENATE(COUNTA($B$4:B426),"."))</f>
        <v/>
      </c>
      <c r="B426" s="112"/>
      <c r="C426" s="112"/>
      <c r="D426" s="81"/>
      <c r="E426" s="81"/>
      <c r="F426" s="81"/>
      <c r="G426" s="81"/>
      <c r="H426" s="81"/>
      <c r="I426" s="161"/>
      <c r="J426" s="154" t="str">
        <f aca="false">IF(H426="","",ROUNDUP(H426*35%,0))</f>
        <v/>
      </c>
      <c r="K426" s="113"/>
      <c r="L426" s="113"/>
    </row>
    <row r="427" customFormat="false" ht="12.75" hidden="false" customHeight="true" outlineLevel="0" collapsed="false">
      <c r="A427" s="121" t="str">
        <f aca="false">IF(B427="","",CONCATENATE(COUNTA($B$4:B427),"."))</f>
        <v/>
      </c>
      <c r="B427" s="112"/>
      <c r="C427" s="112"/>
      <c r="D427" s="81"/>
      <c r="E427" s="81"/>
      <c r="F427" s="81"/>
      <c r="G427" s="81"/>
      <c r="H427" s="81"/>
      <c r="I427" s="161"/>
      <c r="J427" s="154" t="str">
        <f aca="false">IF(H427="","",ROUNDUP(H427*35%,0))</f>
        <v/>
      </c>
      <c r="K427" s="113"/>
      <c r="L427" s="113"/>
    </row>
    <row r="428" customFormat="false" ht="12.75" hidden="false" customHeight="true" outlineLevel="0" collapsed="false">
      <c r="A428" s="121" t="str">
        <f aca="false">IF(B428="","",CONCATENATE(COUNTA($B$4:B428),"."))</f>
        <v/>
      </c>
      <c r="B428" s="112"/>
      <c r="C428" s="112"/>
      <c r="D428" s="81"/>
      <c r="E428" s="81"/>
      <c r="F428" s="81"/>
      <c r="G428" s="81"/>
      <c r="H428" s="81"/>
      <c r="I428" s="161"/>
      <c r="J428" s="154" t="str">
        <f aca="false">IF(H428="","",ROUNDUP(H428*35%,0))</f>
        <v/>
      </c>
      <c r="K428" s="113"/>
      <c r="L428" s="113"/>
    </row>
    <row r="429" customFormat="false" ht="12.75" hidden="false" customHeight="true" outlineLevel="0" collapsed="false">
      <c r="A429" s="121" t="str">
        <f aca="false">IF(B429="","",CONCATENATE(COUNTA($B$4:B429),"."))</f>
        <v/>
      </c>
      <c r="B429" s="112"/>
      <c r="C429" s="112"/>
      <c r="D429" s="81"/>
      <c r="E429" s="81"/>
      <c r="F429" s="81"/>
      <c r="G429" s="81"/>
      <c r="H429" s="81"/>
      <c r="I429" s="161"/>
      <c r="J429" s="154" t="str">
        <f aca="false">IF(H429="","",ROUNDUP(H429*35%,0))</f>
        <v/>
      </c>
      <c r="K429" s="113"/>
      <c r="L429" s="113"/>
    </row>
    <row r="430" customFormat="false" ht="12.75" hidden="false" customHeight="true" outlineLevel="0" collapsed="false">
      <c r="A430" s="121" t="str">
        <f aca="false">IF(B430="","",CONCATENATE(COUNTA($B$4:B430),"."))</f>
        <v/>
      </c>
      <c r="B430" s="112"/>
      <c r="C430" s="112"/>
      <c r="D430" s="81"/>
      <c r="E430" s="81"/>
      <c r="F430" s="81"/>
      <c r="G430" s="81"/>
      <c r="H430" s="81"/>
      <c r="I430" s="161"/>
      <c r="J430" s="154" t="str">
        <f aca="false">IF(H430="","",ROUNDUP(H430*35%,0))</f>
        <v/>
      </c>
      <c r="K430" s="113"/>
      <c r="L430" s="113"/>
    </row>
    <row r="431" customFormat="false" ht="12.75" hidden="false" customHeight="true" outlineLevel="0" collapsed="false">
      <c r="A431" s="121" t="str">
        <f aca="false">IF(B431="","",CONCATENATE(COUNTA($B$4:B431),"."))</f>
        <v/>
      </c>
      <c r="B431" s="112"/>
      <c r="C431" s="112"/>
      <c r="D431" s="81"/>
      <c r="E431" s="81"/>
      <c r="F431" s="81"/>
      <c r="G431" s="81"/>
      <c r="H431" s="81"/>
      <c r="I431" s="161"/>
      <c r="J431" s="154" t="str">
        <f aca="false">IF(H431="","",ROUNDUP(H431*35%,0))</f>
        <v/>
      </c>
      <c r="K431" s="113"/>
      <c r="L431" s="113"/>
    </row>
    <row r="432" customFormat="false" ht="12.75" hidden="false" customHeight="true" outlineLevel="0" collapsed="false">
      <c r="A432" s="121" t="str">
        <f aca="false">IF(B432="","",CONCATENATE(COUNTA($B$4:B432),"."))</f>
        <v/>
      </c>
      <c r="B432" s="112"/>
      <c r="C432" s="112"/>
      <c r="D432" s="81"/>
      <c r="E432" s="81"/>
      <c r="F432" s="81"/>
      <c r="G432" s="81"/>
      <c r="H432" s="81"/>
      <c r="I432" s="161"/>
      <c r="J432" s="154" t="str">
        <f aca="false">IF(H432="","",ROUNDUP(H432*35%,0))</f>
        <v/>
      </c>
      <c r="K432" s="113"/>
      <c r="L432" s="113"/>
    </row>
    <row r="433" customFormat="false" ht="12.75" hidden="false" customHeight="true" outlineLevel="0" collapsed="false">
      <c r="A433" s="121" t="str">
        <f aca="false">IF(B433="","",CONCATENATE(COUNTA($B$4:B433),"."))</f>
        <v/>
      </c>
      <c r="B433" s="112"/>
      <c r="C433" s="112"/>
      <c r="D433" s="81"/>
      <c r="E433" s="81"/>
      <c r="F433" s="81"/>
      <c r="G433" s="81"/>
      <c r="H433" s="81"/>
      <c r="I433" s="161"/>
      <c r="J433" s="154" t="str">
        <f aca="false">IF(H433="","",ROUNDUP(H433*35%,0))</f>
        <v/>
      </c>
      <c r="K433" s="113"/>
      <c r="L433" s="113"/>
    </row>
    <row r="434" customFormat="false" ht="12.75" hidden="false" customHeight="true" outlineLevel="0" collapsed="false">
      <c r="A434" s="121" t="str">
        <f aca="false">IF(B434="","",CONCATENATE(COUNTA($B$4:B434),"."))</f>
        <v/>
      </c>
      <c r="B434" s="112"/>
      <c r="C434" s="112"/>
      <c r="D434" s="81"/>
      <c r="E434" s="81"/>
      <c r="F434" s="81"/>
      <c r="G434" s="81"/>
      <c r="H434" s="81"/>
      <c r="I434" s="161"/>
      <c r="J434" s="154" t="str">
        <f aca="false">IF(H434="","",ROUNDUP(H434*35%,0))</f>
        <v/>
      </c>
      <c r="K434" s="113"/>
      <c r="L434" s="113"/>
    </row>
    <row r="435" customFormat="false" ht="12.75" hidden="false" customHeight="true" outlineLevel="0" collapsed="false">
      <c r="A435" s="121" t="str">
        <f aca="false">IF(B435="","",CONCATENATE(COUNTA($B$4:B435),"."))</f>
        <v/>
      </c>
      <c r="B435" s="112"/>
      <c r="C435" s="112"/>
      <c r="D435" s="81"/>
      <c r="E435" s="81"/>
      <c r="F435" s="81"/>
      <c r="G435" s="81"/>
      <c r="H435" s="81"/>
      <c r="I435" s="161"/>
      <c r="J435" s="154" t="str">
        <f aca="false">IF(H435="","",ROUNDUP(H435*35%,0))</f>
        <v/>
      </c>
      <c r="K435" s="113"/>
      <c r="L435" s="113"/>
    </row>
    <row r="436" customFormat="false" ht="12.75" hidden="false" customHeight="true" outlineLevel="0" collapsed="false">
      <c r="A436" s="121" t="str">
        <f aca="false">IF(B436="","",CONCATENATE(COUNTA($B$4:B436),"."))</f>
        <v/>
      </c>
      <c r="B436" s="112"/>
      <c r="C436" s="112"/>
      <c r="D436" s="81"/>
      <c r="E436" s="81"/>
      <c r="F436" s="81"/>
      <c r="G436" s="81"/>
      <c r="H436" s="81"/>
      <c r="I436" s="161"/>
      <c r="J436" s="154" t="str">
        <f aca="false">IF(H436="","",ROUNDUP(H436*35%,0))</f>
        <v/>
      </c>
      <c r="K436" s="113"/>
      <c r="L436" s="113"/>
    </row>
    <row r="437" customFormat="false" ht="12.75" hidden="false" customHeight="true" outlineLevel="0" collapsed="false">
      <c r="A437" s="121" t="str">
        <f aca="false">IF(B437="","",CONCATENATE(COUNTA($B$4:B437),"."))</f>
        <v/>
      </c>
      <c r="B437" s="112"/>
      <c r="C437" s="112"/>
      <c r="D437" s="81"/>
      <c r="E437" s="81"/>
      <c r="F437" s="81"/>
      <c r="G437" s="81"/>
      <c r="H437" s="81"/>
      <c r="I437" s="161"/>
      <c r="J437" s="154" t="str">
        <f aca="false">IF(H437="","",ROUNDUP(H437*35%,0))</f>
        <v/>
      </c>
      <c r="K437" s="113"/>
      <c r="L437" s="113"/>
    </row>
    <row r="438" customFormat="false" ht="12.75" hidden="false" customHeight="true" outlineLevel="0" collapsed="false">
      <c r="A438" s="121" t="str">
        <f aca="false">IF(B438="","",CONCATENATE(COUNTA($B$4:B438),"."))</f>
        <v/>
      </c>
      <c r="B438" s="112"/>
      <c r="C438" s="112"/>
      <c r="D438" s="81"/>
      <c r="E438" s="81"/>
      <c r="F438" s="81"/>
      <c r="G438" s="81"/>
      <c r="H438" s="81"/>
      <c r="I438" s="161"/>
      <c r="J438" s="154" t="str">
        <f aca="false">IF(H438="","",ROUNDUP(H438*35%,0))</f>
        <v/>
      </c>
      <c r="K438" s="113"/>
      <c r="L438" s="113"/>
    </row>
    <row r="439" customFormat="false" ht="12.75" hidden="false" customHeight="true" outlineLevel="0" collapsed="false">
      <c r="A439" s="121" t="str">
        <f aca="false">IF(B439="","",CONCATENATE(COUNTA($B$4:B439),"."))</f>
        <v/>
      </c>
      <c r="B439" s="112"/>
      <c r="C439" s="112"/>
      <c r="D439" s="81"/>
      <c r="E439" s="81"/>
      <c r="F439" s="81"/>
      <c r="G439" s="81"/>
      <c r="H439" s="81"/>
      <c r="I439" s="161"/>
      <c r="J439" s="154" t="str">
        <f aca="false">IF(H439="","",ROUNDUP(H439*35%,0))</f>
        <v/>
      </c>
      <c r="K439" s="113"/>
      <c r="L439" s="113"/>
    </row>
    <row r="440" customFormat="false" ht="12.75" hidden="false" customHeight="true" outlineLevel="0" collapsed="false">
      <c r="A440" s="121" t="str">
        <f aca="false">IF(B440="","",CONCATENATE(COUNTA($B$4:B440),"."))</f>
        <v/>
      </c>
      <c r="B440" s="112"/>
      <c r="C440" s="112"/>
      <c r="D440" s="81"/>
      <c r="E440" s="81"/>
      <c r="F440" s="81"/>
      <c r="G440" s="81"/>
      <c r="H440" s="81"/>
      <c r="I440" s="161"/>
      <c r="J440" s="154" t="str">
        <f aca="false">IF(H440="","",ROUNDUP(H440*35%,0))</f>
        <v/>
      </c>
      <c r="K440" s="113"/>
      <c r="L440" s="113"/>
    </row>
    <row r="441" customFormat="false" ht="12.75" hidden="false" customHeight="true" outlineLevel="0" collapsed="false">
      <c r="A441" s="121" t="str">
        <f aca="false">IF(B441="","",CONCATENATE(COUNTA($B$4:B441),"."))</f>
        <v/>
      </c>
      <c r="B441" s="112"/>
      <c r="C441" s="112"/>
      <c r="D441" s="81"/>
      <c r="E441" s="81"/>
      <c r="F441" s="81"/>
      <c r="G441" s="81"/>
      <c r="H441" s="81"/>
      <c r="I441" s="161"/>
      <c r="J441" s="154" t="str">
        <f aca="false">IF(H441="","",ROUNDUP(H441*35%,0))</f>
        <v/>
      </c>
      <c r="K441" s="113"/>
      <c r="L441" s="113"/>
    </row>
    <row r="442" customFormat="false" ht="12.75" hidden="false" customHeight="true" outlineLevel="0" collapsed="false">
      <c r="A442" s="121" t="str">
        <f aca="false">IF(B442="","",CONCATENATE(COUNTA($B$4:B442),"."))</f>
        <v/>
      </c>
      <c r="B442" s="112"/>
      <c r="C442" s="112"/>
      <c r="D442" s="81"/>
      <c r="E442" s="81"/>
      <c r="F442" s="81"/>
      <c r="G442" s="81"/>
      <c r="H442" s="81"/>
      <c r="I442" s="161"/>
      <c r="J442" s="154" t="str">
        <f aca="false">IF(H442="","",ROUNDUP(H442*35%,0))</f>
        <v/>
      </c>
      <c r="K442" s="113"/>
      <c r="L442" s="113"/>
    </row>
    <row r="443" customFormat="false" ht="12.75" hidden="false" customHeight="true" outlineLevel="0" collapsed="false">
      <c r="A443" s="121" t="str">
        <f aca="false">IF(B443="","",CONCATENATE(COUNTA($B$4:B443),"."))</f>
        <v/>
      </c>
      <c r="B443" s="112"/>
      <c r="C443" s="112"/>
      <c r="D443" s="81"/>
      <c r="E443" s="81"/>
      <c r="F443" s="81"/>
      <c r="G443" s="81"/>
      <c r="H443" s="81"/>
      <c r="I443" s="161"/>
      <c r="J443" s="154" t="str">
        <f aca="false">IF(H443="","",ROUNDUP(H443*35%,0))</f>
        <v/>
      </c>
      <c r="K443" s="113"/>
      <c r="L443" s="113"/>
    </row>
    <row r="444" customFormat="false" ht="12.75" hidden="false" customHeight="true" outlineLevel="0" collapsed="false">
      <c r="A444" s="121" t="str">
        <f aca="false">IF(B444="","",CONCATENATE(COUNTA($B$4:B444),"."))</f>
        <v/>
      </c>
      <c r="B444" s="112"/>
      <c r="C444" s="112"/>
      <c r="D444" s="81"/>
      <c r="E444" s="81"/>
      <c r="F444" s="81"/>
      <c r="G444" s="81"/>
      <c r="H444" s="81"/>
      <c r="I444" s="161"/>
      <c r="J444" s="154" t="str">
        <f aca="false">IF(H444="","",ROUNDUP(H444*35%,0))</f>
        <v/>
      </c>
      <c r="K444" s="113"/>
      <c r="L444" s="113"/>
    </row>
    <row r="445" customFormat="false" ht="12.75" hidden="false" customHeight="true" outlineLevel="0" collapsed="false">
      <c r="A445" s="121" t="str">
        <f aca="false">IF(B445="","",CONCATENATE(COUNTA($B$4:B445),"."))</f>
        <v/>
      </c>
      <c r="B445" s="112"/>
      <c r="C445" s="112"/>
      <c r="D445" s="81"/>
      <c r="E445" s="81"/>
      <c r="F445" s="81"/>
      <c r="G445" s="81"/>
      <c r="H445" s="81"/>
      <c r="I445" s="161"/>
      <c r="J445" s="154" t="str">
        <f aca="false">IF(H445="","",ROUNDUP(H445*35%,0))</f>
        <v/>
      </c>
      <c r="K445" s="113"/>
      <c r="L445" s="113"/>
    </row>
    <row r="446" customFormat="false" ht="12.75" hidden="false" customHeight="true" outlineLevel="0" collapsed="false">
      <c r="A446" s="121" t="str">
        <f aca="false">IF(B446="","",CONCATENATE(COUNTA($B$4:B446),"."))</f>
        <v/>
      </c>
      <c r="B446" s="112"/>
      <c r="C446" s="112"/>
      <c r="D446" s="81"/>
      <c r="E446" s="81"/>
      <c r="F446" s="81"/>
      <c r="G446" s="81"/>
      <c r="H446" s="81"/>
      <c r="I446" s="161"/>
      <c r="J446" s="154" t="str">
        <f aca="false">IF(H446="","",ROUNDUP(H446*35%,0))</f>
        <v/>
      </c>
      <c r="K446" s="113"/>
      <c r="L446" s="113"/>
    </row>
    <row r="447" customFormat="false" ht="12.75" hidden="false" customHeight="true" outlineLevel="0" collapsed="false">
      <c r="A447" s="121" t="str">
        <f aca="false">IF(B447="","",CONCATENATE(COUNTA($B$4:B447),"."))</f>
        <v/>
      </c>
      <c r="B447" s="112"/>
      <c r="C447" s="112"/>
      <c r="D447" s="81"/>
      <c r="E447" s="81"/>
      <c r="F447" s="81"/>
      <c r="G447" s="81"/>
      <c r="H447" s="81"/>
      <c r="I447" s="161"/>
      <c r="J447" s="154" t="str">
        <f aca="false">IF(H447="","",ROUNDUP(H447*35%,0))</f>
        <v/>
      </c>
      <c r="K447" s="113"/>
      <c r="L447" s="113"/>
    </row>
    <row r="448" customFormat="false" ht="12.75" hidden="false" customHeight="true" outlineLevel="0" collapsed="false">
      <c r="A448" s="121" t="str">
        <f aca="false">IF(B448="","",CONCATENATE(COUNTA($B$4:B448),"."))</f>
        <v/>
      </c>
      <c r="B448" s="112"/>
      <c r="C448" s="112"/>
      <c r="D448" s="81"/>
      <c r="E448" s="81"/>
      <c r="F448" s="81"/>
      <c r="G448" s="81"/>
      <c r="H448" s="81"/>
      <c r="I448" s="161"/>
      <c r="J448" s="154" t="str">
        <f aca="false">IF(H448="","",ROUNDUP(H448*35%,0))</f>
        <v/>
      </c>
      <c r="K448" s="113"/>
      <c r="L448" s="113"/>
    </row>
    <row r="449" customFormat="false" ht="12.75" hidden="false" customHeight="true" outlineLevel="0" collapsed="false">
      <c r="A449" s="121" t="str">
        <f aca="false">IF(B449="","",CONCATENATE(COUNTA($B$4:B449),"."))</f>
        <v/>
      </c>
      <c r="B449" s="112"/>
      <c r="C449" s="112"/>
      <c r="D449" s="81"/>
      <c r="E449" s="81"/>
      <c r="F449" s="81"/>
      <c r="G449" s="81"/>
      <c r="H449" s="81"/>
      <c r="I449" s="161"/>
      <c r="J449" s="154" t="str">
        <f aca="false">IF(H449="","",ROUNDUP(H449*35%,0))</f>
        <v/>
      </c>
      <c r="K449" s="113"/>
      <c r="L449" s="113"/>
    </row>
    <row r="450" customFormat="false" ht="12.75" hidden="false" customHeight="true" outlineLevel="0" collapsed="false">
      <c r="A450" s="121" t="str">
        <f aca="false">IF(B450="","",CONCATENATE(COUNTA($B$4:B450),"."))</f>
        <v/>
      </c>
      <c r="B450" s="112"/>
      <c r="C450" s="112"/>
      <c r="D450" s="81"/>
      <c r="E450" s="81"/>
      <c r="F450" s="81"/>
      <c r="G450" s="81"/>
      <c r="H450" s="81"/>
      <c r="I450" s="161"/>
      <c r="J450" s="154" t="str">
        <f aca="false">IF(H450="","",ROUNDUP(H450*35%,0))</f>
        <v/>
      </c>
      <c r="K450" s="113"/>
      <c r="L450" s="113"/>
    </row>
    <row r="451" customFormat="false" ht="12.75" hidden="false" customHeight="true" outlineLevel="0" collapsed="false">
      <c r="A451" s="121" t="str">
        <f aca="false">IF(B451="","",CONCATENATE(COUNTA($B$4:B451),"."))</f>
        <v/>
      </c>
      <c r="B451" s="112"/>
      <c r="C451" s="112"/>
      <c r="D451" s="81"/>
      <c r="E451" s="81"/>
      <c r="F451" s="81"/>
      <c r="G451" s="81"/>
      <c r="H451" s="81"/>
      <c r="I451" s="161"/>
      <c r="J451" s="154" t="str">
        <f aca="false">IF(H451="","",ROUNDUP(H451*35%,0))</f>
        <v/>
      </c>
      <c r="K451" s="113"/>
      <c r="L451" s="113"/>
    </row>
    <row r="452" customFormat="false" ht="12.75" hidden="false" customHeight="true" outlineLevel="0" collapsed="false">
      <c r="A452" s="121" t="str">
        <f aca="false">IF(B452="","",CONCATENATE(COUNTA($B$4:B452),"."))</f>
        <v/>
      </c>
      <c r="B452" s="112"/>
      <c r="C452" s="112"/>
      <c r="D452" s="81"/>
      <c r="E452" s="81"/>
      <c r="F452" s="81"/>
      <c r="G452" s="81"/>
      <c r="H452" s="81"/>
      <c r="I452" s="161"/>
      <c r="J452" s="154" t="str">
        <f aca="false">IF(H452="","",ROUNDUP(H452*35%,0))</f>
        <v/>
      </c>
      <c r="K452" s="113"/>
      <c r="L452" s="113"/>
    </row>
    <row r="453" customFormat="false" ht="12.75" hidden="false" customHeight="true" outlineLevel="0" collapsed="false">
      <c r="A453" s="121" t="str">
        <f aca="false">IF(B453="","",CONCATENATE(COUNTA($B$4:B453),"."))</f>
        <v/>
      </c>
      <c r="B453" s="112"/>
      <c r="C453" s="112"/>
      <c r="D453" s="81"/>
      <c r="E453" s="81"/>
      <c r="F453" s="81"/>
      <c r="G453" s="81"/>
      <c r="H453" s="81"/>
      <c r="I453" s="161"/>
      <c r="J453" s="154" t="str">
        <f aca="false">IF(H453="","",ROUNDUP(H453*35%,0))</f>
        <v/>
      </c>
      <c r="K453" s="113"/>
      <c r="L453" s="113"/>
    </row>
    <row r="454" customFormat="false" ht="12.75" hidden="false" customHeight="true" outlineLevel="0" collapsed="false">
      <c r="A454" s="121" t="str">
        <f aca="false">IF(B454="","",CONCATENATE(COUNTA($B$4:B454),"."))</f>
        <v/>
      </c>
      <c r="B454" s="112"/>
      <c r="C454" s="112"/>
      <c r="D454" s="81"/>
      <c r="E454" s="81"/>
      <c r="F454" s="81"/>
      <c r="G454" s="81"/>
      <c r="H454" s="81"/>
      <c r="I454" s="161"/>
      <c r="J454" s="154" t="str">
        <f aca="false">IF(H454="","",ROUNDUP(H454*35%,0))</f>
        <v/>
      </c>
      <c r="K454" s="113"/>
      <c r="L454" s="113"/>
    </row>
    <row r="455" customFormat="false" ht="12.75" hidden="false" customHeight="true" outlineLevel="0" collapsed="false">
      <c r="A455" s="121" t="str">
        <f aca="false">IF(B455="","",CONCATENATE(COUNTA($B$4:B455),"."))</f>
        <v/>
      </c>
      <c r="B455" s="112"/>
      <c r="C455" s="112"/>
      <c r="D455" s="81"/>
      <c r="E455" s="81"/>
      <c r="F455" s="81"/>
      <c r="G455" s="81"/>
      <c r="H455" s="81"/>
      <c r="I455" s="161"/>
      <c r="J455" s="154" t="str">
        <f aca="false">IF(H455="","",ROUNDUP(H455*35%,0))</f>
        <v/>
      </c>
      <c r="K455" s="113"/>
      <c r="L455" s="113"/>
    </row>
    <row r="456" customFormat="false" ht="12.75" hidden="false" customHeight="true" outlineLevel="0" collapsed="false">
      <c r="A456" s="121" t="str">
        <f aca="false">IF(B456="","",CONCATENATE(COUNTA($B$4:B456),"."))</f>
        <v/>
      </c>
      <c r="B456" s="112"/>
      <c r="C456" s="112"/>
      <c r="D456" s="81"/>
      <c r="E456" s="81"/>
      <c r="F456" s="81"/>
      <c r="G456" s="81"/>
      <c r="H456" s="81"/>
      <c r="I456" s="161"/>
      <c r="J456" s="154" t="str">
        <f aca="false">IF(H456="","",ROUNDUP(H456*35%,0))</f>
        <v/>
      </c>
      <c r="K456" s="113"/>
      <c r="L456" s="113"/>
    </row>
    <row r="457" customFormat="false" ht="12.75" hidden="false" customHeight="true" outlineLevel="0" collapsed="false">
      <c r="A457" s="121" t="str">
        <f aca="false">IF(B457="","",CONCATENATE(COUNTA($B$4:B457),"."))</f>
        <v/>
      </c>
      <c r="B457" s="112"/>
      <c r="C457" s="112"/>
      <c r="D457" s="81"/>
      <c r="E457" s="81"/>
      <c r="F457" s="81"/>
      <c r="G457" s="81"/>
      <c r="H457" s="81"/>
      <c r="I457" s="161"/>
      <c r="J457" s="154" t="str">
        <f aca="false">IF(H457="","",ROUNDUP(H457*35%,0))</f>
        <v/>
      </c>
      <c r="K457" s="113"/>
      <c r="L457" s="113"/>
    </row>
    <row r="458" customFormat="false" ht="12.75" hidden="false" customHeight="true" outlineLevel="0" collapsed="false">
      <c r="A458" s="121" t="str">
        <f aca="false">IF(B458="","",CONCATENATE(COUNTA($B$4:B458),"."))</f>
        <v/>
      </c>
      <c r="B458" s="112"/>
      <c r="C458" s="112"/>
      <c r="D458" s="81"/>
      <c r="E458" s="81"/>
      <c r="F458" s="81"/>
      <c r="G458" s="81"/>
      <c r="H458" s="81"/>
      <c r="I458" s="161"/>
      <c r="J458" s="154" t="str">
        <f aca="false">IF(H458="","",ROUNDUP(H458*35%,0))</f>
        <v/>
      </c>
      <c r="K458" s="113"/>
      <c r="L458" s="113"/>
    </row>
    <row r="459" customFormat="false" ht="12.75" hidden="false" customHeight="true" outlineLevel="0" collapsed="false">
      <c r="A459" s="121" t="str">
        <f aca="false">IF(B459="","",CONCATENATE(COUNTA($B$4:B459),"."))</f>
        <v/>
      </c>
      <c r="B459" s="112"/>
      <c r="C459" s="112"/>
      <c r="D459" s="81"/>
      <c r="E459" s="81"/>
      <c r="F459" s="81"/>
      <c r="G459" s="81"/>
      <c r="H459" s="81"/>
      <c r="I459" s="161"/>
      <c r="J459" s="154" t="str">
        <f aca="false">IF(H459="","",ROUNDUP(H459*35%,0))</f>
        <v/>
      </c>
      <c r="K459" s="113"/>
      <c r="L459" s="113"/>
    </row>
    <row r="460" customFormat="false" ht="12.75" hidden="false" customHeight="true" outlineLevel="0" collapsed="false">
      <c r="A460" s="121" t="str">
        <f aca="false">IF(B460="","",CONCATENATE(COUNTA($B$4:B460),"."))</f>
        <v/>
      </c>
      <c r="B460" s="112"/>
      <c r="C460" s="112"/>
      <c r="D460" s="81"/>
      <c r="E460" s="81"/>
      <c r="F460" s="81"/>
      <c r="G460" s="81"/>
      <c r="H460" s="81"/>
      <c r="I460" s="161"/>
      <c r="J460" s="154" t="str">
        <f aca="false">IF(H460="","",ROUNDUP(H460*35%,0))</f>
        <v/>
      </c>
      <c r="K460" s="113"/>
      <c r="L460" s="113"/>
    </row>
    <row r="461" customFormat="false" ht="12.75" hidden="false" customHeight="true" outlineLevel="0" collapsed="false">
      <c r="A461" s="121" t="str">
        <f aca="false">IF(B461="","",CONCATENATE(COUNTA($B$4:B461),"."))</f>
        <v/>
      </c>
      <c r="B461" s="112"/>
      <c r="C461" s="112"/>
      <c r="D461" s="81"/>
      <c r="E461" s="81"/>
      <c r="F461" s="81"/>
      <c r="G461" s="81"/>
      <c r="H461" s="81"/>
      <c r="I461" s="161"/>
      <c r="J461" s="154" t="str">
        <f aca="false">IF(H461="","",ROUNDUP(H461*35%,0))</f>
        <v/>
      </c>
      <c r="K461" s="113"/>
      <c r="L461" s="113"/>
    </row>
    <row r="462" customFormat="false" ht="12.75" hidden="false" customHeight="true" outlineLevel="0" collapsed="false">
      <c r="A462" s="121" t="str">
        <f aca="false">IF(B462="","",CONCATENATE(COUNTA($B$4:B462),"."))</f>
        <v/>
      </c>
      <c r="B462" s="112"/>
      <c r="C462" s="112"/>
      <c r="D462" s="81"/>
      <c r="E462" s="81"/>
      <c r="F462" s="81"/>
      <c r="G462" s="81"/>
      <c r="H462" s="81"/>
      <c r="I462" s="161"/>
      <c r="J462" s="154" t="str">
        <f aca="false">IF(H462="","",ROUNDUP(H462*35%,0))</f>
        <v/>
      </c>
      <c r="K462" s="113"/>
      <c r="L462" s="113"/>
    </row>
    <row r="463" customFormat="false" ht="12.75" hidden="false" customHeight="true" outlineLevel="0" collapsed="false">
      <c r="A463" s="121" t="str">
        <f aca="false">IF(B463="","",CONCATENATE(COUNTA($B$4:B463),"."))</f>
        <v/>
      </c>
      <c r="B463" s="112"/>
      <c r="C463" s="112"/>
      <c r="D463" s="81"/>
      <c r="E463" s="81"/>
      <c r="F463" s="81"/>
      <c r="G463" s="81"/>
      <c r="H463" s="81"/>
      <c r="I463" s="161"/>
      <c r="J463" s="154" t="str">
        <f aca="false">IF(H463="","",ROUNDUP(H463*35%,0))</f>
        <v/>
      </c>
      <c r="K463" s="113"/>
      <c r="L463" s="113"/>
    </row>
    <row r="464" customFormat="false" ht="12.75" hidden="false" customHeight="true" outlineLevel="0" collapsed="false">
      <c r="A464" s="121" t="str">
        <f aca="false">IF(B464="","",CONCATENATE(COUNTA($B$4:B464),"."))</f>
        <v/>
      </c>
      <c r="B464" s="112"/>
      <c r="C464" s="112"/>
      <c r="D464" s="81"/>
      <c r="E464" s="81"/>
      <c r="F464" s="81"/>
      <c r="G464" s="81"/>
      <c r="H464" s="81"/>
      <c r="I464" s="161"/>
      <c r="J464" s="154" t="str">
        <f aca="false">IF(H464="","",ROUNDUP(H464*35%,0))</f>
        <v/>
      </c>
      <c r="K464" s="113"/>
      <c r="L464" s="113"/>
    </row>
    <row r="465" customFormat="false" ht="12.75" hidden="false" customHeight="true" outlineLevel="0" collapsed="false">
      <c r="A465" s="121" t="str">
        <f aca="false">IF(B465="","",CONCATENATE(COUNTA($B$4:B465),"."))</f>
        <v/>
      </c>
      <c r="B465" s="112"/>
      <c r="C465" s="112"/>
      <c r="D465" s="81"/>
      <c r="E465" s="81"/>
      <c r="F465" s="81"/>
      <c r="G465" s="81"/>
      <c r="H465" s="81"/>
      <c r="I465" s="161"/>
      <c r="J465" s="154" t="str">
        <f aca="false">IF(H465="","",ROUNDUP(H465*35%,0))</f>
        <v/>
      </c>
      <c r="K465" s="113"/>
      <c r="L465" s="113"/>
    </row>
    <row r="466" customFormat="false" ht="12.75" hidden="false" customHeight="true" outlineLevel="0" collapsed="false">
      <c r="A466" s="121" t="str">
        <f aca="false">IF(B466="","",CONCATENATE(COUNTA($B$4:B466),"."))</f>
        <v/>
      </c>
      <c r="B466" s="112"/>
      <c r="C466" s="112"/>
      <c r="D466" s="81"/>
      <c r="E466" s="81"/>
      <c r="F466" s="81"/>
      <c r="G466" s="81"/>
      <c r="H466" s="81"/>
      <c r="I466" s="161"/>
      <c r="J466" s="154" t="str">
        <f aca="false">IF(H466="","",ROUNDUP(H466*35%,0))</f>
        <v/>
      </c>
      <c r="K466" s="113"/>
      <c r="L466" s="113"/>
    </row>
    <row r="467" customFormat="false" ht="12.75" hidden="false" customHeight="true" outlineLevel="0" collapsed="false">
      <c r="A467" s="121" t="str">
        <f aca="false">IF(B467="","",CONCATENATE(COUNTA($B$4:B467),"."))</f>
        <v/>
      </c>
      <c r="B467" s="112"/>
      <c r="C467" s="112"/>
      <c r="D467" s="81"/>
      <c r="E467" s="81"/>
      <c r="F467" s="81"/>
      <c r="G467" s="81"/>
      <c r="H467" s="81"/>
      <c r="I467" s="161"/>
      <c r="J467" s="154" t="str">
        <f aca="false">IF(H467="","",ROUNDUP(H467*35%,0))</f>
        <v/>
      </c>
      <c r="K467" s="113"/>
      <c r="L467" s="113"/>
    </row>
    <row r="468" customFormat="false" ht="12.75" hidden="false" customHeight="true" outlineLevel="0" collapsed="false">
      <c r="A468" s="121" t="str">
        <f aca="false">IF(B468="","",CONCATENATE(COUNTA($B$4:B468),"."))</f>
        <v/>
      </c>
      <c r="B468" s="112"/>
      <c r="C468" s="112"/>
      <c r="D468" s="81"/>
      <c r="E468" s="81"/>
      <c r="F468" s="81"/>
      <c r="G468" s="81"/>
      <c r="H468" s="81"/>
      <c r="I468" s="161"/>
      <c r="J468" s="154" t="str">
        <f aca="false">IF(H468="","",ROUNDUP(H468*35%,0))</f>
        <v/>
      </c>
      <c r="K468" s="113"/>
      <c r="L468" s="113"/>
    </row>
    <row r="469" customFormat="false" ht="12.75" hidden="false" customHeight="true" outlineLevel="0" collapsed="false">
      <c r="A469" s="121" t="str">
        <f aca="false">IF(B469="","",CONCATENATE(COUNTA($B$4:B469),"."))</f>
        <v/>
      </c>
      <c r="B469" s="112"/>
      <c r="C469" s="112"/>
      <c r="D469" s="81"/>
      <c r="E469" s="81"/>
      <c r="F469" s="81"/>
      <c r="G469" s="81"/>
      <c r="H469" s="81"/>
      <c r="I469" s="161"/>
      <c r="J469" s="154" t="str">
        <f aca="false">IF(H469="","",ROUNDUP(H469*35%,0))</f>
        <v/>
      </c>
      <c r="K469" s="113"/>
      <c r="L469" s="113"/>
    </row>
    <row r="470" customFormat="false" ht="12.75" hidden="false" customHeight="true" outlineLevel="0" collapsed="false">
      <c r="A470" s="121" t="str">
        <f aca="false">IF(B470="","",CONCATENATE(COUNTA($B$4:B470),"."))</f>
        <v/>
      </c>
      <c r="B470" s="112"/>
      <c r="C470" s="112"/>
      <c r="D470" s="81"/>
      <c r="E470" s="81"/>
      <c r="F470" s="81"/>
      <c r="G470" s="81"/>
      <c r="H470" s="81"/>
      <c r="I470" s="161"/>
      <c r="J470" s="154" t="str">
        <f aca="false">IF(H470="","",ROUNDUP(H470*35%,0))</f>
        <v/>
      </c>
      <c r="K470" s="113"/>
      <c r="L470" s="113"/>
    </row>
    <row r="471" customFormat="false" ht="12.75" hidden="false" customHeight="true" outlineLevel="0" collapsed="false">
      <c r="A471" s="121" t="str">
        <f aca="false">IF(B471="","",CONCATENATE(COUNTA($B$4:B471),"."))</f>
        <v/>
      </c>
      <c r="B471" s="112"/>
      <c r="C471" s="112"/>
      <c r="D471" s="81"/>
      <c r="E471" s="81"/>
      <c r="F471" s="81"/>
      <c r="G471" s="81"/>
      <c r="H471" s="81"/>
      <c r="I471" s="161"/>
      <c r="J471" s="154" t="str">
        <f aca="false">IF(H471="","",ROUNDUP(H471*35%,0))</f>
        <v/>
      </c>
      <c r="K471" s="113"/>
      <c r="L471" s="113"/>
    </row>
    <row r="472" customFormat="false" ht="12.75" hidden="false" customHeight="true" outlineLevel="0" collapsed="false">
      <c r="A472" s="121" t="str">
        <f aca="false">IF(B472="","",CONCATENATE(COUNTA($B$4:B472),"."))</f>
        <v/>
      </c>
      <c r="B472" s="112"/>
      <c r="C472" s="112"/>
      <c r="D472" s="81"/>
      <c r="E472" s="81"/>
      <c r="F472" s="81"/>
      <c r="G472" s="81"/>
      <c r="H472" s="81"/>
      <c r="I472" s="161"/>
      <c r="J472" s="154" t="str">
        <f aca="false">IF(H472="","",ROUNDUP(H472*35%,0))</f>
        <v/>
      </c>
      <c r="K472" s="113"/>
      <c r="L472" s="113"/>
    </row>
    <row r="473" customFormat="false" ht="12.75" hidden="false" customHeight="true" outlineLevel="0" collapsed="false">
      <c r="A473" s="121" t="str">
        <f aca="false">IF(B473="","",CONCATENATE(COUNTA($B$4:B473),"."))</f>
        <v/>
      </c>
      <c r="B473" s="112"/>
      <c r="C473" s="112"/>
      <c r="D473" s="81"/>
      <c r="E473" s="81"/>
      <c r="F473" s="81"/>
      <c r="G473" s="81"/>
      <c r="H473" s="81"/>
      <c r="I473" s="161"/>
      <c r="J473" s="154" t="str">
        <f aca="false">IF(H473="","",ROUNDUP(H473*35%,0))</f>
        <v/>
      </c>
      <c r="K473" s="113"/>
      <c r="L473" s="113"/>
    </row>
    <row r="474" customFormat="false" ht="12.75" hidden="false" customHeight="true" outlineLevel="0" collapsed="false">
      <c r="A474" s="121" t="str">
        <f aca="false">IF(B474="","",CONCATENATE(COUNTA($B$4:B474),"."))</f>
        <v/>
      </c>
      <c r="B474" s="112"/>
      <c r="C474" s="112"/>
      <c r="D474" s="81"/>
      <c r="E474" s="81"/>
      <c r="F474" s="81"/>
      <c r="G474" s="81"/>
      <c r="H474" s="81"/>
      <c r="I474" s="161"/>
      <c r="J474" s="154" t="str">
        <f aca="false">IF(H474="","",ROUNDUP(H474*35%,0))</f>
        <v/>
      </c>
      <c r="K474" s="113"/>
      <c r="L474" s="113"/>
    </row>
    <row r="475" customFormat="false" ht="12.75" hidden="false" customHeight="true" outlineLevel="0" collapsed="false">
      <c r="A475" s="121" t="str">
        <f aca="false">IF(B475="","",CONCATENATE(COUNTA($B$4:B475),"."))</f>
        <v/>
      </c>
      <c r="B475" s="112"/>
      <c r="C475" s="112"/>
      <c r="D475" s="81"/>
      <c r="E475" s="81"/>
      <c r="F475" s="81"/>
      <c r="G475" s="81"/>
      <c r="H475" s="81"/>
      <c r="I475" s="161"/>
      <c r="J475" s="154" t="str">
        <f aca="false">IF(H475="","",ROUNDUP(H475*35%,0))</f>
        <v/>
      </c>
      <c r="K475" s="113"/>
      <c r="L475" s="113"/>
    </row>
    <row r="476" customFormat="false" ht="12.75" hidden="false" customHeight="true" outlineLevel="0" collapsed="false">
      <c r="A476" s="121" t="str">
        <f aca="false">IF(B476="","",CONCATENATE(COUNTA($B$4:B476),"."))</f>
        <v/>
      </c>
      <c r="B476" s="112"/>
      <c r="C476" s="112"/>
      <c r="D476" s="81"/>
      <c r="E476" s="81"/>
      <c r="F476" s="81"/>
      <c r="G476" s="81"/>
      <c r="H476" s="81"/>
      <c r="I476" s="161"/>
      <c r="J476" s="154" t="str">
        <f aca="false">IF(H476="","",ROUNDUP(H476*35%,0))</f>
        <v/>
      </c>
      <c r="K476" s="113"/>
      <c r="L476" s="113"/>
    </row>
    <row r="477" customFormat="false" ht="12.75" hidden="false" customHeight="true" outlineLevel="0" collapsed="false">
      <c r="A477" s="121" t="str">
        <f aca="false">IF(B477="","",CONCATENATE(COUNTA($B$4:B477),"."))</f>
        <v/>
      </c>
      <c r="B477" s="112"/>
      <c r="C477" s="112"/>
      <c r="D477" s="81"/>
      <c r="E477" s="81"/>
      <c r="F477" s="81"/>
      <c r="G477" s="81"/>
      <c r="H477" s="81"/>
      <c r="I477" s="161"/>
      <c r="J477" s="154" t="str">
        <f aca="false">IF(H477="","",ROUNDUP(H477*35%,0))</f>
        <v/>
      </c>
      <c r="K477" s="113"/>
      <c r="L477" s="113"/>
    </row>
    <row r="478" customFormat="false" ht="12.75" hidden="false" customHeight="true" outlineLevel="0" collapsed="false">
      <c r="A478" s="121" t="str">
        <f aca="false">IF(B478="","",CONCATENATE(COUNTA($B$4:B478),"."))</f>
        <v/>
      </c>
      <c r="B478" s="112"/>
      <c r="C478" s="112"/>
      <c r="D478" s="81"/>
      <c r="E478" s="81"/>
      <c r="F478" s="81"/>
      <c r="G478" s="81"/>
      <c r="H478" s="81"/>
      <c r="I478" s="161"/>
      <c r="J478" s="154" t="str">
        <f aca="false">IF(H478="","",ROUNDUP(H478*35%,0))</f>
        <v/>
      </c>
      <c r="K478" s="113"/>
      <c r="L478" s="113"/>
    </row>
    <row r="479" customFormat="false" ht="12.75" hidden="false" customHeight="true" outlineLevel="0" collapsed="false">
      <c r="A479" s="121" t="str">
        <f aca="false">IF(B479="","",CONCATENATE(COUNTA($B$4:B479),"."))</f>
        <v/>
      </c>
      <c r="B479" s="112"/>
      <c r="C479" s="112"/>
      <c r="D479" s="81"/>
      <c r="E479" s="81"/>
      <c r="F479" s="81"/>
      <c r="G479" s="81"/>
      <c r="H479" s="81"/>
      <c r="I479" s="161"/>
      <c r="J479" s="154" t="str">
        <f aca="false">IF(H479="","",ROUNDUP(H479*35%,0))</f>
        <v/>
      </c>
      <c r="K479" s="113"/>
      <c r="L479" s="113"/>
    </row>
    <row r="480" customFormat="false" ht="12.75" hidden="false" customHeight="true" outlineLevel="0" collapsed="false">
      <c r="A480" s="121" t="str">
        <f aca="false">IF(B480="","",CONCATENATE(COUNTA($B$4:B480),"."))</f>
        <v/>
      </c>
      <c r="B480" s="112"/>
      <c r="C480" s="112"/>
      <c r="D480" s="81"/>
      <c r="E480" s="81"/>
      <c r="F480" s="81"/>
      <c r="G480" s="81"/>
      <c r="H480" s="81"/>
      <c r="I480" s="161"/>
      <c r="J480" s="154" t="str">
        <f aca="false">IF(H480="","",ROUNDUP(H480*35%,0))</f>
        <v/>
      </c>
      <c r="K480" s="113"/>
      <c r="L480" s="113"/>
    </row>
    <row r="481" customFormat="false" ht="12.75" hidden="false" customHeight="true" outlineLevel="0" collapsed="false">
      <c r="A481" s="121" t="str">
        <f aca="false">IF(B481="","",CONCATENATE(COUNTA($B$4:B481),"."))</f>
        <v/>
      </c>
      <c r="B481" s="112"/>
      <c r="C481" s="112"/>
      <c r="D481" s="81"/>
      <c r="E481" s="81"/>
      <c r="F481" s="81"/>
      <c r="G481" s="81"/>
      <c r="H481" s="81"/>
      <c r="I481" s="161"/>
      <c r="J481" s="154" t="str">
        <f aca="false">IF(H481="","",ROUNDUP(H481*35%,0))</f>
        <v/>
      </c>
      <c r="K481" s="113"/>
      <c r="L481" s="113"/>
    </row>
    <row r="482" customFormat="false" ht="12.75" hidden="false" customHeight="true" outlineLevel="0" collapsed="false">
      <c r="A482" s="121" t="str">
        <f aca="false">IF(B482="","",CONCATENATE(COUNTA($B$4:B482),"."))</f>
        <v/>
      </c>
      <c r="B482" s="112"/>
      <c r="C482" s="112"/>
      <c r="D482" s="81"/>
      <c r="E482" s="81"/>
      <c r="F482" s="81"/>
      <c r="G482" s="81"/>
      <c r="H482" s="81"/>
      <c r="I482" s="161"/>
      <c r="J482" s="154" t="str">
        <f aca="false">IF(H482="","",ROUNDUP(H482*35%,0))</f>
        <v/>
      </c>
      <c r="K482" s="113"/>
      <c r="L482" s="113"/>
    </row>
    <row r="483" customFormat="false" ht="12.75" hidden="false" customHeight="true" outlineLevel="0" collapsed="false">
      <c r="A483" s="121" t="str">
        <f aca="false">IF(B483="","",CONCATENATE(COUNTA($B$4:B483),"."))</f>
        <v/>
      </c>
      <c r="B483" s="112"/>
      <c r="C483" s="112"/>
      <c r="D483" s="81"/>
      <c r="E483" s="81"/>
      <c r="F483" s="81"/>
      <c r="G483" s="81"/>
      <c r="H483" s="81"/>
      <c r="I483" s="161"/>
      <c r="J483" s="154" t="str">
        <f aca="false">IF(H483="","",ROUNDUP(H483*35%,0))</f>
        <v/>
      </c>
      <c r="K483" s="113"/>
      <c r="L483" s="113"/>
    </row>
    <row r="484" customFormat="false" ht="12.75" hidden="false" customHeight="true" outlineLevel="0" collapsed="false">
      <c r="A484" s="121" t="str">
        <f aca="false">IF(B484="","",CONCATENATE(COUNTA($B$4:B484),"."))</f>
        <v/>
      </c>
      <c r="B484" s="112"/>
      <c r="C484" s="112"/>
      <c r="D484" s="81"/>
      <c r="E484" s="81"/>
      <c r="F484" s="81"/>
      <c r="G484" s="81"/>
      <c r="H484" s="81"/>
      <c r="I484" s="161"/>
      <c r="J484" s="154" t="str">
        <f aca="false">IF(H484="","",ROUNDUP(H484*35%,0))</f>
        <v/>
      </c>
      <c r="K484" s="113"/>
      <c r="L484" s="113"/>
    </row>
    <row r="485" customFormat="false" ht="12.75" hidden="false" customHeight="true" outlineLevel="0" collapsed="false">
      <c r="A485" s="121" t="str">
        <f aca="false">IF(B485="","",CONCATENATE(COUNTA($B$4:B485),"."))</f>
        <v/>
      </c>
      <c r="B485" s="112"/>
      <c r="C485" s="112"/>
      <c r="D485" s="81"/>
      <c r="E485" s="81"/>
      <c r="F485" s="81"/>
      <c r="G485" s="81"/>
      <c r="H485" s="81"/>
      <c r="I485" s="161"/>
      <c r="J485" s="154" t="str">
        <f aca="false">IF(H485="","",ROUNDUP(H485*35%,0))</f>
        <v/>
      </c>
      <c r="K485" s="113"/>
      <c r="L485" s="113"/>
    </row>
    <row r="486" customFormat="false" ht="12.75" hidden="false" customHeight="true" outlineLevel="0" collapsed="false">
      <c r="A486" s="121" t="str">
        <f aca="false">IF(B486="","",CONCATENATE(COUNTA($B$4:B486),"."))</f>
        <v/>
      </c>
      <c r="B486" s="112"/>
      <c r="C486" s="112"/>
      <c r="D486" s="81"/>
      <c r="E486" s="81"/>
      <c r="F486" s="81"/>
      <c r="G486" s="81"/>
      <c r="H486" s="81"/>
      <c r="I486" s="161"/>
      <c r="J486" s="154" t="str">
        <f aca="false">IF(H486="","",ROUNDUP(H486*35%,0))</f>
        <v/>
      </c>
      <c r="K486" s="113"/>
      <c r="L486" s="113"/>
    </row>
    <row r="487" customFormat="false" ht="12.75" hidden="false" customHeight="true" outlineLevel="0" collapsed="false">
      <c r="A487" s="121" t="str">
        <f aca="false">IF(B487="","",CONCATENATE(COUNTA($B$4:B487),"."))</f>
        <v/>
      </c>
      <c r="B487" s="112"/>
      <c r="C487" s="112"/>
      <c r="D487" s="81"/>
      <c r="E487" s="81"/>
      <c r="F487" s="81"/>
      <c r="G487" s="81"/>
      <c r="H487" s="81"/>
      <c r="I487" s="161"/>
      <c r="J487" s="154" t="str">
        <f aca="false">IF(H487="","",ROUNDUP(H487*35%,0))</f>
        <v/>
      </c>
      <c r="K487" s="113"/>
      <c r="L487" s="113"/>
    </row>
    <row r="488" customFormat="false" ht="12.75" hidden="false" customHeight="true" outlineLevel="0" collapsed="false">
      <c r="A488" s="121" t="str">
        <f aca="false">IF(B488="","",CONCATENATE(COUNTA($B$4:B488),"."))</f>
        <v/>
      </c>
      <c r="B488" s="112"/>
      <c r="C488" s="112"/>
      <c r="D488" s="81"/>
      <c r="E488" s="81"/>
      <c r="F488" s="81"/>
      <c r="G488" s="81"/>
      <c r="H488" s="81"/>
      <c r="I488" s="161"/>
      <c r="J488" s="154" t="str">
        <f aca="false">IF(H488="","",ROUNDUP(H488*35%,0))</f>
        <v/>
      </c>
      <c r="K488" s="113"/>
      <c r="L488" s="113"/>
    </row>
    <row r="489" customFormat="false" ht="12.75" hidden="false" customHeight="true" outlineLevel="0" collapsed="false">
      <c r="A489" s="121" t="str">
        <f aca="false">IF(B489="","",CONCATENATE(COUNTA($B$4:B489),"."))</f>
        <v/>
      </c>
      <c r="B489" s="112"/>
      <c r="C489" s="112"/>
      <c r="D489" s="81"/>
      <c r="E489" s="81"/>
      <c r="F489" s="81"/>
      <c r="G489" s="81"/>
      <c r="H489" s="81"/>
      <c r="I489" s="161"/>
      <c r="J489" s="154" t="str">
        <f aca="false">IF(H489="","",ROUNDUP(H489*35%,0))</f>
        <v/>
      </c>
      <c r="K489" s="113"/>
      <c r="L489" s="113"/>
    </row>
    <row r="490" customFormat="false" ht="12.75" hidden="false" customHeight="true" outlineLevel="0" collapsed="false">
      <c r="A490" s="121" t="str">
        <f aca="false">IF(B490="","",CONCATENATE(COUNTA($B$4:B490),"."))</f>
        <v/>
      </c>
      <c r="B490" s="112"/>
      <c r="C490" s="112"/>
      <c r="D490" s="81"/>
      <c r="E490" s="81"/>
      <c r="F490" s="81"/>
      <c r="G490" s="81"/>
      <c r="H490" s="81"/>
      <c r="I490" s="161"/>
      <c r="J490" s="154" t="str">
        <f aca="false">IF(H490="","",ROUNDUP(H490*35%,0))</f>
        <v/>
      </c>
      <c r="K490" s="113"/>
      <c r="L490" s="113"/>
    </row>
    <row r="491" customFormat="false" ht="12.75" hidden="false" customHeight="true" outlineLevel="0" collapsed="false">
      <c r="A491" s="121" t="str">
        <f aca="false">IF(B491="","",CONCATENATE(COUNTA($B$4:B491),"."))</f>
        <v/>
      </c>
      <c r="B491" s="112"/>
      <c r="C491" s="112"/>
      <c r="D491" s="81"/>
      <c r="E491" s="81"/>
      <c r="F491" s="81"/>
      <c r="G491" s="81"/>
      <c r="H491" s="81"/>
      <c r="I491" s="161"/>
      <c r="J491" s="154" t="str">
        <f aca="false">IF(H491="","",ROUNDUP(H491*35%,0))</f>
        <v/>
      </c>
      <c r="K491" s="113"/>
      <c r="L491" s="113"/>
    </row>
    <row r="492" customFormat="false" ht="12.75" hidden="false" customHeight="true" outlineLevel="0" collapsed="false">
      <c r="A492" s="121" t="str">
        <f aca="false">IF(B492="","",CONCATENATE(COUNTA($B$4:B492),"."))</f>
        <v/>
      </c>
      <c r="B492" s="112"/>
      <c r="C492" s="112"/>
      <c r="D492" s="81"/>
      <c r="E492" s="81"/>
      <c r="F492" s="81"/>
      <c r="G492" s="81"/>
      <c r="H492" s="81"/>
      <c r="I492" s="161"/>
      <c r="J492" s="154" t="str">
        <f aca="false">IF(H492="","",ROUNDUP(H492*35%,0))</f>
        <v/>
      </c>
      <c r="K492" s="113"/>
      <c r="L492" s="113"/>
    </row>
    <row r="493" customFormat="false" ht="12.75" hidden="false" customHeight="true" outlineLevel="0" collapsed="false">
      <c r="A493" s="121" t="str">
        <f aca="false">IF(B493="","",CONCATENATE(COUNTA($B$4:B493),"."))</f>
        <v/>
      </c>
      <c r="B493" s="112"/>
      <c r="C493" s="112"/>
      <c r="D493" s="81"/>
      <c r="E493" s="81"/>
      <c r="F493" s="81"/>
      <c r="G493" s="81"/>
      <c r="H493" s="81"/>
      <c r="I493" s="161"/>
      <c r="J493" s="154" t="str">
        <f aca="false">IF(H493="","",ROUNDUP(H493*35%,0))</f>
        <v/>
      </c>
      <c r="K493" s="113"/>
      <c r="L493" s="113"/>
    </row>
    <row r="494" customFormat="false" ht="12.75" hidden="false" customHeight="true" outlineLevel="0" collapsed="false">
      <c r="A494" s="121" t="str">
        <f aca="false">IF(B494="","",CONCATENATE(COUNTA($B$4:B494),"."))</f>
        <v/>
      </c>
      <c r="B494" s="112"/>
      <c r="C494" s="112"/>
      <c r="D494" s="81"/>
      <c r="E494" s="81"/>
      <c r="F494" s="81"/>
      <c r="G494" s="81"/>
      <c r="H494" s="81"/>
      <c r="I494" s="161"/>
      <c r="J494" s="154" t="str">
        <f aca="false">IF(H494="","",ROUNDUP(H494*35%,0))</f>
        <v/>
      </c>
      <c r="K494" s="113"/>
      <c r="L494" s="113"/>
    </row>
    <row r="495" customFormat="false" ht="12.75" hidden="false" customHeight="true" outlineLevel="0" collapsed="false">
      <c r="A495" s="121" t="str">
        <f aca="false">IF(B495="","",CONCATENATE(COUNTA($B$4:B495),"."))</f>
        <v/>
      </c>
      <c r="B495" s="112"/>
      <c r="C495" s="112"/>
      <c r="D495" s="81"/>
      <c r="E495" s="81"/>
      <c r="F495" s="81"/>
      <c r="G495" s="81"/>
      <c r="H495" s="81"/>
      <c r="I495" s="161"/>
      <c r="J495" s="154" t="str">
        <f aca="false">IF(H495="","",ROUNDUP(H495*35%,0))</f>
        <v/>
      </c>
      <c r="K495" s="113"/>
      <c r="L495" s="113"/>
    </row>
    <row r="496" customFormat="false" ht="12.75" hidden="false" customHeight="true" outlineLevel="0" collapsed="false">
      <c r="A496" s="121" t="str">
        <f aca="false">IF(B496="","",CONCATENATE(COUNTA($B$4:B496),"."))</f>
        <v/>
      </c>
      <c r="B496" s="112"/>
      <c r="C496" s="112"/>
      <c r="D496" s="81"/>
      <c r="E496" s="81"/>
      <c r="F496" s="81"/>
      <c r="G496" s="81"/>
      <c r="H496" s="81"/>
      <c r="I496" s="161"/>
      <c r="J496" s="154" t="str">
        <f aca="false">IF(H496="","",ROUNDUP(H496*35%,0))</f>
        <v/>
      </c>
      <c r="K496" s="113"/>
      <c r="L496" s="113"/>
    </row>
    <row r="497" customFormat="false" ht="12.75" hidden="false" customHeight="true" outlineLevel="0" collapsed="false">
      <c r="A497" s="121" t="str">
        <f aca="false">IF(B497="","",CONCATENATE(COUNTA($B$4:B497),"."))</f>
        <v/>
      </c>
      <c r="B497" s="112"/>
      <c r="C497" s="112"/>
      <c r="D497" s="81"/>
      <c r="E497" s="81"/>
      <c r="F497" s="81"/>
      <c r="G497" s="81"/>
      <c r="H497" s="81"/>
      <c r="I497" s="161"/>
      <c r="J497" s="154" t="str">
        <f aca="false">IF(H497="","",ROUNDUP(H497*35%,0))</f>
        <v/>
      </c>
      <c r="K497" s="113"/>
      <c r="L497" s="113"/>
    </row>
    <row r="498" customFormat="false" ht="12.75" hidden="false" customHeight="true" outlineLevel="0" collapsed="false">
      <c r="A498" s="121" t="str">
        <f aca="false">IF(B498="","",CONCATENATE(COUNTA($B$4:B498),"."))</f>
        <v/>
      </c>
      <c r="B498" s="112"/>
      <c r="C498" s="112"/>
      <c r="D498" s="81"/>
      <c r="E498" s="81"/>
      <c r="F498" s="81"/>
      <c r="G498" s="81"/>
      <c r="H498" s="81"/>
      <c r="I498" s="161"/>
      <c r="J498" s="154" t="str">
        <f aca="false">IF(H498="","",ROUNDUP(H498*35%,0))</f>
        <v/>
      </c>
      <c r="K498" s="113"/>
      <c r="L498" s="113"/>
    </row>
    <row r="499" customFormat="false" ht="12.75" hidden="false" customHeight="true" outlineLevel="0" collapsed="false">
      <c r="A499" s="121" t="str">
        <f aca="false">IF(B499="","",CONCATENATE(COUNTA($B$4:B499),"."))</f>
        <v/>
      </c>
      <c r="B499" s="112"/>
      <c r="C499" s="112"/>
      <c r="D499" s="81"/>
      <c r="E499" s="81"/>
      <c r="F499" s="81"/>
      <c r="G499" s="81"/>
      <c r="H499" s="81"/>
      <c r="I499" s="161"/>
      <c r="J499" s="154" t="str">
        <f aca="false">IF(H499="","",ROUNDUP(H499*35%,0))</f>
        <v/>
      </c>
      <c r="K499" s="113"/>
      <c r="L499" s="113"/>
    </row>
    <row r="500" customFormat="false" ht="12.75" hidden="false" customHeight="true" outlineLevel="0" collapsed="false">
      <c r="A500" s="121" t="str">
        <f aca="false">IF(B500="","",CONCATENATE(COUNTA($B$4:B500),"."))</f>
        <v/>
      </c>
      <c r="B500" s="112"/>
      <c r="C500" s="112"/>
      <c r="D500" s="81"/>
      <c r="E500" s="81"/>
      <c r="F500" s="81"/>
      <c r="G500" s="81"/>
      <c r="H500" s="81"/>
      <c r="I500" s="161"/>
      <c r="J500" s="154" t="str">
        <f aca="false">IF(H500="","",ROUNDUP(H500*35%,0))</f>
        <v/>
      </c>
      <c r="K500" s="113"/>
      <c r="L500" s="113"/>
    </row>
    <row r="501" customFormat="false" ht="12.75" hidden="false" customHeight="true" outlineLevel="0" collapsed="false">
      <c r="A501" s="121" t="str">
        <f aca="false">IF(B501="","",CONCATENATE(COUNTA($B$4:B501),"."))</f>
        <v/>
      </c>
      <c r="B501" s="112"/>
      <c r="C501" s="112"/>
      <c r="D501" s="81"/>
      <c r="E501" s="81"/>
      <c r="F501" s="81"/>
      <c r="G501" s="81"/>
      <c r="H501" s="81"/>
      <c r="I501" s="161"/>
      <c r="J501" s="154" t="str">
        <f aca="false">IF(H501="","",ROUNDUP(H501*35%,0))</f>
        <v/>
      </c>
      <c r="K501" s="113"/>
      <c r="L501" s="113"/>
    </row>
    <row r="502" customFormat="false" ht="12.75" hidden="false" customHeight="true" outlineLevel="0" collapsed="false">
      <c r="A502" s="121" t="str">
        <f aca="false">IF(B502="","",CONCATENATE(COUNTA($B$4:B502),"."))</f>
        <v/>
      </c>
      <c r="B502" s="112"/>
      <c r="C502" s="112"/>
      <c r="D502" s="81"/>
      <c r="E502" s="81"/>
      <c r="F502" s="81"/>
      <c r="G502" s="81"/>
      <c r="H502" s="81"/>
      <c r="I502" s="161"/>
      <c r="J502" s="154" t="str">
        <f aca="false">IF(H502="","",ROUNDUP(H502*35%,0))</f>
        <v/>
      </c>
      <c r="K502" s="113"/>
      <c r="L502" s="113"/>
    </row>
    <row r="503" customFormat="false" ht="12.75" hidden="false" customHeight="true" outlineLevel="0" collapsed="false">
      <c r="A503" s="121" t="str">
        <f aca="false">IF(B503="","",CONCATENATE(COUNTA($B$4:B503),"."))</f>
        <v/>
      </c>
      <c r="B503" s="112"/>
      <c r="C503" s="112"/>
      <c r="D503" s="81"/>
      <c r="E503" s="81"/>
      <c r="F503" s="81"/>
      <c r="G503" s="81"/>
      <c r="H503" s="81"/>
      <c r="I503" s="161"/>
      <c r="J503" s="154" t="str">
        <f aca="false">IF(H503="","",ROUNDUP(H503*35%,0))</f>
        <v/>
      </c>
      <c r="K503" s="113"/>
      <c r="L503" s="113"/>
    </row>
    <row r="504" customFormat="false" ht="12.75" hidden="false" customHeight="true" outlineLevel="0" collapsed="false">
      <c r="A504" s="121" t="str">
        <f aca="false">IF(B504="","",CONCATENATE(COUNTA($B$4:B504),"."))</f>
        <v/>
      </c>
      <c r="B504" s="112"/>
      <c r="C504" s="112"/>
      <c r="D504" s="81"/>
      <c r="E504" s="81"/>
      <c r="F504" s="81"/>
      <c r="G504" s="81"/>
      <c r="H504" s="81"/>
      <c r="I504" s="161"/>
      <c r="J504" s="154" t="str">
        <f aca="false">IF(H504="","",ROUNDUP(H504*35%,0))</f>
        <v/>
      </c>
      <c r="K504" s="113"/>
      <c r="L504" s="113"/>
    </row>
    <row r="505" customFormat="false" ht="12.75" hidden="false" customHeight="true" outlineLevel="0" collapsed="false">
      <c r="A505" s="121" t="str">
        <f aca="false">IF(B505="","",CONCATENATE(COUNTA($B$4:B505),"."))</f>
        <v/>
      </c>
      <c r="B505" s="112"/>
      <c r="C505" s="112"/>
      <c r="D505" s="81"/>
      <c r="E505" s="81"/>
      <c r="F505" s="81"/>
      <c r="G505" s="81"/>
      <c r="H505" s="81"/>
      <c r="I505" s="161"/>
      <c r="J505" s="154" t="str">
        <f aca="false">IF(H505="","",ROUNDUP(H505*35%,0))</f>
        <v/>
      </c>
      <c r="K505" s="113"/>
      <c r="L505" s="113"/>
    </row>
    <row r="506" customFormat="false" ht="12.75" hidden="false" customHeight="true" outlineLevel="0" collapsed="false">
      <c r="A506" s="121" t="str">
        <f aca="false">IF(B506="","",CONCATENATE(COUNTA($B$4:B506),"."))</f>
        <v/>
      </c>
      <c r="B506" s="112"/>
      <c r="C506" s="112"/>
      <c r="D506" s="81"/>
      <c r="E506" s="81"/>
      <c r="F506" s="81"/>
      <c r="G506" s="81"/>
      <c r="H506" s="81"/>
      <c r="I506" s="161"/>
      <c r="J506" s="154" t="str">
        <f aca="false">IF(H506="","",ROUNDUP(H506*35%,0))</f>
        <v/>
      </c>
      <c r="K506" s="113"/>
      <c r="L506" s="113"/>
    </row>
    <row r="507" customFormat="false" ht="12.75" hidden="false" customHeight="true" outlineLevel="0" collapsed="false">
      <c r="A507" s="121" t="str">
        <f aca="false">IF(B507="","",CONCATENATE(COUNTA($B$4:B507),"."))</f>
        <v/>
      </c>
      <c r="B507" s="112"/>
      <c r="C507" s="112"/>
      <c r="D507" s="81"/>
      <c r="E507" s="81"/>
      <c r="F507" s="81"/>
      <c r="G507" s="81"/>
      <c r="H507" s="81"/>
      <c r="I507" s="161"/>
      <c r="J507" s="154" t="str">
        <f aca="false">IF(H507="","",ROUNDUP(H507*35%,0))</f>
        <v/>
      </c>
      <c r="K507" s="113"/>
      <c r="L507" s="113"/>
    </row>
    <row r="508" customFormat="false" ht="12.75" hidden="false" customHeight="true" outlineLevel="0" collapsed="false">
      <c r="A508" s="121" t="str">
        <f aca="false">IF(B508="","",CONCATENATE(COUNTA($B$4:B508),"."))</f>
        <v/>
      </c>
      <c r="B508" s="112"/>
      <c r="C508" s="112"/>
      <c r="D508" s="81"/>
      <c r="E508" s="81"/>
      <c r="F508" s="81"/>
      <c r="G508" s="81"/>
      <c r="H508" s="81"/>
      <c r="I508" s="161"/>
      <c r="J508" s="154" t="str">
        <f aca="false">IF(H508="","",ROUNDUP(H508*35%,0))</f>
        <v/>
      </c>
      <c r="K508" s="113"/>
      <c r="L508" s="113"/>
    </row>
    <row r="509" customFormat="false" ht="12.75" hidden="false" customHeight="true" outlineLevel="0" collapsed="false">
      <c r="A509" s="121" t="str">
        <f aca="false">IF(B509="","",CONCATENATE(COUNTA($B$4:B509),"."))</f>
        <v/>
      </c>
      <c r="B509" s="112"/>
      <c r="C509" s="112"/>
      <c r="D509" s="81"/>
      <c r="E509" s="81"/>
      <c r="F509" s="81"/>
      <c r="G509" s="81"/>
      <c r="H509" s="81"/>
      <c r="I509" s="161"/>
      <c r="J509" s="154" t="str">
        <f aca="false">IF(H509="","",ROUNDUP(H509*35%,0))</f>
        <v/>
      </c>
      <c r="K509" s="113"/>
      <c r="L509" s="113"/>
    </row>
    <row r="510" customFormat="false" ht="12.75" hidden="false" customHeight="true" outlineLevel="0" collapsed="false">
      <c r="A510" s="121" t="str">
        <f aca="false">IF(B510="","",CONCATENATE(COUNTA($B$4:B510),"."))</f>
        <v/>
      </c>
      <c r="B510" s="112"/>
      <c r="C510" s="112"/>
      <c r="D510" s="81"/>
      <c r="E510" s="81"/>
      <c r="F510" s="81"/>
      <c r="G510" s="81"/>
      <c r="H510" s="81"/>
      <c r="I510" s="161"/>
      <c r="J510" s="154" t="str">
        <f aca="false">IF(H510="","",ROUNDUP(H510*35%,0))</f>
        <v/>
      </c>
      <c r="K510" s="113"/>
      <c r="L510" s="113"/>
    </row>
    <row r="511" customFormat="false" ht="12.75" hidden="false" customHeight="true" outlineLevel="0" collapsed="false">
      <c r="A511" s="121" t="str">
        <f aca="false">IF(B511="","",CONCATENATE(COUNTA($B$4:B511),"."))</f>
        <v/>
      </c>
      <c r="B511" s="112"/>
      <c r="C511" s="112"/>
      <c r="D511" s="81"/>
      <c r="E511" s="81"/>
      <c r="F511" s="81"/>
      <c r="G511" s="81"/>
      <c r="H511" s="81"/>
      <c r="I511" s="161"/>
      <c r="J511" s="154" t="str">
        <f aca="false">IF(H511="","",ROUNDUP(H511*35%,0))</f>
        <v/>
      </c>
      <c r="K511" s="113"/>
      <c r="L511" s="113"/>
    </row>
    <row r="512" customFormat="false" ht="12.75" hidden="false" customHeight="true" outlineLevel="0" collapsed="false">
      <c r="A512" s="121" t="str">
        <f aca="false">IF(B512="","",CONCATENATE(COUNTA($B$4:B512),"."))</f>
        <v/>
      </c>
      <c r="B512" s="112"/>
      <c r="C512" s="112"/>
      <c r="D512" s="81"/>
      <c r="E512" s="81"/>
      <c r="F512" s="81"/>
      <c r="G512" s="81"/>
      <c r="H512" s="81"/>
      <c r="I512" s="161"/>
      <c r="J512" s="154" t="str">
        <f aca="false">IF(H512="","",ROUNDUP(H512*35%,0))</f>
        <v/>
      </c>
      <c r="K512" s="113"/>
      <c r="L512" s="113"/>
    </row>
    <row r="513" customFormat="false" ht="12.75" hidden="false" customHeight="true" outlineLevel="0" collapsed="false">
      <c r="A513" s="121" t="str">
        <f aca="false">IF(B513="","",CONCATENATE(COUNTA($B$4:B513),"."))</f>
        <v/>
      </c>
      <c r="B513" s="112"/>
      <c r="C513" s="112"/>
      <c r="D513" s="81"/>
      <c r="E513" s="81"/>
      <c r="F513" s="81"/>
      <c r="G513" s="81"/>
      <c r="H513" s="81"/>
      <c r="I513" s="161"/>
      <c r="J513" s="154" t="str">
        <f aca="false">IF(H513="","",ROUNDUP(H513*35%,0))</f>
        <v/>
      </c>
      <c r="K513" s="113"/>
      <c r="L513" s="113"/>
    </row>
    <row r="514" customFormat="false" ht="12.75" hidden="false" customHeight="true" outlineLevel="0" collapsed="false">
      <c r="A514" s="121" t="str">
        <f aca="false">IF(B514="","",CONCATENATE(COUNTA($B$4:B514),"."))</f>
        <v/>
      </c>
      <c r="B514" s="112"/>
      <c r="C514" s="112"/>
      <c r="D514" s="81"/>
      <c r="E514" s="81"/>
      <c r="F514" s="81"/>
      <c r="G514" s="81"/>
      <c r="H514" s="81"/>
      <c r="I514" s="161"/>
      <c r="J514" s="154" t="str">
        <f aca="false">IF(H514="","",ROUNDUP(H514*35%,0))</f>
        <v/>
      </c>
      <c r="K514" s="113"/>
      <c r="L514" s="113"/>
    </row>
    <row r="515" customFormat="false" ht="12.75" hidden="false" customHeight="true" outlineLevel="0" collapsed="false">
      <c r="A515" s="121" t="str">
        <f aca="false">IF(B515="","",CONCATENATE(COUNTA($B$4:B515),"."))</f>
        <v/>
      </c>
      <c r="B515" s="112"/>
      <c r="C515" s="112"/>
      <c r="D515" s="81"/>
      <c r="E515" s="81"/>
      <c r="F515" s="81"/>
      <c r="G515" s="81"/>
      <c r="H515" s="81"/>
      <c r="I515" s="161"/>
      <c r="J515" s="154" t="str">
        <f aca="false">IF(H515="","",ROUNDUP(H515*35%,0))</f>
        <v/>
      </c>
      <c r="K515" s="113"/>
      <c r="L515" s="113"/>
    </row>
    <row r="516" customFormat="false" ht="12.75" hidden="false" customHeight="true" outlineLevel="0" collapsed="false">
      <c r="A516" s="121" t="str">
        <f aca="false">IF(B516="","",CONCATENATE(COUNTA($B$4:B516),"."))</f>
        <v/>
      </c>
      <c r="B516" s="112"/>
      <c r="C516" s="112"/>
      <c r="D516" s="81"/>
      <c r="E516" s="81"/>
      <c r="F516" s="81"/>
      <c r="G516" s="81"/>
      <c r="H516" s="81"/>
      <c r="I516" s="161"/>
      <c r="J516" s="154" t="str">
        <f aca="false">IF(H516="","",ROUNDUP(H516*35%,0))</f>
        <v/>
      </c>
      <c r="K516" s="113"/>
      <c r="L516" s="113"/>
    </row>
    <row r="517" customFormat="false" ht="12.75" hidden="false" customHeight="true" outlineLevel="0" collapsed="false">
      <c r="A517" s="121" t="str">
        <f aca="false">IF(B517="","",CONCATENATE(COUNTA($B$4:B517),"."))</f>
        <v/>
      </c>
      <c r="B517" s="112"/>
      <c r="C517" s="112"/>
      <c r="D517" s="81"/>
      <c r="E517" s="81"/>
      <c r="F517" s="81"/>
      <c r="G517" s="81"/>
      <c r="H517" s="81"/>
      <c r="I517" s="161"/>
      <c r="J517" s="154" t="str">
        <f aca="false">IF(H517="","",ROUNDUP(H517*35%,0))</f>
        <v/>
      </c>
      <c r="K517" s="113"/>
      <c r="L517" s="113"/>
    </row>
    <row r="518" customFormat="false" ht="12.75" hidden="false" customHeight="true" outlineLevel="0" collapsed="false">
      <c r="A518" s="121" t="str">
        <f aca="false">IF(B518="","",CONCATENATE(COUNTA($B$4:B518),"."))</f>
        <v/>
      </c>
      <c r="B518" s="112"/>
      <c r="C518" s="112"/>
      <c r="D518" s="81"/>
      <c r="E518" s="81"/>
      <c r="F518" s="81"/>
      <c r="G518" s="81"/>
      <c r="H518" s="81"/>
      <c r="I518" s="161"/>
      <c r="J518" s="154" t="str">
        <f aca="false">IF(H518="","",ROUNDUP(H518*35%,0))</f>
        <v/>
      </c>
      <c r="K518" s="113"/>
      <c r="L518" s="113"/>
    </row>
    <row r="519" customFormat="false" ht="12.75" hidden="false" customHeight="true" outlineLevel="0" collapsed="false">
      <c r="A519" s="121" t="str">
        <f aca="false">IF(B519="","",CONCATENATE(COUNTA($B$4:B519),"."))</f>
        <v/>
      </c>
      <c r="B519" s="112"/>
      <c r="C519" s="112"/>
      <c r="D519" s="81"/>
      <c r="E519" s="81"/>
      <c r="F519" s="81"/>
      <c r="G519" s="81"/>
      <c r="H519" s="81"/>
      <c r="I519" s="161"/>
      <c r="J519" s="154" t="str">
        <f aca="false">IF(H519="","",ROUNDUP(H519*35%,0))</f>
        <v/>
      </c>
      <c r="K519" s="113"/>
      <c r="L519" s="113"/>
    </row>
    <row r="520" customFormat="false" ht="12.75" hidden="false" customHeight="true" outlineLevel="0" collapsed="false">
      <c r="A520" s="121" t="str">
        <f aca="false">IF(B520="","",CONCATENATE(COUNTA($B$4:B520),"."))</f>
        <v/>
      </c>
      <c r="B520" s="112"/>
      <c r="C520" s="112"/>
      <c r="D520" s="81"/>
      <c r="E520" s="81"/>
      <c r="F520" s="81"/>
      <c r="G520" s="81"/>
      <c r="H520" s="81"/>
      <c r="I520" s="161"/>
      <c r="J520" s="154" t="str">
        <f aca="false">IF(H520="","",ROUNDUP(H520*35%,0))</f>
        <v/>
      </c>
      <c r="K520" s="113"/>
      <c r="L520" s="113"/>
    </row>
    <row r="521" customFormat="false" ht="12.75" hidden="false" customHeight="true" outlineLevel="0" collapsed="false">
      <c r="A521" s="121" t="str">
        <f aca="false">IF(B521="","",CONCATENATE(COUNTA($B$4:B521),"."))</f>
        <v/>
      </c>
      <c r="B521" s="112"/>
      <c r="C521" s="112"/>
      <c r="D521" s="81"/>
      <c r="E521" s="81"/>
      <c r="F521" s="81"/>
      <c r="G521" s="81"/>
      <c r="H521" s="81"/>
      <c r="I521" s="161"/>
      <c r="J521" s="154" t="str">
        <f aca="false">IF(H521="","",ROUNDUP(H521*35%,0))</f>
        <v/>
      </c>
      <c r="K521" s="113"/>
      <c r="L521" s="113"/>
    </row>
    <row r="522" customFormat="false" ht="12.75" hidden="false" customHeight="true" outlineLevel="0" collapsed="false">
      <c r="A522" s="121" t="str">
        <f aca="false">IF(B522="","",CONCATENATE(COUNTA($B$4:B522),"."))</f>
        <v/>
      </c>
      <c r="B522" s="112"/>
      <c r="C522" s="112"/>
      <c r="D522" s="81"/>
      <c r="E522" s="81"/>
      <c r="F522" s="81"/>
      <c r="G522" s="81"/>
      <c r="H522" s="81"/>
      <c r="I522" s="161"/>
      <c r="J522" s="154" t="str">
        <f aca="false">IF(H522="","",ROUNDUP(H522*35%,0))</f>
        <v/>
      </c>
      <c r="K522" s="113"/>
      <c r="L522" s="113"/>
    </row>
    <row r="523" customFormat="false" ht="12.75" hidden="false" customHeight="true" outlineLevel="0" collapsed="false">
      <c r="A523" s="121" t="str">
        <f aca="false">IF(B523="","",CONCATENATE(COUNTA($B$4:B523),"."))</f>
        <v/>
      </c>
      <c r="B523" s="112"/>
      <c r="C523" s="112"/>
      <c r="D523" s="81"/>
      <c r="E523" s="81"/>
      <c r="F523" s="81"/>
      <c r="G523" s="81"/>
      <c r="H523" s="81"/>
      <c r="I523" s="161"/>
      <c r="J523" s="154" t="str">
        <f aca="false">IF(H523="","",ROUNDUP(H523*35%,0))</f>
        <v/>
      </c>
      <c r="K523" s="113"/>
      <c r="L523" s="113"/>
    </row>
    <row r="524" customFormat="false" ht="12.75" hidden="false" customHeight="true" outlineLevel="0" collapsed="false">
      <c r="A524" s="121" t="str">
        <f aca="false">IF(B524="","",CONCATENATE(COUNTA($B$4:B524),"."))</f>
        <v/>
      </c>
      <c r="B524" s="112"/>
      <c r="C524" s="112"/>
      <c r="D524" s="81"/>
      <c r="E524" s="81"/>
      <c r="F524" s="81"/>
      <c r="G524" s="81"/>
      <c r="H524" s="81"/>
      <c r="I524" s="161"/>
      <c r="J524" s="154" t="str">
        <f aca="false">IF(H524="","",ROUNDUP(H524*35%,0))</f>
        <v/>
      </c>
      <c r="K524" s="113"/>
      <c r="L524" s="113"/>
    </row>
    <row r="525" customFormat="false" ht="12.75" hidden="false" customHeight="true" outlineLevel="0" collapsed="false">
      <c r="A525" s="121" t="str">
        <f aca="false">IF(B525="","",CONCATENATE(COUNTA($B$4:B525),"."))</f>
        <v/>
      </c>
      <c r="B525" s="112"/>
      <c r="C525" s="112"/>
      <c r="D525" s="81"/>
      <c r="E525" s="81"/>
      <c r="F525" s="81"/>
      <c r="G525" s="81"/>
      <c r="H525" s="81"/>
      <c r="I525" s="161"/>
      <c r="J525" s="154" t="str">
        <f aca="false">IF(H525="","",ROUNDUP(H525*35%,0))</f>
        <v/>
      </c>
      <c r="K525" s="113"/>
      <c r="L525" s="113"/>
    </row>
    <row r="526" customFormat="false" ht="12.75" hidden="false" customHeight="true" outlineLevel="0" collapsed="false">
      <c r="A526" s="121" t="str">
        <f aca="false">IF(B526="","",CONCATENATE(COUNTA($B$4:B526),"."))</f>
        <v/>
      </c>
      <c r="B526" s="112"/>
      <c r="C526" s="112"/>
      <c r="D526" s="81"/>
      <c r="E526" s="81"/>
      <c r="F526" s="81"/>
      <c r="G526" s="81"/>
      <c r="H526" s="81"/>
      <c r="I526" s="161"/>
      <c r="J526" s="154" t="str">
        <f aca="false">IF(H526="","",ROUNDUP(H526*35%,0))</f>
        <v/>
      </c>
      <c r="K526" s="113"/>
      <c r="L526" s="113"/>
    </row>
    <row r="527" customFormat="false" ht="12.75" hidden="false" customHeight="true" outlineLevel="0" collapsed="false">
      <c r="A527" s="121" t="str">
        <f aca="false">IF(B527="","",CONCATENATE(COUNTA($B$4:B527),"."))</f>
        <v/>
      </c>
      <c r="B527" s="112"/>
      <c r="C527" s="112"/>
      <c r="D527" s="81"/>
      <c r="E527" s="81"/>
      <c r="F527" s="81"/>
      <c r="G527" s="81"/>
      <c r="H527" s="81"/>
      <c r="I527" s="161"/>
      <c r="J527" s="154" t="str">
        <f aca="false">IF(H527="","",ROUNDUP(H527*35%,0))</f>
        <v/>
      </c>
      <c r="K527" s="113"/>
      <c r="L527" s="113"/>
    </row>
    <row r="528" customFormat="false" ht="12.75" hidden="false" customHeight="true" outlineLevel="0" collapsed="false">
      <c r="A528" s="121" t="str">
        <f aca="false">IF(B528="","",CONCATENATE(COUNTA($B$4:B528),"."))</f>
        <v/>
      </c>
      <c r="B528" s="112"/>
      <c r="C528" s="112"/>
      <c r="D528" s="81"/>
      <c r="E528" s="81"/>
      <c r="F528" s="81"/>
      <c r="G528" s="81"/>
      <c r="H528" s="81"/>
      <c r="I528" s="161"/>
      <c r="J528" s="154" t="str">
        <f aca="false">IF(H528="","",ROUNDUP(H528*35%,0))</f>
        <v/>
      </c>
      <c r="K528" s="113"/>
      <c r="L528" s="113"/>
    </row>
    <row r="529" customFormat="false" ht="12.75" hidden="false" customHeight="true" outlineLevel="0" collapsed="false">
      <c r="A529" s="121" t="str">
        <f aca="false">IF(B529="","",CONCATENATE(COUNTA($B$4:B529),"."))</f>
        <v/>
      </c>
      <c r="B529" s="112"/>
      <c r="C529" s="112"/>
      <c r="D529" s="81"/>
      <c r="E529" s="81"/>
      <c r="F529" s="81"/>
      <c r="G529" s="81"/>
      <c r="H529" s="81"/>
      <c r="I529" s="161"/>
      <c r="J529" s="154" t="str">
        <f aca="false">IF(H529="","",ROUNDUP(H529*35%,0))</f>
        <v/>
      </c>
      <c r="K529" s="113"/>
      <c r="L529" s="113"/>
    </row>
    <row r="530" customFormat="false" ht="12.75" hidden="false" customHeight="true" outlineLevel="0" collapsed="false">
      <c r="A530" s="121" t="str">
        <f aca="false">IF(B530="","",CONCATENATE(COUNTA($B$4:B530),"."))</f>
        <v/>
      </c>
      <c r="B530" s="112"/>
      <c r="C530" s="112"/>
      <c r="D530" s="81"/>
      <c r="E530" s="81"/>
      <c r="F530" s="81"/>
      <c r="G530" s="81"/>
      <c r="H530" s="81"/>
      <c r="I530" s="161"/>
      <c r="J530" s="154" t="str">
        <f aca="false">IF(H530="","",ROUNDUP(H530*35%,0))</f>
        <v/>
      </c>
      <c r="K530" s="113"/>
      <c r="L530" s="113"/>
    </row>
    <row r="531" customFormat="false" ht="12.75" hidden="false" customHeight="true" outlineLevel="0" collapsed="false">
      <c r="A531" s="121" t="str">
        <f aca="false">IF(B531="","",CONCATENATE(COUNTA($B$4:B531),"."))</f>
        <v/>
      </c>
      <c r="B531" s="112"/>
      <c r="C531" s="112"/>
      <c r="D531" s="81"/>
      <c r="E531" s="81"/>
      <c r="F531" s="81"/>
      <c r="G531" s="81"/>
      <c r="H531" s="81"/>
      <c r="I531" s="161"/>
      <c r="J531" s="154" t="str">
        <f aca="false">IF(H531="","",ROUNDUP(H531*35%,0))</f>
        <v/>
      </c>
      <c r="K531" s="113"/>
      <c r="L531" s="113"/>
    </row>
    <row r="532" customFormat="false" ht="12.75" hidden="false" customHeight="true" outlineLevel="0" collapsed="false">
      <c r="A532" s="121" t="str">
        <f aca="false">IF(B532="","",CONCATENATE(COUNTA($B$4:B532),"."))</f>
        <v/>
      </c>
      <c r="B532" s="112"/>
      <c r="C532" s="112"/>
      <c r="D532" s="81"/>
      <c r="E532" s="81"/>
      <c r="F532" s="81"/>
      <c r="G532" s="81"/>
      <c r="H532" s="81"/>
      <c r="I532" s="161"/>
      <c r="J532" s="154" t="str">
        <f aca="false">IF(H532="","",ROUNDUP(H532*35%,0))</f>
        <v/>
      </c>
      <c r="K532" s="113"/>
      <c r="L532" s="113"/>
    </row>
    <row r="533" customFormat="false" ht="12.75" hidden="false" customHeight="true" outlineLevel="0" collapsed="false">
      <c r="A533" s="121" t="str">
        <f aca="false">IF(B533="","",CONCATENATE(COUNTA($B$4:B533),"."))</f>
        <v/>
      </c>
      <c r="B533" s="112"/>
      <c r="C533" s="112"/>
      <c r="D533" s="81"/>
      <c r="E533" s="81"/>
      <c r="F533" s="81"/>
      <c r="G533" s="81"/>
      <c r="H533" s="81"/>
      <c r="I533" s="161"/>
      <c r="J533" s="154" t="str">
        <f aca="false">IF(H533="","",ROUNDUP(H533*35%,0))</f>
        <v/>
      </c>
      <c r="K533" s="113"/>
      <c r="L533" s="113"/>
    </row>
    <row r="534" customFormat="false" ht="12.75" hidden="false" customHeight="true" outlineLevel="0" collapsed="false">
      <c r="A534" s="121" t="str">
        <f aca="false">IF(B534="","",CONCATENATE(COUNTA($B$4:B534),"."))</f>
        <v/>
      </c>
      <c r="B534" s="112"/>
      <c r="C534" s="112"/>
      <c r="D534" s="81"/>
      <c r="E534" s="81"/>
      <c r="F534" s="81"/>
      <c r="G534" s="81"/>
      <c r="H534" s="81"/>
      <c r="I534" s="161"/>
      <c r="J534" s="154" t="str">
        <f aca="false">IF(H534="","",ROUNDUP(H534*35%,0))</f>
        <v/>
      </c>
      <c r="K534" s="113"/>
      <c r="L534" s="113"/>
    </row>
    <row r="535" customFormat="false" ht="12.75" hidden="false" customHeight="true" outlineLevel="0" collapsed="false">
      <c r="A535" s="121" t="str">
        <f aca="false">IF(B535="","",CONCATENATE(COUNTA($B$4:B535),"."))</f>
        <v/>
      </c>
      <c r="B535" s="112"/>
      <c r="C535" s="112"/>
      <c r="D535" s="81"/>
      <c r="E535" s="81"/>
      <c r="F535" s="81"/>
      <c r="G535" s="81"/>
      <c r="H535" s="81"/>
      <c r="I535" s="161"/>
      <c r="J535" s="154" t="str">
        <f aca="false">IF(H535="","",ROUNDUP(H535*35%,0))</f>
        <v/>
      </c>
      <c r="K535" s="113"/>
      <c r="L535" s="113"/>
    </row>
    <row r="536" customFormat="false" ht="12.75" hidden="false" customHeight="true" outlineLevel="0" collapsed="false">
      <c r="A536" s="121" t="str">
        <f aca="false">IF(B536="","",CONCATENATE(COUNTA($B$4:B536),"."))</f>
        <v/>
      </c>
      <c r="B536" s="112"/>
      <c r="C536" s="112"/>
      <c r="D536" s="81"/>
      <c r="E536" s="81"/>
      <c r="F536" s="81"/>
      <c r="G536" s="81"/>
      <c r="H536" s="81"/>
      <c r="I536" s="161"/>
      <c r="J536" s="154" t="str">
        <f aca="false">IF(H536="","",ROUNDUP(H536*35%,0))</f>
        <v/>
      </c>
      <c r="K536" s="113"/>
      <c r="L536" s="113"/>
    </row>
    <row r="537" customFormat="false" ht="12.75" hidden="false" customHeight="true" outlineLevel="0" collapsed="false">
      <c r="A537" s="121" t="str">
        <f aca="false">IF(B537="","",CONCATENATE(COUNTA($B$4:B537),"."))</f>
        <v/>
      </c>
      <c r="B537" s="112"/>
      <c r="C537" s="112"/>
      <c r="D537" s="81"/>
      <c r="E537" s="81"/>
      <c r="F537" s="81"/>
      <c r="G537" s="81"/>
      <c r="H537" s="81"/>
      <c r="I537" s="161"/>
      <c r="J537" s="154" t="str">
        <f aca="false">IF(H537="","",ROUNDUP(H537*35%,0))</f>
        <v/>
      </c>
      <c r="K537" s="113"/>
      <c r="L537" s="113"/>
    </row>
    <row r="538" customFormat="false" ht="12.75" hidden="false" customHeight="true" outlineLevel="0" collapsed="false">
      <c r="A538" s="121" t="str">
        <f aca="false">IF(B538="","",CONCATENATE(COUNTA($B$4:B538),"."))</f>
        <v/>
      </c>
      <c r="B538" s="112"/>
      <c r="C538" s="112"/>
      <c r="D538" s="81"/>
      <c r="E538" s="81"/>
      <c r="F538" s="81"/>
      <c r="G538" s="81"/>
      <c r="H538" s="81"/>
      <c r="I538" s="161"/>
      <c r="J538" s="154" t="str">
        <f aca="false">IF(H538="","",ROUNDUP(H538*35%,0))</f>
        <v/>
      </c>
      <c r="K538" s="113"/>
      <c r="L538" s="113"/>
    </row>
    <row r="539" customFormat="false" ht="12.75" hidden="false" customHeight="true" outlineLevel="0" collapsed="false">
      <c r="A539" s="121" t="str">
        <f aca="false">IF(B539="","",CONCATENATE(COUNTA($B$4:B539),"."))</f>
        <v/>
      </c>
      <c r="B539" s="112"/>
      <c r="C539" s="112"/>
      <c r="D539" s="81"/>
      <c r="E539" s="81"/>
      <c r="F539" s="81"/>
      <c r="G539" s="81"/>
      <c r="H539" s="81"/>
      <c r="I539" s="161"/>
      <c r="J539" s="154" t="str">
        <f aca="false">IF(H539="","",ROUNDUP(H539*35%,0))</f>
        <v/>
      </c>
      <c r="K539" s="113"/>
      <c r="L539" s="113"/>
    </row>
    <row r="540" customFormat="false" ht="12.75" hidden="false" customHeight="true" outlineLevel="0" collapsed="false">
      <c r="A540" s="121" t="str">
        <f aca="false">IF(B540="","",CONCATENATE(COUNTA($B$4:B540),"."))</f>
        <v/>
      </c>
      <c r="B540" s="112"/>
      <c r="C540" s="112"/>
      <c r="D540" s="81"/>
      <c r="E540" s="81"/>
      <c r="F540" s="81"/>
      <c r="G540" s="81"/>
      <c r="H540" s="81"/>
      <c r="I540" s="161"/>
      <c r="J540" s="154" t="str">
        <f aca="false">IF(H540="","",ROUNDUP(H540*35%,0))</f>
        <v/>
      </c>
      <c r="K540" s="113"/>
      <c r="L540" s="113"/>
    </row>
    <row r="541" customFormat="false" ht="12.75" hidden="false" customHeight="true" outlineLevel="0" collapsed="false">
      <c r="A541" s="121" t="str">
        <f aca="false">IF(B541="","",CONCATENATE(COUNTA($B$4:B541),"."))</f>
        <v/>
      </c>
      <c r="B541" s="112"/>
      <c r="C541" s="112"/>
      <c r="D541" s="81"/>
      <c r="E541" s="81"/>
      <c r="F541" s="81"/>
      <c r="G541" s="81"/>
      <c r="H541" s="81"/>
      <c r="I541" s="161"/>
      <c r="J541" s="154" t="str">
        <f aca="false">IF(H541="","",ROUNDUP(H541*35%,0))</f>
        <v/>
      </c>
      <c r="K541" s="113"/>
      <c r="L541" s="113"/>
    </row>
    <row r="542" customFormat="false" ht="12.75" hidden="false" customHeight="true" outlineLevel="0" collapsed="false">
      <c r="A542" s="121" t="str">
        <f aca="false">IF(B542="","",CONCATENATE(COUNTA($B$4:B542),"."))</f>
        <v/>
      </c>
      <c r="B542" s="112"/>
      <c r="C542" s="112"/>
      <c r="D542" s="81"/>
      <c r="E542" s="81"/>
      <c r="F542" s="81"/>
      <c r="G542" s="81"/>
      <c r="H542" s="81"/>
      <c r="I542" s="161"/>
      <c r="J542" s="154" t="str">
        <f aca="false">IF(H542="","",ROUNDUP(H542*35%,0))</f>
        <v/>
      </c>
      <c r="K542" s="113"/>
      <c r="L542" s="113"/>
    </row>
    <row r="543" customFormat="false" ht="12.75" hidden="false" customHeight="true" outlineLevel="0" collapsed="false">
      <c r="A543" s="121" t="str">
        <f aca="false">IF(B543="","",CONCATENATE(COUNTA($B$4:B543),"."))</f>
        <v/>
      </c>
      <c r="B543" s="112"/>
      <c r="C543" s="112"/>
      <c r="D543" s="81"/>
      <c r="E543" s="81"/>
      <c r="F543" s="81"/>
      <c r="G543" s="81"/>
      <c r="H543" s="81"/>
      <c r="I543" s="161"/>
      <c r="J543" s="154" t="str">
        <f aca="false">IF(H543="","",ROUNDUP(H543*35%,0))</f>
        <v/>
      </c>
      <c r="K543" s="113"/>
      <c r="L543" s="113"/>
    </row>
    <row r="544" customFormat="false" ht="12.75" hidden="false" customHeight="true" outlineLevel="0" collapsed="false">
      <c r="A544" s="121" t="str">
        <f aca="false">IF(B544="","",CONCATENATE(COUNTA($B$4:B544),"."))</f>
        <v/>
      </c>
      <c r="B544" s="112"/>
      <c r="C544" s="112"/>
      <c r="D544" s="81"/>
      <c r="E544" s="81"/>
      <c r="F544" s="81"/>
      <c r="G544" s="81"/>
      <c r="H544" s="81"/>
      <c r="I544" s="161"/>
      <c r="J544" s="154" t="str">
        <f aca="false">IF(H544="","",ROUNDUP(H544*35%,0))</f>
        <v/>
      </c>
      <c r="K544" s="113"/>
      <c r="L544" s="113"/>
    </row>
    <row r="545" customFormat="false" ht="12.75" hidden="false" customHeight="true" outlineLevel="0" collapsed="false">
      <c r="A545" s="121" t="str">
        <f aca="false">IF(B545="","",CONCATENATE(COUNTA($B$4:B545),"."))</f>
        <v/>
      </c>
      <c r="B545" s="112"/>
      <c r="C545" s="112"/>
      <c r="D545" s="81"/>
      <c r="E545" s="81"/>
      <c r="F545" s="81"/>
      <c r="G545" s="81"/>
      <c r="H545" s="81"/>
      <c r="I545" s="161"/>
      <c r="J545" s="154" t="str">
        <f aca="false">IF(H545="","",ROUNDUP(H545*35%,0))</f>
        <v/>
      </c>
      <c r="K545" s="113"/>
      <c r="L545" s="113"/>
    </row>
    <row r="546" customFormat="false" ht="12.75" hidden="false" customHeight="true" outlineLevel="0" collapsed="false">
      <c r="A546" s="121" t="str">
        <f aca="false">IF(B546="","",CONCATENATE(COUNTA($B$4:B546),"."))</f>
        <v/>
      </c>
      <c r="B546" s="112"/>
      <c r="C546" s="112"/>
      <c r="D546" s="81"/>
      <c r="E546" s="81"/>
      <c r="F546" s="81"/>
      <c r="G546" s="81"/>
      <c r="H546" s="81"/>
      <c r="I546" s="161"/>
      <c r="J546" s="154" t="str">
        <f aca="false">IF(H546="","",ROUNDUP(H546*35%,0))</f>
        <v/>
      </c>
      <c r="K546" s="113"/>
      <c r="L546" s="113"/>
    </row>
    <row r="547" customFormat="false" ht="12.75" hidden="false" customHeight="true" outlineLevel="0" collapsed="false">
      <c r="A547" s="121" t="str">
        <f aca="false">IF(B547="","",CONCATENATE(COUNTA($B$4:B547),"."))</f>
        <v/>
      </c>
      <c r="B547" s="112"/>
      <c r="C547" s="112"/>
      <c r="D547" s="81"/>
      <c r="E547" s="81"/>
      <c r="F547" s="81"/>
      <c r="G547" s="81"/>
      <c r="H547" s="81"/>
      <c r="I547" s="161"/>
      <c r="J547" s="154" t="str">
        <f aca="false">IF(H547="","",ROUNDUP(H547*35%,0))</f>
        <v/>
      </c>
      <c r="K547" s="113"/>
      <c r="L547" s="113"/>
    </row>
    <row r="548" customFormat="false" ht="12.75" hidden="false" customHeight="true" outlineLevel="0" collapsed="false">
      <c r="A548" s="121" t="str">
        <f aca="false">IF(B548="","",CONCATENATE(COUNTA($B$4:B548),"."))</f>
        <v/>
      </c>
      <c r="B548" s="112"/>
      <c r="C548" s="112"/>
      <c r="D548" s="81"/>
      <c r="E548" s="81"/>
      <c r="F548" s="81"/>
      <c r="G548" s="81"/>
      <c r="H548" s="81"/>
      <c r="I548" s="161"/>
      <c r="J548" s="154" t="str">
        <f aca="false">IF(H548="","",ROUNDUP(H548*35%,0))</f>
        <v/>
      </c>
      <c r="K548" s="113"/>
      <c r="L548" s="113"/>
    </row>
    <row r="549" customFormat="false" ht="12.75" hidden="false" customHeight="true" outlineLevel="0" collapsed="false">
      <c r="A549" s="121" t="str">
        <f aca="false">IF(B549="","",CONCATENATE(COUNTA($B$4:B549),"."))</f>
        <v/>
      </c>
      <c r="B549" s="112"/>
      <c r="C549" s="112"/>
      <c r="D549" s="81"/>
      <c r="E549" s="81"/>
      <c r="F549" s="81"/>
      <c r="G549" s="81"/>
      <c r="H549" s="81"/>
      <c r="I549" s="161"/>
      <c r="J549" s="154" t="str">
        <f aca="false">IF(H549="","",ROUNDUP(H549*35%,0))</f>
        <v/>
      </c>
      <c r="K549" s="113"/>
      <c r="L549" s="113"/>
    </row>
    <row r="550" customFormat="false" ht="12.75" hidden="false" customHeight="true" outlineLevel="0" collapsed="false">
      <c r="A550" s="121" t="str">
        <f aca="false">IF(B550="","",CONCATENATE(COUNTA($B$4:B550),"."))</f>
        <v/>
      </c>
      <c r="B550" s="112"/>
      <c r="C550" s="112"/>
      <c r="D550" s="81"/>
      <c r="E550" s="81"/>
      <c r="F550" s="81"/>
      <c r="G550" s="81"/>
      <c r="H550" s="81"/>
      <c r="I550" s="161"/>
      <c r="J550" s="154" t="str">
        <f aca="false">IF(H550="","",ROUNDUP(H550*35%,0))</f>
        <v/>
      </c>
      <c r="K550" s="113"/>
      <c r="L550" s="113"/>
    </row>
    <row r="551" customFormat="false" ht="12.75" hidden="false" customHeight="true" outlineLevel="0" collapsed="false">
      <c r="A551" s="121" t="str">
        <f aca="false">IF(B551="","",CONCATENATE(COUNTA($B$4:B551),"."))</f>
        <v/>
      </c>
      <c r="B551" s="112"/>
      <c r="C551" s="112"/>
      <c r="D551" s="81"/>
      <c r="E551" s="81"/>
      <c r="F551" s="81"/>
      <c r="G551" s="81"/>
      <c r="H551" s="81"/>
      <c r="I551" s="161"/>
      <c r="J551" s="154" t="str">
        <f aca="false">IF(H551="","",ROUNDUP(H551*35%,0))</f>
        <v/>
      </c>
      <c r="K551" s="113"/>
      <c r="L551" s="113"/>
    </row>
    <row r="552" customFormat="false" ht="12.75" hidden="false" customHeight="true" outlineLevel="0" collapsed="false">
      <c r="A552" s="121" t="str">
        <f aca="false">IF(B552="","",CONCATENATE(COUNTA($B$4:B552),"."))</f>
        <v/>
      </c>
      <c r="B552" s="112"/>
      <c r="C552" s="112"/>
      <c r="D552" s="81"/>
      <c r="E552" s="81"/>
      <c r="F552" s="81"/>
      <c r="G552" s="81"/>
      <c r="H552" s="81"/>
      <c r="I552" s="161"/>
      <c r="J552" s="154" t="str">
        <f aca="false">IF(H552="","",ROUNDUP(H552*35%,0))</f>
        <v/>
      </c>
      <c r="K552" s="113"/>
      <c r="L552" s="113"/>
    </row>
    <row r="553" customFormat="false" ht="12.75" hidden="false" customHeight="true" outlineLevel="0" collapsed="false">
      <c r="A553" s="121" t="str">
        <f aca="false">IF(B553="","",CONCATENATE(COUNTA($B$4:B553),"."))</f>
        <v/>
      </c>
      <c r="B553" s="112"/>
      <c r="C553" s="112"/>
      <c r="D553" s="81"/>
      <c r="E553" s="81"/>
      <c r="F553" s="81"/>
      <c r="G553" s="81"/>
      <c r="H553" s="81"/>
      <c r="I553" s="161"/>
      <c r="J553" s="154" t="str">
        <f aca="false">IF(H553="","",ROUNDUP(H553*35%,0))</f>
        <v/>
      </c>
      <c r="K553" s="113"/>
      <c r="L553" s="113"/>
    </row>
    <row r="554" customFormat="false" ht="12.75" hidden="false" customHeight="true" outlineLevel="0" collapsed="false">
      <c r="A554" s="121" t="str">
        <f aca="false">IF(B554="","",CONCATENATE(COUNTA($B$4:B554),"."))</f>
        <v/>
      </c>
      <c r="B554" s="112"/>
      <c r="C554" s="112"/>
      <c r="D554" s="81"/>
      <c r="E554" s="81"/>
      <c r="F554" s="81"/>
      <c r="G554" s="81"/>
      <c r="H554" s="81"/>
      <c r="I554" s="161"/>
      <c r="J554" s="154" t="str">
        <f aca="false">IF(H554="","",ROUNDUP(H554*35%,0))</f>
        <v/>
      </c>
      <c r="K554" s="113"/>
      <c r="L554" s="113"/>
    </row>
    <row r="555" customFormat="false" ht="12.75" hidden="false" customHeight="true" outlineLevel="0" collapsed="false">
      <c r="A555" s="121" t="str">
        <f aca="false">IF(B555="","",CONCATENATE(COUNTA($B$4:B555),"."))</f>
        <v/>
      </c>
      <c r="B555" s="112"/>
      <c r="C555" s="112"/>
      <c r="D555" s="81"/>
      <c r="E555" s="81"/>
      <c r="F555" s="81"/>
      <c r="G555" s="81"/>
      <c r="H555" s="81"/>
      <c r="I555" s="161"/>
      <c r="J555" s="154" t="str">
        <f aca="false">IF(H555="","",ROUNDUP(H555*35%,0))</f>
        <v/>
      </c>
      <c r="K555" s="113"/>
      <c r="L555" s="113"/>
    </row>
    <row r="556" customFormat="false" ht="12.75" hidden="false" customHeight="true" outlineLevel="0" collapsed="false">
      <c r="A556" s="121" t="str">
        <f aca="false">IF(B556="","",CONCATENATE(COUNTA($B$4:B556),"."))</f>
        <v/>
      </c>
      <c r="B556" s="112"/>
      <c r="C556" s="112"/>
      <c r="D556" s="81"/>
      <c r="E556" s="81"/>
      <c r="F556" s="81"/>
      <c r="G556" s="81"/>
      <c r="H556" s="81"/>
      <c r="I556" s="161"/>
      <c r="J556" s="154" t="str">
        <f aca="false">IF(H556="","",ROUNDUP(H556*35%,0))</f>
        <v/>
      </c>
      <c r="K556" s="113"/>
      <c r="L556" s="113"/>
    </row>
    <row r="557" customFormat="false" ht="12.75" hidden="false" customHeight="true" outlineLevel="0" collapsed="false">
      <c r="A557" s="121" t="str">
        <f aca="false">IF(B557="","",CONCATENATE(COUNTA($B$4:B557),"."))</f>
        <v/>
      </c>
      <c r="B557" s="112"/>
      <c r="C557" s="112"/>
      <c r="D557" s="81"/>
      <c r="E557" s="81"/>
      <c r="F557" s="81"/>
      <c r="G557" s="81"/>
      <c r="H557" s="81"/>
      <c r="I557" s="161"/>
      <c r="J557" s="154" t="str">
        <f aca="false">IF(H557="","",ROUNDUP(H557*35%,0))</f>
        <v/>
      </c>
      <c r="K557" s="113"/>
      <c r="L557" s="113"/>
    </row>
    <row r="558" customFormat="false" ht="12.75" hidden="false" customHeight="true" outlineLevel="0" collapsed="false">
      <c r="A558" s="121" t="str">
        <f aca="false">IF(B558="","",CONCATENATE(COUNTA($B$4:B558),"."))</f>
        <v/>
      </c>
      <c r="B558" s="112"/>
      <c r="C558" s="112"/>
      <c r="D558" s="81"/>
      <c r="E558" s="81"/>
      <c r="F558" s="81"/>
      <c r="G558" s="81"/>
      <c r="H558" s="81"/>
      <c r="I558" s="161"/>
      <c r="J558" s="154" t="str">
        <f aca="false">IF(H558="","",ROUNDUP(H558*35%,0))</f>
        <v/>
      </c>
      <c r="K558" s="113"/>
      <c r="L558" s="113"/>
    </row>
    <row r="559" customFormat="false" ht="12.75" hidden="false" customHeight="true" outlineLevel="0" collapsed="false">
      <c r="A559" s="121" t="str">
        <f aca="false">IF(B559="","",CONCATENATE(COUNTA($B$4:B559),"."))</f>
        <v/>
      </c>
      <c r="B559" s="112"/>
      <c r="C559" s="112"/>
      <c r="D559" s="81"/>
      <c r="E559" s="81"/>
      <c r="F559" s="81"/>
      <c r="G559" s="81"/>
      <c r="H559" s="81"/>
      <c r="I559" s="161"/>
      <c r="J559" s="154" t="str">
        <f aca="false">IF(H559="","",ROUNDUP(H559*35%,0))</f>
        <v/>
      </c>
      <c r="K559" s="113"/>
      <c r="L559" s="113"/>
    </row>
    <row r="560" customFormat="false" ht="12.75" hidden="false" customHeight="true" outlineLevel="0" collapsed="false">
      <c r="A560" s="121" t="str">
        <f aca="false">IF(B560="","",CONCATENATE(COUNTA($B$4:B560),"."))</f>
        <v/>
      </c>
      <c r="B560" s="112"/>
      <c r="C560" s="112"/>
      <c r="D560" s="81"/>
      <c r="E560" s="81"/>
      <c r="F560" s="81"/>
      <c r="G560" s="81"/>
      <c r="H560" s="81"/>
      <c r="I560" s="161"/>
      <c r="J560" s="154" t="str">
        <f aca="false">IF(H560="","",ROUNDUP(H560*35%,0))</f>
        <v/>
      </c>
      <c r="K560" s="113"/>
      <c r="L560" s="113"/>
    </row>
    <row r="561" customFormat="false" ht="12.75" hidden="false" customHeight="true" outlineLevel="0" collapsed="false">
      <c r="A561" s="121" t="str">
        <f aca="false">IF(B561="","",CONCATENATE(COUNTA($B$4:B561),"."))</f>
        <v/>
      </c>
      <c r="B561" s="112"/>
      <c r="C561" s="112"/>
      <c r="D561" s="81"/>
      <c r="E561" s="81"/>
      <c r="F561" s="81"/>
      <c r="G561" s="81"/>
      <c r="H561" s="81"/>
      <c r="I561" s="161"/>
      <c r="J561" s="154" t="str">
        <f aca="false">IF(H561="","",ROUNDUP(H561*35%,0))</f>
        <v/>
      </c>
      <c r="K561" s="113"/>
      <c r="L561" s="113"/>
    </row>
    <row r="562" customFormat="false" ht="12.75" hidden="false" customHeight="true" outlineLevel="0" collapsed="false">
      <c r="A562" s="121" t="str">
        <f aca="false">IF(B562="","",CONCATENATE(COUNTA($B$4:B562),"."))</f>
        <v/>
      </c>
      <c r="B562" s="112"/>
      <c r="C562" s="112"/>
      <c r="D562" s="81"/>
      <c r="E562" s="81"/>
      <c r="F562" s="81"/>
      <c r="G562" s="81"/>
      <c r="H562" s="81"/>
      <c r="I562" s="161"/>
      <c r="J562" s="154" t="str">
        <f aca="false">IF(H562="","",ROUNDUP(H562*35%,0))</f>
        <v/>
      </c>
      <c r="K562" s="113"/>
      <c r="L562" s="113"/>
    </row>
    <row r="563" customFormat="false" ht="12.75" hidden="false" customHeight="true" outlineLevel="0" collapsed="false">
      <c r="A563" s="121" t="str">
        <f aca="false">IF(B563="","",CONCATENATE(COUNTA($B$4:B563),"."))</f>
        <v/>
      </c>
      <c r="B563" s="112"/>
      <c r="C563" s="112"/>
      <c r="D563" s="81"/>
      <c r="E563" s="81"/>
      <c r="F563" s="81"/>
      <c r="G563" s="81"/>
      <c r="H563" s="81"/>
      <c r="I563" s="161"/>
      <c r="J563" s="154" t="str">
        <f aca="false">IF(H563="","",ROUNDUP(H563*35%,0))</f>
        <v/>
      </c>
      <c r="K563" s="113"/>
      <c r="L563" s="113"/>
    </row>
    <row r="564" customFormat="false" ht="12.75" hidden="false" customHeight="true" outlineLevel="0" collapsed="false">
      <c r="A564" s="121" t="str">
        <f aca="false">IF(B564="","",CONCATENATE(COUNTA($B$4:B564),"."))</f>
        <v/>
      </c>
      <c r="B564" s="112"/>
      <c r="C564" s="112"/>
      <c r="D564" s="81"/>
      <c r="E564" s="81"/>
      <c r="F564" s="81"/>
      <c r="G564" s="81"/>
      <c r="H564" s="81"/>
      <c r="I564" s="161"/>
      <c r="J564" s="154" t="str">
        <f aca="false">IF(H564="","",ROUNDUP(H564*35%,0))</f>
        <v/>
      </c>
      <c r="K564" s="113"/>
      <c r="L564" s="113"/>
    </row>
    <row r="565" customFormat="false" ht="12.75" hidden="false" customHeight="true" outlineLevel="0" collapsed="false">
      <c r="A565" s="121" t="str">
        <f aca="false">IF(B565="","",CONCATENATE(COUNTA($B$4:B565),"."))</f>
        <v/>
      </c>
      <c r="B565" s="112"/>
      <c r="C565" s="112"/>
      <c r="D565" s="81"/>
      <c r="E565" s="81"/>
      <c r="F565" s="81"/>
      <c r="G565" s="81"/>
      <c r="H565" s="81"/>
      <c r="I565" s="161"/>
      <c r="J565" s="154" t="str">
        <f aca="false">IF(H565="","",ROUNDUP(H565*35%,0))</f>
        <v/>
      </c>
      <c r="K565" s="113"/>
      <c r="L565" s="113"/>
    </row>
    <row r="566" customFormat="false" ht="12.75" hidden="false" customHeight="true" outlineLevel="0" collapsed="false">
      <c r="A566" s="121" t="str">
        <f aca="false">IF(B566="","",CONCATENATE(COUNTA($B$4:B566),"."))</f>
        <v/>
      </c>
      <c r="B566" s="112"/>
      <c r="C566" s="112"/>
      <c r="D566" s="81"/>
      <c r="E566" s="81"/>
      <c r="F566" s="81"/>
      <c r="G566" s="81"/>
      <c r="H566" s="81"/>
      <c r="I566" s="161"/>
      <c r="J566" s="154" t="str">
        <f aca="false">IF(H566="","",ROUNDUP(H566*35%,0))</f>
        <v/>
      </c>
      <c r="K566" s="113"/>
      <c r="L566" s="113"/>
    </row>
    <row r="567" customFormat="false" ht="12.75" hidden="false" customHeight="true" outlineLevel="0" collapsed="false">
      <c r="A567" s="121" t="str">
        <f aca="false">IF(B567="","",CONCATENATE(COUNTA($B$4:B567),"."))</f>
        <v/>
      </c>
      <c r="B567" s="112"/>
      <c r="C567" s="112"/>
      <c r="D567" s="81"/>
      <c r="E567" s="81"/>
      <c r="F567" s="81"/>
      <c r="G567" s="81"/>
      <c r="H567" s="81"/>
      <c r="I567" s="161"/>
      <c r="J567" s="154" t="str">
        <f aca="false">IF(H567="","",ROUNDUP(H567*35%,0))</f>
        <v/>
      </c>
      <c r="K567" s="113"/>
      <c r="L567" s="113"/>
    </row>
    <row r="568" customFormat="false" ht="12.75" hidden="false" customHeight="true" outlineLevel="0" collapsed="false">
      <c r="A568" s="121" t="str">
        <f aca="false">IF(B568="","",CONCATENATE(COUNTA($B$4:B568),"."))</f>
        <v/>
      </c>
      <c r="B568" s="112"/>
      <c r="C568" s="112"/>
      <c r="D568" s="81"/>
      <c r="E568" s="81"/>
      <c r="F568" s="81"/>
      <c r="G568" s="81"/>
      <c r="H568" s="81"/>
      <c r="I568" s="161"/>
      <c r="J568" s="154" t="str">
        <f aca="false">IF(H568="","",ROUNDUP(H568*35%,0))</f>
        <v/>
      </c>
      <c r="K568" s="113"/>
      <c r="L568" s="113"/>
    </row>
    <row r="569" customFormat="false" ht="12.75" hidden="false" customHeight="true" outlineLevel="0" collapsed="false">
      <c r="A569" s="121" t="str">
        <f aca="false">IF(B569="","",CONCATENATE(COUNTA($B$4:B569),"."))</f>
        <v/>
      </c>
      <c r="B569" s="112"/>
      <c r="C569" s="112"/>
      <c r="D569" s="81"/>
      <c r="E569" s="81"/>
      <c r="F569" s="81"/>
      <c r="G569" s="81"/>
      <c r="H569" s="81"/>
      <c r="I569" s="161"/>
      <c r="J569" s="154" t="str">
        <f aca="false">IF(H569="","",ROUNDUP(H569*35%,0))</f>
        <v/>
      </c>
      <c r="K569" s="113"/>
      <c r="L569" s="113"/>
    </row>
    <row r="570" customFormat="false" ht="12.75" hidden="false" customHeight="true" outlineLevel="0" collapsed="false">
      <c r="A570" s="121" t="str">
        <f aca="false">IF(B570="","",CONCATENATE(COUNTA($B$4:B570),"."))</f>
        <v/>
      </c>
      <c r="B570" s="112"/>
      <c r="C570" s="112"/>
      <c r="D570" s="81"/>
      <c r="E570" s="81"/>
      <c r="F570" s="81"/>
      <c r="G570" s="81"/>
      <c r="H570" s="81"/>
      <c r="I570" s="161"/>
      <c r="J570" s="154" t="str">
        <f aca="false">IF(H570="","",ROUNDUP(H570*35%,0))</f>
        <v/>
      </c>
      <c r="K570" s="113"/>
      <c r="L570" s="113"/>
    </row>
    <row r="571" customFormat="false" ht="12.75" hidden="false" customHeight="true" outlineLevel="0" collapsed="false">
      <c r="A571" s="121" t="str">
        <f aca="false">IF(B571="","",CONCATENATE(COUNTA($B$4:B571),"."))</f>
        <v/>
      </c>
      <c r="B571" s="112"/>
      <c r="C571" s="112"/>
      <c r="D571" s="81"/>
      <c r="E571" s="81"/>
      <c r="F571" s="81"/>
      <c r="G571" s="81"/>
      <c r="H571" s="81"/>
      <c r="I571" s="161"/>
      <c r="J571" s="154" t="str">
        <f aca="false">IF(H571="","",ROUNDUP(H571*35%,0))</f>
        <v/>
      </c>
      <c r="K571" s="113"/>
      <c r="L571" s="113"/>
    </row>
    <row r="572" customFormat="false" ht="12.75" hidden="false" customHeight="true" outlineLevel="0" collapsed="false">
      <c r="A572" s="121" t="str">
        <f aca="false">IF(B572="","",CONCATENATE(COUNTA($B$4:B572),"."))</f>
        <v/>
      </c>
      <c r="B572" s="112"/>
      <c r="C572" s="112"/>
      <c r="D572" s="81"/>
      <c r="E572" s="81"/>
      <c r="F572" s="81"/>
      <c r="G572" s="81"/>
      <c r="H572" s="81"/>
      <c r="I572" s="161"/>
      <c r="J572" s="154" t="str">
        <f aca="false">IF(H572="","",ROUNDUP(H572*35%,0))</f>
        <v/>
      </c>
      <c r="K572" s="113"/>
      <c r="L572" s="113"/>
    </row>
    <row r="573" customFormat="false" ht="12.75" hidden="false" customHeight="true" outlineLevel="0" collapsed="false">
      <c r="A573" s="121" t="str">
        <f aca="false">IF(B573="","",CONCATENATE(COUNTA($B$4:B573),"."))</f>
        <v/>
      </c>
      <c r="B573" s="112"/>
      <c r="C573" s="112"/>
      <c r="D573" s="81"/>
      <c r="E573" s="81"/>
      <c r="F573" s="81"/>
      <c r="G573" s="81"/>
      <c r="H573" s="81"/>
      <c r="I573" s="161"/>
      <c r="J573" s="154" t="str">
        <f aca="false">IF(H573="","",ROUNDUP(H573*35%,0))</f>
        <v/>
      </c>
      <c r="K573" s="113"/>
      <c r="L573" s="113"/>
    </row>
    <row r="574" customFormat="false" ht="12.75" hidden="false" customHeight="true" outlineLevel="0" collapsed="false">
      <c r="A574" s="121" t="str">
        <f aca="false">IF(B574="","",CONCATENATE(COUNTA($B$4:B574),"."))</f>
        <v/>
      </c>
      <c r="B574" s="112"/>
      <c r="C574" s="112"/>
      <c r="D574" s="81"/>
      <c r="E574" s="81"/>
      <c r="F574" s="81"/>
      <c r="G574" s="81"/>
      <c r="H574" s="81"/>
      <c r="I574" s="161"/>
      <c r="J574" s="154" t="str">
        <f aca="false">IF(H574="","",ROUNDUP(H574*35%,0))</f>
        <v/>
      </c>
      <c r="K574" s="113"/>
      <c r="L574" s="113"/>
    </row>
    <row r="575" customFormat="false" ht="12.75" hidden="false" customHeight="true" outlineLevel="0" collapsed="false">
      <c r="A575" s="121" t="str">
        <f aca="false">IF(B575="","",CONCATENATE(COUNTA($B$4:B575),"."))</f>
        <v/>
      </c>
      <c r="B575" s="112"/>
      <c r="C575" s="112"/>
      <c r="D575" s="81"/>
      <c r="E575" s="81"/>
      <c r="F575" s="81"/>
      <c r="G575" s="81"/>
      <c r="H575" s="81"/>
      <c r="I575" s="161"/>
      <c r="J575" s="154" t="str">
        <f aca="false">IF(H575="","",ROUNDUP(H575*35%,0))</f>
        <v/>
      </c>
      <c r="K575" s="113"/>
      <c r="L575" s="113"/>
    </row>
    <row r="576" customFormat="false" ht="12.75" hidden="false" customHeight="true" outlineLevel="0" collapsed="false">
      <c r="A576" s="121" t="str">
        <f aca="false">IF(B576="","",CONCATENATE(COUNTA($B$4:B576),"."))</f>
        <v/>
      </c>
      <c r="B576" s="112"/>
      <c r="C576" s="112"/>
      <c r="D576" s="81"/>
      <c r="E576" s="81"/>
      <c r="F576" s="81"/>
      <c r="G576" s="81"/>
      <c r="H576" s="81"/>
      <c r="I576" s="161"/>
      <c r="J576" s="154" t="str">
        <f aca="false">IF(H576="","",ROUNDUP(H576*35%,0))</f>
        <v/>
      </c>
      <c r="K576" s="113"/>
      <c r="L576" s="113"/>
    </row>
    <row r="577" customFormat="false" ht="12.75" hidden="false" customHeight="true" outlineLevel="0" collapsed="false">
      <c r="A577" s="121" t="str">
        <f aca="false">IF(B577="","",CONCATENATE(COUNTA($B$4:B577),"."))</f>
        <v/>
      </c>
      <c r="B577" s="112"/>
      <c r="C577" s="112"/>
      <c r="D577" s="81"/>
      <c r="E577" s="81"/>
      <c r="F577" s="81"/>
      <c r="G577" s="81"/>
      <c r="H577" s="81"/>
      <c r="I577" s="161"/>
      <c r="J577" s="154" t="str">
        <f aca="false">IF(H577="","",ROUNDUP(H577*35%,0))</f>
        <v/>
      </c>
      <c r="K577" s="113"/>
      <c r="L577" s="113"/>
    </row>
    <row r="578" customFormat="false" ht="12.75" hidden="false" customHeight="true" outlineLevel="0" collapsed="false">
      <c r="A578" s="121" t="str">
        <f aca="false">IF(B578="","",CONCATENATE(COUNTA($B$4:B578),"."))</f>
        <v/>
      </c>
      <c r="B578" s="112"/>
      <c r="C578" s="112"/>
      <c r="D578" s="81"/>
      <c r="E578" s="81"/>
      <c r="F578" s="81"/>
      <c r="G578" s="81"/>
      <c r="H578" s="81"/>
      <c r="I578" s="161"/>
      <c r="J578" s="154" t="str">
        <f aca="false">IF(H578="","",ROUNDUP(H578*35%,0))</f>
        <v/>
      </c>
      <c r="K578" s="113"/>
      <c r="L578" s="113"/>
    </row>
    <row r="579" customFormat="false" ht="12.75" hidden="false" customHeight="true" outlineLevel="0" collapsed="false">
      <c r="A579" s="121" t="str">
        <f aca="false">IF(B579="","",CONCATENATE(COUNTA($B$4:B579),"."))</f>
        <v/>
      </c>
      <c r="B579" s="112"/>
      <c r="C579" s="112"/>
      <c r="D579" s="81"/>
      <c r="E579" s="81"/>
      <c r="F579" s="81"/>
      <c r="G579" s="81"/>
      <c r="H579" s="81"/>
      <c r="I579" s="161"/>
      <c r="J579" s="154" t="str">
        <f aca="false">IF(H579="","",ROUNDUP(H579*35%,0))</f>
        <v/>
      </c>
      <c r="K579" s="113"/>
      <c r="L579" s="113"/>
    </row>
    <row r="580" customFormat="false" ht="12.75" hidden="false" customHeight="true" outlineLevel="0" collapsed="false">
      <c r="A580" s="121" t="str">
        <f aca="false">IF(B580="","",CONCATENATE(COUNTA($B$4:B580),"."))</f>
        <v/>
      </c>
      <c r="B580" s="112"/>
      <c r="C580" s="112"/>
      <c r="D580" s="81"/>
      <c r="E580" s="81"/>
      <c r="F580" s="81"/>
      <c r="G580" s="81"/>
      <c r="H580" s="81"/>
      <c r="I580" s="161"/>
      <c r="J580" s="154" t="str">
        <f aca="false">IF(H580="","",ROUNDUP(H580*35%,0))</f>
        <v/>
      </c>
      <c r="K580" s="113"/>
      <c r="L580" s="113"/>
    </row>
    <row r="581" customFormat="false" ht="12.75" hidden="false" customHeight="true" outlineLevel="0" collapsed="false">
      <c r="A581" s="121" t="str">
        <f aca="false">IF(B581="","",CONCATENATE(COUNTA($B$4:B581),"."))</f>
        <v/>
      </c>
      <c r="B581" s="112"/>
      <c r="C581" s="112"/>
      <c r="D581" s="81"/>
      <c r="E581" s="81"/>
      <c r="F581" s="81"/>
      <c r="G581" s="81"/>
      <c r="H581" s="81"/>
      <c r="I581" s="161"/>
      <c r="J581" s="154" t="str">
        <f aca="false">IF(H581="","",ROUNDUP(H581*35%,0))</f>
        <v/>
      </c>
      <c r="K581" s="113"/>
      <c r="L581" s="113"/>
    </row>
    <row r="582" customFormat="false" ht="12.75" hidden="false" customHeight="true" outlineLevel="0" collapsed="false">
      <c r="A582" s="121" t="str">
        <f aca="false">IF(B582="","",CONCATENATE(COUNTA($B$4:B582),"."))</f>
        <v/>
      </c>
      <c r="B582" s="112"/>
      <c r="C582" s="112"/>
      <c r="D582" s="81"/>
      <c r="E582" s="81"/>
      <c r="F582" s="81"/>
      <c r="G582" s="81"/>
      <c r="H582" s="81"/>
      <c r="I582" s="161"/>
      <c r="J582" s="154" t="str">
        <f aca="false">IF(H582="","",ROUNDUP(H582*35%,0))</f>
        <v/>
      </c>
      <c r="K582" s="113"/>
      <c r="L582" s="113"/>
    </row>
    <row r="583" customFormat="false" ht="12.75" hidden="false" customHeight="true" outlineLevel="0" collapsed="false">
      <c r="A583" s="121" t="str">
        <f aca="false">IF(B583="","",CONCATENATE(COUNTA($B$4:B583),"."))</f>
        <v/>
      </c>
      <c r="B583" s="112"/>
      <c r="C583" s="112"/>
      <c r="D583" s="81"/>
      <c r="E583" s="81"/>
      <c r="F583" s="81"/>
      <c r="G583" s="81"/>
      <c r="H583" s="81"/>
      <c r="I583" s="161"/>
      <c r="J583" s="154" t="str">
        <f aca="false">IF(H583="","",ROUNDUP(H583*35%,0))</f>
        <v/>
      </c>
      <c r="K583" s="113"/>
      <c r="L583" s="113"/>
    </row>
    <row r="584" customFormat="false" ht="12.75" hidden="false" customHeight="true" outlineLevel="0" collapsed="false">
      <c r="A584" s="121" t="str">
        <f aca="false">IF(B584="","",CONCATENATE(COUNTA($B$4:B584),"."))</f>
        <v/>
      </c>
      <c r="B584" s="112"/>
      <c r="C584" s="112"/>
      <c r="D584" s="81"/>
      <c r="E584" s="81"/>
      <c r="F584" s="81"/>
      <c r="G584" s="81"/>
      <c r="H584" s="81"/>
      <c r="I584" s="161"/>
      <c r="J584" s="154" t="str">
        <f aca="false">IF(H584="","",ROUNDUP(H584*35%,0))</f>
        <v/>
      </c>
      <c r="K584" s="113"/>
      <c r="L584" s="113"/>
    </row>
    <row r="585" customFormat="false" ht="12.75" hidden="false" customHeight="true" outlineLevel="0" collapsed="false">
      <c r="A585" s="121" t="str">
        <f aca="false">IF(B585="","",CONCATENATE(COUNTA($B$4:B585),"."))</f>
        <v/>
      </c>
      <c r="B585" s="112"/>
      <c r="C585" s="112"/>
      <c r="D585" s="81"/>
      <c r="E585" s="81"/>
      <c r="F585" s="81"/>
      <c r="G585" s="81"/>
      <c r="H585" s="81"/>
      <c r="I585" s="161"/>
      <c r="J585" s="154" t="str">
        <f aca="false">IF(H585="","",ROUNDUP(H585*35%,0))</f>
        <v/>
      </c>
      <c r="K585" s="113"/>
      <c r="L585" s="113"/>
    </row>
    <row r="586" customFormat="false" ht="12.75" hidden="false" customHeight="true" outlineLevel="0" collapsed="false">
      <c r="A586" s="121" t="str">
        <f aca="false">IF(B586="","",CONCATENATE(COUNTA($B$4:B586),"."))</f>
        <v/>
      </c>
      <c r="B586" s="112"/>
      <c r="C586" s="112"/>
      <c r="D586" s="81"/>
      <c r="E586" s="81"/>
      <c r="F586" s="81"/>
      <c r="G586" s="81"/>
      <c r="H586" s="81"/>
      <c r="I586" s="161"/>
      <c r="J586" s="154" t="str">
        <f aca="false">IF(H586="","",ROUNDUP(H586*35%,0))</f>
        <v/>
      </c>
      <c r="K586" s="113"/>
      <c r="L586" s="113"/>
    </row>
    <row r="587" customFormat="false" ht="12.75" hidden="false" customHeight="true" outlineLevel="0" collapsed="false">
      <c r="A587" s="121" t="str">
        <f aca="false">IF(B587="","",CONCATENATE(COUNTA($B$4:B587),"."))</f>
        <v/>
      </c>
      <c r="B587" s="112"/>
      <c r="C587" s="112"/>
      <c r="D587" s="81"/>
      <c r="E587" s="81"/>
      <c r="F587" s="81"/>
      <c r="G587" s="81"/>
      <c r="H587" s="81"/>
      <c r="I587" s="161"/>
      <c r="J587" s="154" t="str">
        <f aca="false">IF(H587="","",ROUNDUP(H587*35%,0))</f>
        <v/>
      </c>
      <c r="K587" s="113"/>
      <c r="L587" s="113"/>
    </row>
    <row r="588" customFormat="false" ht="12.75" hidden="false" customHeight="true" outlineLevel="0" collapsed="false">
      <c r="A588" s="121" t="str">
        <f aca="false">IF(B588="","",CONCATENATE(COUNTA($B$4:B588),"."))</f>
        <v/>
      </c>
      <c r="B588" s="112"/>
      <c r="C588" s="112"/>
      <c r="D588" s="81"/>
      <c r="E588" s="81"/>
      <c r="F588" s="81"/>
      <c r="G588" s="81"/>
      <c r="H588" s="81"/>
      <c r="I588" s="161"/>
      <c r="J588" s="154" t="str">
        <f aca="false">IF(H588="","",ROUNDUP(H588*35%,0))</f>
        <v/>
      </c>
      <c r="K588" s="113"/>
      <c r="L588" s="113"/>
    </row>
    <row r="589" customFormat="false" ht="12.75" hidden="false" customHeight="true" outlineLevel="0" collapsed="false">
      <c r="A589" s="121" t="str">
        <f aca="false">IF(B589="","",CONCATENATE(COUNTA($B$4:B589),"."))</f>
        <v/>
      </c>
      <c r="B589" s="112"/>
      <c r="C589" s="112"/>
      <c r="D589" s="81"/>
      <c r="E589" s="81"/>
      <c r="F589" s="81"/>
      <c r="G589" s="81"/>
      <c r="H589" s="81"/>
      <c r="I589" s="161"/>
      <c r="J589" s="154" t="str">
        <f aca="false">IF(H589="","",ROUNDUP(H589*35%,0))</f>
        <v/>
      </c>
      <c r="K589" s="113"/>
      <c r="L589" s="113"/>
    </row>
    <row r="590" customFormat="false" ht="12.75" hidden="false" customHeight="true" outlineLevel="0" collapsed="false">
      <c r="A590" s="121" t="str">
        <f aca="false">IF(B590="","",CONCATENATE(COUNTA($B$4:B590),"."))</f>
        <v/>
      </c>
      <c r="B590" s="112"/>
      <c r="C590" s="112"/>
      <c r="D590" s="81"/>
      <c r="E590" s="81"/>
      <c r="F590" s="81"/>
      <c r="G590" s="81"/>
      <c r="H590" s="81"/>
      <c r="I590" s="161"/>
      <c r="J590" s="154" t="str">
        <f aca="false">IF(H590="","",ROUNDUP(H590*35%,0))</f>
        <v/>
      </c>
      <c r="K590" s="113"/>
      <c r="L590" s="113"/>
    </row>
    <row r="591" customFormat="false" ht="12.75" hidden="false" customHeight="true" outlineLevel="0" collapsed="false">
      <c r="A591" s="121" t="str">
        <f aca="false">IF(B591="","",CONCATENATE(COUNTA($B$4:B591),"."))</f>
        <v/>
      </c>
      <c r="B591" s="112"/>
      <c r="C591" s="112"/>
      <c r="D591" s="81"/>
      <c r="E591" s="81"/>
      <c r="F591" s="81"/>
      <c r="G591" s="81"/>
      <c r="H591" s="81"/>
      <c r="I591" s="161"/>
      <c r="J591" s="154" t="str">
        <f aca="false">IF(H591="","",ROUNDUP(H591*35%,0))</f>
        <v/>
      </c>
      <c r="K591" s="113"/>
      <c r="L591" s="113"/>
    </row>
    <row r="592" customFormat="false" ht="12.75" hidden="false" customHeight="true" outlineLevel="0" collapsed="false">
      <c r="A592" s="121" t="str">
        <f aca="false">IF(B592="","",CONCATENATE(COUNTA($B$4:B592),"."))</f>
        <v/>
      </c>
      <c r="B592" s="112"/>
      <c r="C592" s="112"/>
      <c r="D592" s="81"/>
      <c r="E592" s="81"/>
      <c r="F592" s="81"/>
      <c r="G592" s="81"/>
      <c r="H592" s="81"/>
      <c r="I592" s="161"/>
      <c r="J592" s="154" t="str">
        <f aca="false">IF(H592="","",ROUNDUP(H592*35%,0))</f>
        <v/>
      </c>
      <c r="K592" s="113"/>
      <c r="L592" s="113"/>
    </row>
    <row r="593" customFormat="false" ht="12.75" hidden="false" customHeight="true" outlineLevel="0" collapsed="false">
      <c r="A593" s="121" t="str">
        <f aca="false">IF(B593="","",CONCATENATE(COUNTA($B$4:B593),"."))</f>
        <v/>
      </c>
      <c r="B593" s="112"/>
      <c r="C593" s="112"/>
      <c r="D593" s="81"/>
      <c r="E593" s="81"/>
      <c r="F593" s="81"/>
      <c r="G593" s="81"/>
      <c r="H593" s="81"/>
      <c r="I593" s="161"/>
      <c r="J593" s="154" t="str">
        <f aca="false">IF(H593="","",ROUNDUP(H593*35%,0))</f>
        <v/>
      </c>
      <c r="K593" s="113"/>
      <c r="L593" s="113"/>
    </row>
    <row r="594" customFormat="false" ht="12.75" hidden="false" customHeight="true" outlineLevel="0" collapsed="false">
      <c r="A594" s="121" t="str">
        <f aca="false">IF(B594="","",CONCATENATE(COUNTA($B$4:B594),"."))</f>
        <v/>
      </c>
      <c r="B594" s="112"/>
      <c r="C594" s="112"/>
      <c r="D594" s="81"/>
      <c r="E594" s="81"/>
      <c r="F594" s="81"/>
      <c r="G594" s="81"/>
      <c r="H594" s="81"/>
      <c r="I594" s="161"/>
      <c r="J594" s="154" t="str">
        <f aca="false">IF(H594="","",ROUNDUP(H594*35%,0))</f>
        <v/>
      </c>
      <c r="K594" s="113"/>
      <c r="L594" s="113"/>
    </row>
    <row r="595" customFormat="false" ht="12.75" hidden="false" customHeight="true" outlineLevel="0" collapsed="false">
      <c r="A595" s="121" t="str">
        <f aca="false">IF(B595="","",CONCATENATE(COUNTA($B$4:B595),"."))</f>
        <v/>
      </c>
      <c r="B595" s="112"/>
      <c r="C595" s="112"/>
      <c r="D595" s="81"/>
      <c r="E595" s="81"/>
      <c r="F595" s="81"/>
      <c r="G595" s="81"/>
      <c r="H595" s="81"/>
      <c r="I595" s="161"/>
      <c r="J595" s="154" t="str">
        <f aca="false">IF(H595="","",ROUNDUP(H595*35%,0))</f>
        <v/>
      </c>
      <c r="K595" s="113"/>
      <c r="L595" s="113"/>
    </row>
    <row r="596" customFormat="false" ht="12.75" hidden="false" customHeight="true" outlineLevel="0" collapsed="false">
      <c r="A596" s="121" t="str">
        <f aca="false">IF(B596="","",CONCATENATE(COUNTA($B$4:B596),"."))</f>
        <v/>
      </c>
      <c r="B596" s="112"/>
      <c r="C596" s="112"/>
      <c r="D596" s="81"/>
      <c r="E596" s="81"/>
      <c r="F596" s="81"/>
      <c r="G596" s="81"/>
      <c r="H596" s="81"/>
      <c r="I596" s="161"/>
      <c r="J596" s="154" t="str">
        <f aca="false">IF(H596="","",ROUNDUP(H596*35%,0))</f>
        <v/>
      </c>
      <c r="K596" s="113"/>
      <c r="L596" s="113"/>
    </row>
    <row r="597" customFormat="false" ht="12.75" hidden="false" customHeight="true" outlineLevel="0" collapsed="false">
      <c r="A597" s="121" t="str">
        <f aca="false">IF(B597="","",CONCATENATE(COUNTA($B$4:B597),"."))</f>
        <v/>
      </c>
      <c r="B597" s="112"/>
      <c r="C597" s="112"/>
      <c r="D597" s="81"/>
      <c r="E597" s="81"/>
      <c r="F597" s="81"/>
      <c r="G597" s="81"/>
      <c r="H597" s="81"/>
      <c r="I597" s="161"/>
      <c r="J597" s="154" t="str">
        <f aca="false">IF(H597="","",ROUNDUP(H597*35%,0))</f>
        <v/>
      </c>
      <c r="K597" s="113"/>
      <c r="L597" s="113"/>
    </row>
    <row r="598" customFormat="false" ht="12.75" hidden="false" customHeight="true" outlineLevel="0" collapsed="false">
      <c r="A598" s="121" t="str">
        <f aca="false">IF(B598="","",CONCATENATE(COUNTA($B$4:B598),"."))</f>
        <v/>
      </c>
      <c r="B598" s="112"/>
      <c r="C598" s="112"/>
      <c r="D598" s="81"/>
      <c r="E598" s="81"/>
      <c r="F598" s="81"/>
      <c r="G598" s="81"/>
      <c r="H598" s="81"/>
      <c r="I598" s="161"/>
      <c r="J598" s="154" t="str">
        <f aca="false">IF(H598="","",ROUNDUP(H598*35%,0))</f>
        <v/>
      </c>
      <c r="K598" s="113"/>
      <c r="L598" s="113"/>
    </row>
    <row r="599" customFormat="false" ht="12.75" hidden="false" customHeight="true" outlineLevel="0" collapsed="false">
      <c r="A599" s="121" t="str">
        <f aca="false">IF(B599="","",CONCATENATE(COUNTA($B$4:B599),"."))</f>
        <v/>
      </c>
      <c r="B599" s="112"/>
      <c r="C599" s="112"/>
      <c r="D599" s="81"/>
      <c r="E599" s="81"/>
      <c r="F599" s="81"/>
      <c r="G599" s="81"/>
      <c r="H599" s="81"/>
      <c r="I599" s="161"/>
      <c r="J599" s="154" t="str">
        <f aca="false">IF(H599="","",ROUNDUP(H599*35%,0))</f>
        <v/>
      </c>
      <c r="K599" s="113"/>
      <c r="L599" s="113"/>
    </row>
    <row r="600" customFormat="false" ht="12.75" hidden="false" customHeight="true" outlineLevel="0" collapsed="false">
      <c r="A600" s="121" t="str">
        <f aca="false">IF(B600="","",CONCATENATE(COUNTA($B$4:B600),"."))</f>
        <v/>
      </c>
      <c r="B600" s="112"/>
      <c r="C600" s="112"/>
      <c r="D600" s="81"/>
      <c r="E600" s="81"/>
      <c r="F600" s="81"/>
      <c r="G600" s="81"/>
      <c r="H600" s="81"/>
      <c r="I600" s="161"/>
      <c r="J600" s="154" t="str">
        <f aca="false">IF(H600="","",ROUNDUP(H600*35%,0))</f>
        <v/>
      </c>
      <c r="K600" s="113"/>
      <c r="L600" s="113"/>
    </row>
    <row r="601" customFormat="false" ht="12.75" hidden="false" customHeight="true" outlineLevel="0" collapsed="false">
      <c r="A601" s="121" t="str">
        <f aca="false">IF(B601="","",CONCATENATE(COUNTA($B$4:B601),"."))</f>
        <v/>
      </c>
      <c r="B601" s="112"/>
      <c r="C601" s="112"/>
      <c r="D601" s="81"/>
      <c r="E601" s="81"/>
      <c r="F601" s="81"/>
      <c r="G601" s="81"/>
      <c r="H601" s="81"/>
      <c r="I601" s="161"/>
      <c r="J601" s="154" t="str">
        <f aca="false">IF(H601="","",ROUNDUP(H601*35%,0))</f>
        <v/>
      </c>
      <c r="K601" s="113"/>
      <c r="L601" s="113"/>
    </row>
    <row r="602" customFormat="false" ht="12.75" hidden="false" customHeight="true" outlineLevel="0" collapsed="false">
      <c r="A602" s="121" t="str">
        <f aca="false">IF(B602="","",CONCATENATE(COUNTA($B$4:B602),"."))</f>
        <v/>
      </c>
      <c r="B602" s="112"/>
      <c r="C602" s="112"/>
      <c r="D602" s="81"/>
      <c r="E602" s="81"/>
      <c r="F602" s="81"/>
      <c r="G602" s="81"/>
      <c r="H602" s="81"/>
      <c r="I602" s="161"/>
      <c r="J602" s="154" t="str">
        <f aca="false">IF(H602="","",ROUNDUP(H602*35%,0))</f>
        <v/>
      </c>
      <c r="K602" s="113"/>
      <c r="L602" s="113"/>
    </row>
    <row r="603" customFormat="false" ht="12.75" hidden="false" customHeight="true" outlineLevel="0" collapsed="false">
      <c r="A603" s="121" t="str">
        <f aca="false">IF(B603="","",CONCATENATE(COUNTA($B$4:B603),"."))</f>
        <v/>
      </c>
      <c r="B603" s="112"/>
      <c r="C603" s="112"/>
      <c r="D603" s="81"/>
      <c r="E603" s="81"/>
      <c r="F603" s="81"/>
      <c r="G603" s="81"/>
      <c r="H603" s="81"/>
      <c r="I603" s="161"/>
      <c r="J603" s="154" t="str">
        <f aca="false">IF(H603="","",ROUNDUP(H603*35%,0))</f>
        <v/>
      </c>
      <c r="K603" s="113"/>
      <c r="L603" s="113"/>
    </row>
    <row r="604" customFormat="false" ht="12.75" hidden="false" customHeight="true" outlineLevel="0" collapsed="false">
      <c r="A604" s="121" t="str">
        <f aca="false">IF(B604="","",CONCATENATE(COUNTA($B$4:B604),"."))</f>
        <v/>
      </c>
      <c r="B604" s="112"/>
      <c r="C604" s="112"/>
      <c r="D604" s="81"/>
      <c r="E604" s="81"/>
      <c r="F604" s="81"/>
      <c r="G604" s="81"/>
      <c r="H604" s="81"/>
      <c r="I604" s="161"/>
      <c r="J604" s="154" t="str">
        <f aca="false">IF(H604="","",ROUNDUP(H604*35%,0))</f>
        <v/>
      </c>
      <c r="K604" s="113"/>
      <c r="L604" s="113"/>
    </row>
    <row r="605" customFormat="false" ht="12.75" hidden="false" customHeight="true" outlineLevel="0" collapsed="false">
      <c r="A605" s="121" t="str">
        <f aca="false">IF(B605="","",CONCATENATE(COUNTA($B$4:B605),"."))</f>
        <v/>
      </c>
      <c r="B605" s="112"/>
      <c r="C605" s="112"/>
      <c r="D605" s="81"/>
      <c r="E605" s="81"/>
      <c r="F605" s="81"/>
      <c r="G605" s="81"/>
      <c r="H605" s="81"/>
      <c r="I605" s="161"/>
      <c r="J605" s="154" t="str">
        <f aca="false">IF(H605="","",ROUNDUP(H605*35%,0))</f>
        <v/>
      </c>
      <c r="K605" s="113"/>
      <c r="L605" s="113"/>
    </row>
    <row r="606" customFormat="false" ht="12.75" hidden="false" customHeight="true" outlineLevel="0" collapsed="false">
      <c r="A606" s="121" t="str">
        <f aca="false">IF(B606="","",CONCATENATE(COUNTA($B$4:B606),"."))</f>
        <v/>
      </c>
      <c r="B606" s="112"/>
      <c r="C606" s="112"/>
      <c r="D606" s="81"/>
      <c r="E606" s="81"/>
      <c r="F606" s="81"/>
      <c r="G606" s="81"/>
      <c r="H606" s="81"/>
      <c r="I606" s="161"/>
      <c r="J606" s="154" t="str">
        <f aca="false">IF(H606="","",ROUNDUP(H606*35%,0))</f>
        <v/>
      </c>
      <c r="K606" s="113"/>
      <c r="L606" s="113"/>
    </row>
    <row r="607" customFormat="false" ht="12.75" hidden="false" customHeight="true" outlineLevel="0" collapsed="false">
      <c r="A607" s="121" t="str">
        <f aca="false">IF(B607="","",CONCATENATE(COUNTA($B$4:B607),"."))</f>
        <v/>
      </c>
      <c r="B607" s="112"/>
      <c r="C607" s="112"/>
      <c r="D607" s="81"/>
      <c r="E607" s="81"/>
      <c r="F607" s="81"/>
      <c r="G607" s="81"/>
      <c r="H607" s="81"/>
      <c r="I607" s="161"/>
      <c r="J607" s="154" t="str">
        <f aca="false">IF(H607="","",ROUNDUP(H607*35%,0))</f>
        <v/>
      </c>
      <c r="K607" s="113"/>
      <c r="L607" s="113"/>
    </row>
    <row r="608" customFormat="false" ht="12.75" hidden="false" customHeight="true" outlineLevel="0" collapsed="false">
      <c r="A608" s="121" t="str">
        <f aca="false">IF(B608="","",CONCATENATE(COUNTA($B$4:B608),"."))</f>
        <v/>
      </c>
      <c r="B608" s="112"/>
      <c r="C608" s="112"/>
      <c r="D608" s="81"/>
      <c r="E608" s="81"/>
      <c r="F608" s="81"/>
      <c r="G608" s="81"/>
      <c r="H608" s="81"/>
      <c r="I608" s="161"/>
      <c r="J608" s="154" t="str">
        <f aca="false">IF(H608="","",ROUNDUP(H608*35%,0))</f>
        <v/>
      </c>
      <c r="K608" s="113"/>
      <c r="L608" s="113"/>
    </row>
    <row r="609" customFormat="false" ht="12.75" hidden="false" customHeight="true" outlineLevel="0" collapsed="false">
      <c r="A609" s="121" t="str">
        <f aca="false">IF(B609="","",CONCATENATE(COUNTA($B$4:B609),"."))</f>
        <v/>
      </c>
      <c r="B609" s="112"/>
      <c r="C609" s="112"/>
      <c r="D609" s="81"/>
      <c r="E609" s="81"/>
      <c r="F609" s="81"/>
      <c r="G609" s="81"/>
      <c r="H609" s="81"/>
      <c r="I609" s="161"/>
      <c r="J609" s="154" t="str">
        <f aca="false">IF(H609="","",ROUNDUP(H609*35%,0))</f>
        <v/>
      </c>
      <c r="K609" s="113"/>
      <c r="L609" s="113"/>
    </row>
    <row r="610" customFormat="false" ht="12.75" hidden="false" customHeight="true" outlineLevel="0" collapsed="false">
      <c r="A610" s="121" t="str">
        <f aca="false">IF(B610="","",CONCATENATE(COUNTA($B$4:B610),"."))</f>
        <v/>
      </c>
      <c r="B610" s="112"/>
      <c r="C610" s="112"/>
      <c r="D610" s="81"/>
      <c r="E610" s="81"/>
      <c r="F610" s="81"/>
      <c r="G610" s="81"/>
      <c r="H610" s="81"/>
      <c r="I610" s="161"/>
      <c r="J610" s="154" t="str">
        <f aca="false">IF(H610="","",ROUNDUP(H610*35%,0))</f>
        <v/>
      </c>
      <c r="K610" s="113"/>
      <c r="L610" s="113"/>
    </row>
    <row r="611" customFormat="false" ht="12.75" hidden="false" customHeight="true" outlineLevel="0" collapsed="false">
      <c r="A611" s="121" t="str">
        <f aca="false">IF(B611="","",CONCATENATE(COUNTA($B$4:B611),"."))</f>
        <v/>
      </c>
      <c r="B611" s="112"/>
      <c r="C611" s="112"/>
      <c r="D611" s="81"/>
      <c r="E611" s="81"/>
      <c r="F611" s="81"/>
      <c r="G611" s="81"/>
      <c r="H611" s="81"/>
      <c r="I611" s="161"/>
      <c r="J611" s="154" t="str">
        <f aca="false">IF(H611="","",ROUNDUP(H611*35%,0))</f>
        <v/>
      </c>
      <c r="K611" s="113"/>
      <c r="L611" s="113"/>
    </row>
    <row r="612" customFormat="false" ht="12.75" hidden="false" customHeight="true" outlineLevel="0" collapsed="false">
      <c r="A612" s="121" t="str">
        <f aca="false">IF(B612="","",CONCATENATE(COUNTA($B$4:B612),"."))</f>
        <v/>
      </c>
      <c r="B612" s="112"/>
      <c r="C612" s="112"/>
      <c r="D612" s="81"/>
      <c r="E612" s="81"/>
      <c r="F612" s="81"/>
      <c r="G612" s="81"/>
      <c r="H612" s="81"/>
      <c r="I612" s="161"/>
      <c r="J612" s="154" t="str">
        <f aca="false">IF(H612="","",ROUNDUP(H612*35%,0))</f>
        <v/>
      </c>
      <c r="K612" s="113"/>
      <c r="L612" s="113"/>
    </row>
    <row r="613" customFormat="false" ht="12.75" hidden="false" customHeight="true" outlineLevel="0" collapsed="false">
      <c r="A613" s="121" t="str">
        <f aca="false">IF(B613="","",CONCATENATE(COUNTA($B$4:B613),"."))</f>
        <v/>
      </c>
      <c r="B613" s="112"/>
      <c r="C613" s="112"/>
      <c r="D613" s="81"/>
      <c r="E613" s="81"/>
      <c r="F613" s="81"/>
      <c r="G613" s="81"/>
      <c r="H613" s="81"/>
      <c r="I613" s="161"/>
      <c r="J613" s="154" t="str">
        <f aca="false">IF(H613="","",ROUNDUP(H613*35%,0))</f>
        <v/>
      </c>
      <c r="K613" s="113"/>
      <c r="L613" s="113"/>
    </row>
    <row r="614" customFormat="false" ht="12.75" hidden="false" customHeight="true" outlineLevel="0" collapsed="false">
      <c r="A614" s="121" t="str">
        <f aca="false">IF(B614="","",CONCATENATE(COUNTA($B$4:B614),"."))</f>
        <v/>
      </c>
      <c r="B614" s="112"/>
      <c r="C614" s="112"/>
      <c r="D614" s="81"/>
      <c r="E614" s="81"/>
      <c r="F614" s="81"/>
      <c r="G614" s="81"/>
      <c r="H614" s="81"/>
      <c r="I614" s="161"/>
      <c r="J614" s="154" t="str">
        <f aca="false">IF(H614="","",ROUNDUP(H614*35%,0))</f>
        <v/>
      </c>
      <c r="K614" s="113"/>
      <c r="L614" s="113"/>
    </row>
    <row r="615" customFormat="false" ht="12.75" hidden="false" customHeight="true" outlineLevel="0" collapsed="false">
      <c r="A615" s="121" t="str">
        <f aca="false">IF(B615="","",CONCATENATE(COUNTA($B$4:B615),"."))</f>
        <v/>
      </c>
      <c r="B615" s="112"/>
      <c r="C615" s="112"/>
      <c r="D615" s="81"/>
      <c r="E615" s="81"/>
      <c r="F615" s="81"/>
      <c r="G615" s="81"/>
      <c r="H615" s="81"/>
      <c r="I615" s="161"/>
      <c r="J615" s="154" t="str">
        <f aca="false">IF(H615="","",ROUNDUP(H615*35%,0))</f>
        <v/>
      </c>
      <c r="K615" s="113"/>
      <c r="L615" s="113"/>
    </row>
    <row r="616" customFormat="false" ht="12.75" hidden="false" customHeight="true" outlineLevel="0" collapsed="false">
      <c r="A616" s="121" t="str">
        <f aca="false">IF(B616="","",CONCATENATE(COUNTA($B$4:B616),"."))</f>
        <v/>
      </c>
      <c r="B616" s="112"/>
      <c r="C616" s="112"/>
      <c r="D616" s="81"/>
      <c r="E616" s="81"/>
      <c r="F616" s="81"/>
      <c r="G616" s="81"/>
      <c r="H616" s="81"/>
      <c r="I616" s="161"/>
      <c r="J616" s="154" t="str">
        <f aca="false">IF(H616="","",ROUNDUP(H616*35%,0))</f>
        <v/>
      </c>
      <c r="K616" s="113"/>
      <c r="L616" s="113"/>
    </row>
    <row r="617" customFormat="false" ht="12.75" hidden="false" customHeight="true" outlineLevel="0" collapsed="false">
      <c r="A617" s="121" t="str">
        <f aca="false">IF(B617="","",CONCATENATE(COUNTA($B$4:B617),"."))</f>
        <v/>
      </c>
      <c r="B617" s="112"/>
      <c r="C617" s="112"/>
      <c r="D617" s="81"/>
      <c r="E617" s="81"/>
      <c r="F617" s="81"/>
      <c r="G617" s="81"/>
      <c r="H617" s="81"/>
      <c r="I617" s="161"/>
      <c r="J617" s="154" t="str">
        <f aca="false">IF(H617="","",ROUNDUP(H617*35%,0))</f>
        <v/>
      </c>
      <c r="K617" s="113"/>
      <c r="L617" s="113"/>
    </row>
    <row r="618" customFormat="false" ht="12.75" hidden="false" customHeight="true" outlineLevel="0" collapsed="false">
      <c r="A618" s="121" t="str">
        <f aca="false">IF(B618="","",CONCATENATE(COUNTA($B$4:B618),"."))</f>
        <v/>
      </c>
      <c r="B618" s="112"/>
      <c r="C618" s="112"/>
      <c r="D618" s="81"/>
      <c r="E618" s="81"/>
      <c r="F618" s="81"/>
      <c r="G618" s="81"/>
      <c r="H618" s="81"/>
      <c r="I618" s="161"/>
      <c r="J618" s="154" t="str">
        <f aca="false">IF(H618="","",ROUNDUP(H618*35%,0))</f>
        <v/>
      </c>
      <c r="K618" s="113"/>
      <c r="L618" s="113"/>
    </row>
    <row r="619" customFormat="false" ht="12.75" hidden="false" customHeight="true" outlineLevel="0" collapsed="false">
      <c r="A619" s="121" t="str">
        <f aca="false">IF(B619="","",CONCATENATE(COUNTA($B$4:B619),"."))</f>
        <v/>
      </c>
      <c r="B619" s="112"/>
      <c r="C619" s="112"/>
      <c r="D619" s="81"/>
      <c r="E619" s="81"/>
      <c r="F619" s="81"/>
      <c r="G619" s="81"/>
      <c r="H619" s="81"/>
      <c r="I619" s="161"/>
      <c r="J619" s="154" t="str">
        <f aca="false">IF(H619="","",ROUNDUP(H619*35%,0))</f>
        <v/>
      </c>
      <c r="K619" s="113"/>
      <c r="L619" s="113"/>
    </row>
    <row r="620" customFormat="false" ht="12.75" hidden="false" customHeight="true" outlineLevel="0" collapsed="false">
      <c r="A620" s="121" t="str">
        <f aca="false">IF(B620="","",CONCATENATE(COUNTA($B$4:B620),"."))</f>
        <v/>
      </c>
      <c r="B620" s="112"/>
      <c r="C620" s="112"/>
      <c r="D620" s="81"/>
      <c r="E620" s="81"/>
      <c r="F620" s="81"/>
      <c r="G620" s="81"/>
      <c r="H620" s="81"/>
      <c r="I620" s="161"/>
      <c r="J620" s="154" t="str">
        <f aca="false">IF(H620="","",ROUNDUP(H620*35%,0))</f>
        <v/>
      </c>
      <c r="K620" s="113"/>
      <c r="L620" s="113"/>
    </row>
    <row r="621" customFormat="false" ht="12.75" hidden="false" customHeight="true" outlineLevel="0" collapsed="false">
      <c r="A621" s="121" t="str">
        <f aca="false">IF(B621="","",CONCATENATE(COUNTA($B$4:B621),"."))</f>
        <v/>
      </c>
      <c r="B621" s="112"/>
      <c r="C621" s="112"/>
      <c r="D621" s="81"/>
      <c r="E621" s="81"/>
      <c r="F621" s="81"/>
      <c r="G621" s="81"/>
      <c r="H621" s="81"/>
      <c r="I621" s="161"/>
      <c r="J621" s="154" t="str">
        <f aca="false">IF(H621="","",ROUNDUP(H621*35%,0))</f>
        <v/>
      </c>
      <c r="K621" s="113"/>
      <c r="L621" s="113"/>
    </row>
    <row r="622" customFormat="false" ht="12.75" hidden="false" customHeight="true" outlineLevel="0" collapsed="false">
      <c r="A622" s="121" t="str">
        <f aca="false">IF(B622="","",CONCATENATE(COUNTA($B$4:B622),"."))</f>
        <v/>
      </c>
      <c r="B622" s="112"/>
      <c r="C622" s="112"/>
      <c r="D622" s="81"/>
      <c r="E622" s="81"/>
      <c r="F622" s="81"/>
      <c r="G622" s="81"/>
      <c r="H622" s="81"/>
      <c r="I622" s="161"/>
      <c r="J622" s="154" t="str">
        <f aca="false">IF(H622="","",ROUNDUP(H622*35%,0))</f>
        <v/>
      </c>
      <c r="K622" s="113"/>
      <c r="L622" s="113"/>
    </row>
    <row r="623" customFormat="false" ht="12.75" hidden="false" customHeight="true" outlineLevel="0" collapsed="false">
      <c r="A623" s="121" t="str">
        <f aca="false">IF(B623="","",CONCATENATE(COUNTA($B$4:B623),"."))</f>
        <v/>
      </c>
      <c r="B623" s="112"/>
      <c r="C623" s="112"/>
      <c r="D623" s="81"/>
      <c r="E623" s="81"/>
      <c r="F623" s="81"/>
      <c r="G623" s="81"/>
      <c r="H623" s="81"/>
      <c r="I623" s="161"/>
      <c r="J623" s="154" t="str">
        <f aca="false">IF(H623="","",ROUNDUP(H623*35%,0))</f>
        <v/>
      </c>
      <c r="K623" s="113"/>
      <c r="L623" s="113"/>
    </row>
    <row r="624" customFormat="false" ht="12.75" hidden="false" customHeight="true" outlineLevel="0" collapsed="false">
      <c r="A624" s="121" t="str">
        <f aca="false">IF(B624="","",CONCATENATE(COUNTA($B$4:B624),"."))</f>
        <v/>
      </c>
      <c r="B624" s="112"/>
      <c r="C624" s="112"/>
      <c r="D624" s="81"/>
      <c r="E624" s="81"/>
      <c r="F624" s="81"/>
      <c r="G624" s="81"/>
      <c r="H624" s="81"/>
      <c r="I624" s="161"/>
      <c r="J624" s="154" t="str">
        <f aca="false">IF(H624="","",ROUNDUP(H624*35%,0))</f>
        <v/>
      </c>
      <c r="K624" s="113"/>
      <c r="L624" s="113"/>
    </row>
    <row r="625" customFormat="false" ht="12.75" hidden="false" customHeight="true" outlineLevel="0" collapsed="false">
      <c r="A625" s="121" t="str">
        <f aca="false">IF(B625="","",CONCATENATE(COUNTA($B$4:B625),"."))</f>
        <v/>
      </c>
      <c r="B625" s="112"/>
      <c r="C625" s="112"/>
      <c r="D625" s="81"/>
      <c r="E625" s="81"/>
      <c r="F625" s="81"/>
      <c r="G625" s="81"/>
      <c r="H625" s="81"/>
      <c r="I625" s="161"/>
      <c r="J625" s="154" t="str">
        <f aca="false">IF(H625="","",ROUNDUP(H625*35%,0))</f>
        <v/>
      </c>
      <c r="K625" s="113"/>
      <c r="L625" s="113"/>
    </row>
    <row r="626" customFormat="false" ht="12.75" hidden="false" customHeight="true" outlineLevel="0" collapsed="false">
      <c r="A626" s="121" t="str">
        <f aca="false">IF(B626="","",CONCATENATE(COUNTA($B$4:B626),"."))</f>
        <v/>
      </c>
      <c r="B626" s="112"/>
      <c r="C626" s="112"/>
      <c r="D626" s="81"/>
      <c r="E626" s="81"/>
      <c r="F626" s="81"/>
      <c r="G626" s="81"/>
      <c r="H626" s="81"/>
      <c r="I626" s="161"/>
      <c r="J626" s="154" t="str">
        <f aca="false">IF(H626="","",ROUNDUP(H626*35%,0))</f>
        <v/>
      </c>
      <c r="K626" s="113"/>
      <c r="L626" s="113"/>
    </row>
    <row r="627" customFormat="false" ht="12.75" hidden="false" customHeight="true" outlineLevel="0" collapsed="false">
      <c r="A627" s="121" t="str">
        <f aca="false">IF(B627="","",CONCATENATE(COUNTA($B$4:B627),"."))</f>
        <v/>
      </c>
      <c r="B627" s="112"/>
      <c r="C627" s="112"/>
      <c r="D627" s="81"/>
      <c r="E627" s="81"/>
      <c r="F627" s="81"/>
      <c r="G627" s="81"/>
      <c r="H627" s="81"/>
      <c r="I627" s="161"/>
      <c r="J627" s="154" t="str">
        <f aca="false">IF(H627="","",ROUNDUP(H627*35%,0))</f>
        <v/>
      </c>
      <c r="K627" s="113"/>
      <c r="L627" s="113"/>
    </row>
    <row r="628" customFormat="false" ht="12.75" hidden="false" customHeight="true" outlineLevel="0" collapsed="false">
      <c r="A628" s="121" t="str">
        <f aca="false">IF(B628="","",CONCATENATE(COUNTA($B$4:B628),"."))</f>
        <v/>
      </c>
      <c r="B628" s="112"/>
      <c r="C628" s="112"/>
      <c r="D628" s="81"/>
      <c r="E628" s="81"/>
      <c r="F628" s="81"/>
      <c r="G628" s="81"/>
      <c r="H628" s="81"/>
      <c r="I628" s="161"/>
      <c r="J628" s="154" t="str">
        <f aca="false">IF(H628="","",ROUNDUP(H628*35%,0))</f>
        <v/>
      </c>
      <c r="K628" s="113"/>
      <c r="L628" s="113"/>
    </row>
    <row r="629" customFormat="false" ht="12.75" hidden="false" customHeight="true" outlineLevel="0" collapsed="false">
      <c r="A629" s="121" t="str">
        <f aca="false">IF(B629="","",CONCATENATE(COUNTA($B$4:B629),"."))</f>
        <v/>
      </c>
      <c r="B629" s="112"/>
      <c r="C629" s="112"/>
      <c r="D629" s="81"/>
      <c r="E629" s="81"/>
      <c r="F629" s="81"/>
      <c r="G629" s="81"/>
      <c r="H629" s="81"/>
      <c r="I629" s="161"/>
      <c r="J629" s="154" t="str">
        <f aca="false">IF(H629="","",ROUNDUP(H629*35%,0))</f>
        <v/>
      </c>
      <c r="K629" s="113"/>
      <c r="L629" s="113"/>
    </row>
    <row r="630" customFormat="false" ht="12.75" hidden="false" customHeight="true" outlineLevel="0" collapsed="false">
      <c r="A630" s="121" t="str">
        <f aca="false">IF(B630="","",CONCATENATE(COUNTA($B$4:B630),"."))</f>
        <v/>
      </c>
      <c r="B630" s="112"/>
      <c r="C630" s="112"/>
      <c r="D630" s="81"/>
      <c r="E630" s="81"/>
      <c r="F630" s="81"/>
      <c r="G630" s="81"/>
      <c r="H630" s="81"/>
      <c r="I630" s="161"/>
      <c r="J630" s="154" t="str">
        <f aca="false">IF(H630="","",ROUNDUP(H630*35%,0))</f>
        <v/>
      </c>
      <c r="K630" s="113"/>
      <c r="L630" s="113"/>
    </row>
    <row r="631" customFormat="false" ht="12.75" hidden="false" customHeight="true" outlineLevel="0" collapsed="false">
      <c r="A631" s="121" t="str">
        <f aca="false">IF(B631="","",CONCATENATE(COUNTA($B$4:B631),"."))</f>
        <v/>
      </c>
      <c r="B631" s="112"/>
      <c r="C631" s="112"/>
      <c r="D631" s="81"/>
      <c r="E631" s="81"/>
      <c r="F631" s="81"/>
      <c r="G631" s="81"/>
      <c r="H631" s="81"/>
      <c r="I631" s="161"/>
      <c r="J631" s="154" t="str">
        <f aca="false">IF(H631="","",ROUNDUP(H631*35%,0))</f>
        <v/>
      </c>
      <c r="K631" s="113"/>
      <c r="L631" s="113"/>
    </row>
    <row r="632" customFormat="false" ht="12.75" hidden="false" customHeight="true" outlineLevel="0" collapsed="false">
      <c r="A632" s="121" t="str">
        <f aca="false">IF(B632="","",CONCATENATE(COUNTA($B$4:B632),"."))</f>
        <v/>
      </c>
      <c r="B632" s="112"/>
      <c r="C632" s="112"/>
      <c r="D632" s="81"/>
      <c r="E632" s="81"/>
      <c r="F632" s="81"/>
      <c r="G632" s="81"/>
      <c r="H632" s="81"/>
      <c r="I632" s="161"/>
      <c r="J632" s="154" t="str">
        <f aca="false">IF(H632="","",ROUNDUP(H632*35%,0))</f>
        <v/>
      </c>
      <c r="K632" s="113"/>
      <c r="L632" s="113"/>
    </row>
    <row r="633" customFormat="false" ht="12.75" hidden="false" customHeight="true" outlineLevel="0" collapsed="false">
      <c r="A633" s="121" t="str">
        <f aca="false">IF(B633="","",CONCATENATE(COUNTA($B$4:B633),"."))</f>
        <v/>
      </c>
      <c r="B633" s="112"/>
      <c r="C633" s="112"/>
      <c r="D633" s="81"/>
      <c r="E633" s="81"/>
      <c r="F633" s="81"/>
      <c r="G633" s="81"/>
      <c r="H633" s="81"/>
      <c r="I633" s="161"/>
      <c r="J633" s="154" t="str">
        <f aca="false">IF(H633="","",ROUNDUP(H633*35%,0))</f>
        <v/>
      </c>
      <c r="K633" s="113"/>
      <c r="L633" s="113"/>
    </row>
    <row r="634" customFormat="false" ht="12.75" hidden="false" customHeight="true" outlineLevel="0" collapsed="false">
      <c r="A634" s="121" t="str">
        <f aca="false">IF(B634="","",CONCATENATE(COUNTA($B$4:B634),"."))</f>
        <v/>
      </c>
      <c r="B634" s="112"/>
      <c r="C634" s="112"/>
      <c r="D634" s="81"/>
      <c r="E634" s="81"/>
      <c r="F634" s="81"/>
      <c r="G634" s="81"/>
      <c r="H634" s="81"/>
      <c r="I634" s="161"/>
      <c r="J634" s="154" t="str">
        <f aca="false">IF(H634="","",ROUNDUP(H634*35%,0))</f>
        <v/>
      </c>
      <c r="K634" s="113"/>
      <c r="L634" s="113"/>
    </row>
    <row r="635" customFormat="false" ht="12.75" hidden="false" customHeight="true" outlineLevel="0" collapsed="false">
      <c r="A635" s="121" t="str">
        <f aca="false">IF(B635="","",CONCATENATE(COUNTA($B$4:B635),"."))</f>
        <v/>
      </c>
      <c r="B635" s="112"/>
      <c r="C635" s="112"/>
      <c r="D635" s="81"/>
      <c r="E635" s="81"/>
      <c r="F635" s="81"/>
      <c r="G635" s="81"/>
      <c r="H635" s="81"/>
      <c r="I635" s="161"/>
      <c r="J635" s="154" t="str">
        <f aca="false">IF(H635="","",ROUNDUP(H635*35%,0))</f>
        <v/>
      </c>
      <c r="K635" s="113"/>
      <c r="L635" s="113"/>
    </row>
    <row r="636" customFormat="false" ht="12.75" hidden="false" customHeight="true" outlineLevel="0" collapsed="false">
      <c r="A636" s="121" t="str">
        <f aca="false">IF(B636="","",CONCATENATE(COUNTA($B$4:B636),"."))</f>
        <v/>
      </c>
      <c r="B636" s="112"/>
      <c r="C636" s="112"/>
      <c r="D636" s="81"/>
      <c r="E636" s="81"/>
      <c r="F636" s="81"/>
      <c r="G636" s="81"/>
      <c r="H636" s="81"/>
      <c r="I636" s="161"/>
      <c r="J636" s="154" t="str">
        <f aca="false">IF(H636="","",ROUNDUP(H636*35%,0))</f>
        <v/>
      </c>
      <c r="K636" s="113"/>
      <c r="L636" s="113"/>
    </row>
    <row r="637" customFormat="false" ht="12.75" hidden="false" customHeight="true" outlineLevel="0" collapsed="false">
      <c r="A637" s="121" t="str">
        <f aca="false">IF(B637="","",CONCATENATE(COUNTA($B$4:B637),"."))</f>
        <v/>
      </c>
      <c r="B637" s="112"/>
      <c r="C637" s="112"/>
      <c r="D637" s="81"/>
      <c r="E637" s="81"/>
      <c r="F637" s="81"/>
      <c r="G637" s="81"/>
      <c r="H637" s="81"/>
      <c r="I637" s="161"/>
      <c r="J637" s="154" t="str">
        <f aca="false">IF(H637="","",ROUNDUP(H637*35%,0))</f>
        <v/>
      </c>
      <c r="K637" s="113"/>
      <c r="L637" s="113"/>
    </row>
    <row r="638" customFormat="false" ht="12.75" hidden="false" customHeight="true" outlineLevel="0" collapsed="false">
      <c r="A638" s="121" t="str">
        <f aca="false">IF(B638="","",CONCATENATE(COUNTA($B$4:B638),"."))</f>
        <v/>
      </c>
      <c r="B638" s="112"/>
      <c r="C638" s="112"/>
      <c r="D638" s="81"/>
      <c r="E638" s="81"/>
      <c r="F638" s="81"/>
      <c r="G638" s="81"/>
      <c r="H638" s="81"/>
      <c r="I638" s="161"/>
      <c r="J638" s="154" t="str">
        <f aca="false">IF(H638="","",ROUNDUP(H638*35%,0))</f>
        <v/>
      </c>
      <c r="K638" s="113"/>
      <c r="L638" s="113"/>
    </row>
    <row r="639" customFormat="false" ht="12.75" hidden="false" customHeight="true" outlineLevel="0" collapsed="false">
      <c r="A639" s="121" t="str">
        <f aca="false">IF(B639="","",CONCATENATE(COUNTA($B$4:B639),"."))</f>
        <v/>
      </c>
      <c r="B639" s="112"/>
      <c r="C639" s="112"/>
      <c r="D639" s="81"/>
      <c r="E639" s="81"/>
      <c r="F639" s="81"/>
      <c r="G639" s="81"/>
      <c r="H639" s="81"/>
      <c r="I639" s="161"/>
      <c r="J639" s="154" t="str">
        <f aca="false">IF(H639="","",ROUNDUP(H639*35%,0))</f>
        <v/>
      </c>
      <c r="K639" s="113"/>
      <c r="L639" s="113"/>
    </row>
    <row r="640" customFormat="false" ht="12.75" hidden="false" customHeight="true" outlineLevel="0" collapsed="false">
      <c r="A640" s="121" t="str">
        <f aca="false">IF(B640="","",CONCATENATE(COUNTA($B$4:B640),"."))</f>
        <v/>
      </c>
      <c r="B640" s="112"/>
      <c r="C640" s="112"/>
      <c r="D640" s="81"/>
      <c r="E640" s="81"/>
      <c r="F640" s="81"/>
      <c r="G640" s="81"/>
      <c r="H640" s="81"/>
      <c r="I640" s="161"/>
      <c r="J640" s="154" t="str">
        <f aca="false">IF(H640="","",ROUNDUP(H640*35%,0))</f>
        <v/>
      </c>
      <c r="K640" s="113"/>
      <c r="L640" s="113"/>
    </row>
    <row r="641" customFormat="false" ht="12.75" hidden="false" customHeight="true" outlineLevel="0" collapsed="false">
      <c r="A641" s="121" t="str">
        <f aca="false">IF(B641="","",CONCATENATE(COUNTA($B$4:B641),"."))</f>
        <v/>
      </c>
      <c r="B641" s="112"/>
      <c r="C641" s="112"/>
      <c r="D641" s="81"/>
      <c r="E641" s="81"/>
      <c r="F641" s="81"/>
      <c r="G641" s="81"/>
      <c r="H641" s="81"/>
      <c r="I641" s="161"/>
      <c r="J641" s="154" t="str">
        <f aca="false">IF(H641="","",ROUNDUP(H641*35%,0))</f>
        <v/>
      </c>
      <c r="K641" s="113"/>
      <c r="L641" s="113"/>
    </row>
    <row r="642" customFormat="false" ht="12.75" hidden="false" customHeight="true" outlineLevel="0" collapsed="false">
      <c r="A642" s="121" t="str">
        <f aca="false">IF(B642="","",CONCATENATE(COUNTA($B$4:B642),"."))</f>
        <v/>
      </c>
      <c r="B642" s="112"/>
      <c r="C642" s="112"/>
      <c r="D642" s="81"/>
      <c r="E642" s="81"/>
      <c r="F642" s="81"/>
      <c r="G642" s="81"/>
      <c r="H642" s="81"/>
      <c r="I642" s="161"/>
      <c r="J642" s="154" t="str">
        <f aca="false">IF(H642="","",ROUNDUP(H642*35%,0))</f>
        <v/>
      </c>
      <c r="K642" s="113"/>
      <c r="L642" s="113"/>
    </row>
    <row r="643" customFormat="false" ht="12.75" hidden="false" customHeight="true" outlineLevel="0" collapsed="false">
      <c r="A643" s="121" t="str">
        <f aca="false">IF(B643="","",CONCATENATE(COUNTA($B$4:B643),"."))</f>
        <v/>
      </c>
      <c r="B643" s="112"/>
      <c r="C643" s="112"/>
      <c r="D643" s="81"/>
      <c r="E643" s="81"/>
      <c r="F643" s="81"/>
      <c r="G643" s="81"/>
      <c r="H643" s="81"/>
      <c r="I643" s="161"/>
      <c r="J643" s="154" t="str">
        <f aca="false">IF(H643="","",ROUNDUP(H643*35%,0))</f>
        <v/>
      </c>
      <c r="K643" s="113"/>
      <c r="L643" s="113"/>
    </row>
    <row r="644" customFormat="false" ht="12.75" hidden="false" customHeight="true" outlineLevel="0" collapsed="false">
      <c r="A644" s="121" t="str">
        <f aca="false">IF(B644="","",CONCATENATE(COUNTA($B$4:B644),"."))</f>
        <v/>
      </c>
      <c r="B644" s="112"/>
      <c r="C644" s="112"/>
      <c r="D644" s="81"/>
      <c r="E644" s="81"/>
      <c r="F644" s="81"/>
      <c r="G644" s="81"/>
      <c r="H644" s="81"/>
      <c r="I644" s="161"/>
      <c r="J644" s="154" t="str">
        <f aca="false">IF(H644="","",ROUNDUP(H644*35%,0))</f>
        <v/>
      </c>
      <c r="K644" s="113"/>
      <c r="L644" s="113"/>
    </row>
    <row r="645" customFormat="false" ht="12.75" hidden="false" customHeight="true" outlineLevel="0" collapsed="false">
      <c r="A645" s="121" t="str">
        <f aca="false">IF(B645="","",CONCATENATE(COUNTA($B$4:B645),"."))</f>
        <v/>
      </c>
      <c r="B645" s="112"/>
      <c r="C645" s="112"/>
      <c r="D645" s="81"/>
      <c r="E645" s="81"/>
      <c r="F645" s="81"/>
      <c r="G645" s="81"/>
      <c r="H645" s="81"/>
      <c r="I645" s="161"/>
      <c r="J645" s="154" t="str">
        <f aca="false">IF(H645="","",ROUNDUP(H645*35%,0))</f>
        <v/>
      </c>
      <c r="K645" s="113"/>
      <c r="L645" s="113"/>
    </row>
    <row r="646" customFormat="false" ht="12.75" hidden="false" customHeight="true" outlineLevel="0" collapsed="false">
      <c r="A646" s="121" t="str">
        <f aca="false">IF(B646="","",CONCATENATE(COUNTA($B$4:B646),"."))</f>
        <v/>
      </c>
      <c r="B646" s="112"/>
      <c r="C646" s="112"/>
      <c r="D646" s="81"/>
      <c r="E646" s="81"/>
      <c r="F646" s="81"/>
      <c r="G646" s="81"/>
      <c r="H646" s="81"/>
      <c r="I646" s="161"/>
      <c r="J646" s="154" t="str">
        <f aca="false">IF(H646="","",ROUNDUP(H646*35%,0))</f>
        <v/>
      </c>
      <c r="K646" s="113"/>
      <c r="L646" s="113"/>
    </row>
    <row r="647" customFormat="false" ht="12.75" hidden="false" customHeight="true" outlineLevel="0" collapsed="false">
      <c r="A647" s="121" t="str">
        <f aca="false">IF(B647="","",CONCATENATE(COUNTA($B$4:B647),"."))</f>
        <v/>
      </c>
      <c r="B647" s="112"/>
      <c r="C647" s="112"/>
      <c r="D647" s="81"/>
      <c r="E647" s="81"/>
      <c r="F647" s="81"/>
      <c r="G647" s="81"/>
      <c r="H647" s="81"/>
      <c r="I647" s="161"/>
      <c r="J647" s="154" t="str">
        <f aca="false">IF(H647="","",ROUNDUP(H647*35%,0))</f>
        <v/>
      </c>
      <c r="K647" s="113"/>
      <c r="L647" s="113"/>
    </row>
    <row r="648" customFormat="false" ht="12.75" hidden="false" customHeight="true" outlineLevel="0" collapsed="false">
      <c r="A648" s="121" t="str">
        <f aca="false">IF(B648="","",CONCATENATE(COUNTA($B$4:B648),"."))</f>
        <v/>
      </c>
      <c r="B648" s="112"/>
      <c r="C648" s="112"/>
      <c r="D648" s="81"/>
      <c r="E648" s="81"/>
      <c r="F648" s="81"/>
      <c r="G648" s="81"/>
      <c r="H648" s="81"/>
      <c r="I648" s="161"/>
      <c r="J648" s="154" t="str">
        <f aca="false">IF(H648="","",ROUNDUP(H648*35%,0))</f>
        <v/>
      </c>
      <c r="K648" s="113"/>
      <c r="L648" s="113"/>
    </row>
    <row r="649" customFormat="false" ht="12.75" hidden="false" customHeight="true" outlineLevel="0" collapsed="false">
      <c r="A649" s="121" t="str">
        <f aca="false">IF(B649="","",CONCATENATE(COUNTA($B$4:B649),"."))</f>
        <v/>
      </c>
      <c r="B649" s="112"/>
      <c r="C649" s="112"/>
      <c r="D649" s="81"/>
      <c r="E649" s="81"/>
      <c r="F649" s="81"/>
      <c r="G649" s="81"/>
      <c r="H649" s="81"/>
      <c r="I649" s="161"/>
      <c r="J649" s="154" t="str">
        <f aca="false">IF(H649="","",ROUNDUP(H649*35%,0))</f>
        <v/>
      </c>
      <c r="K649" s="113"/>
      <c r="L649" s="113"/>
    </row>
    <row r="650" customFormat="false" ht="12.75" hidden="false" customHeight="true" outlineLevel="0" collapsed="false">
      <c r="A650" s="121" t="str">
        <f aca="false">IF(B650="","",CONCATENATE(COUNTA($B$4:B650),"."))</f>
        <v/>
      </c>
      <c r="B650" s="112"/>
      <c r="C650" s="112"/>
      <c r="D650" s="81"/>
      <c r="E650" s="81"/>
      <c r="F650" s="81"/>
      <c r="G650" s="81"/>
      <c r="H650" s="81"/>
      <c r="I650" s="161"/>
      <c r="J650" s="154" t="str">
        <f aca="false">IF(H650="","",ROUNDUP(H650*35%,0))</f>
        <v/>
      </c>
      <c r="K650" s="113"/>
      <c r="L650" s="113"/>
    </row>
    <row r="651" customFormat="false" ht="12.75" hidden="false" customHeight="true" outlineLevel="0" collapsed="false">
      <c r="A651" s="121" t="str">
        <f aca="false">IF(B651="","",CONCATENATE(COUNTA($B$4:B651),"."))</f>
        <v/>
      </c>
      <c r="B651" s="112"/>
      <c r="C651" s="112"/>
      <c r="D651" s="81"/>
      <c r="E651" s="81"/>
      <c r="F651" s="81"/>
      <c r="G651" s="81"/>
      <c r="H651" s="81"/>
      <c r="I651" s="161"/>
      <c r="J651" s="154" t="str">
        <f aca="false">IF(H651="","",ROUNDUP(H651*35%,0))</f>
        <v/>
      </c>
      <c r="K651" s="113"/>
      <c r="L651" s="113"/>
    </row>
    <row r="652" customFormat="false" ht="12.75" hidden="false" customHeight="true" outlineLevel="0" collapsed="false">
      <c r="A652" s="121" t="str">
        <f aca="false">IF(B652="","",CONCATENATE(COUNTA($B$4:B652),"."))</f>
        <v/>
      </c>
      <c r="B652" s="112"/>
      <c r="C652" s="112"/>
      <c r="D652" s="81"/>
      <c r="E652" s="81"/>
      <c r="F652" s="81"/>
      <c r="G652" s="81"/>
      <c r="H652" s="81"/>
      <c r="I652" s="161"/>
      <c r="J652" s="154" t="str">
        <f aca="false">IF(H652="","",ROUNDUP(H652*35%,0))</f>
        <v/>
      </c>
      <c r="K652" s="113"/>
      <c r="L652" s="113"/>
    </row>
    <row r="653" customFormat="false" ht="12.75" hidden="false" customHeight="true" outlineLevel="0" collapsed="false">
      <c r="A653" s="121" t="str">
        <f aca="false">IF(B653="","",CONCATENATE(COUNTA($B$4:B653),"."))</f>
        <v/>
      </c>
      <c r="B653" s="112"/>
      <c r="C653" s="112"/>
      <c r="D653" s="81"/>
      <c r="E653" s="81"/>
      <c r="F653" s="81"/>
      <c r="G653" s="81"/>
      <c r="H653" s="81"/>
      <c r="I653" s="161"/>
      <c r="J653" s="154" t="str">
        <f aca="false">IF(H653="","",ROUNDUP(H653*35%,0))</f>
        <v/>
      </c>
      <c r="K653" s="113"/>
      <c r="L653" s="113"/>
    </row>
    <row r="654" customFormat="false" ht="12.75" hidden="false" customHeight="true" outlineLevel="0" collapsed="false">
      <c r="A654" s="121" t="str">
        <f aca="false">IF(B654="","",CONCATENATE(COUNTA($B$4:B654),"."))</f>
        <v/>
      </c>
      <c r="B654" s="112"/>
      <c r="C654" s="112"/>
      <c r="D654" s="81"/>
      <c r="E654" s="81"/>
      <c r="F654" s="81"/>
      <c r="G654" s="81"/>
      <c r="H654" s="81"/>
      <c r="I654" s="161"/>
      <c r="J654" s="154" t="str">
        <f aca="false">IF(H654="","",ROUNDUP(H654*35%,0))</f>
        <v/>
      </c>
      <c r="K654" s="113"/>
      <c r="L654" s="113"/>
    </row>
    <row r="655" customFormat="false" ht="12.75" hidden="false" customHeight="true" outlineLevel="0" collapsed="false">
      <c r="A655" s="121" t="str">
        <f aca="false">IF(B655="","",CONCATENATE(COUNTA($B$4:B655),"."))</f>
        <v/>
      </c>
      <c r="B655" s="112"/>
      <c r="C655" s="112"/>
      <c r="D655" s="81"/>
      <c r="E655" s="81"/>
      <c r="F655" s="81"/>
      <c r="G655" s="81"/>
      <c r="H655" s="81"/>
      <c r="I655" s="161"/>
      <c r="J655" s="154" t="str">
        <f aca="false">IF(H655="","",ROUNDUP(H655*35%,0))</f>
        <v/>
      </c>
      <c r="K655" s="113"/>
      <c r="L655" s="113"/>
    </row>
    <row r="656" customFormat="false" ht="12.75" hidden="false" customHeight="true" outlineLevel="0" collapsed="false">
      <c r="A656" s="121" t="str">
        <f aca="false">IF(B656="","",CONCATENATE(COUNTA($B$4:B656),"."))</f>
        <v/>
      </c>
      <c r="B656" s="112"/>
      <c r="C656" s="112"/>
      <c r="D656" s="81"/>
      <c r="E656" s="81"/>
      <c r="F656" s="81"/>
      <c r="G656" s="81"/>
      <c r="H656" s="81"/>
      <c r="I656" s="161"/>
      <c r="J656" s="154" t="str">
        <f aca="false">IF(H656="","",ROUNDUP(H656*35%,0))</f>
        <v/>
      </c>
      <c r="K656" s="113"/>
      <c r="L656" s="113"/>
    </row>
    <row r="657" customFormat="false" ht="12.75" hidden="false" customHeight="true" outlineLevel="0" collapsed="false">
      <c r="A657" s="121" t="str">
        <f aca="false">IF(B657="","",CONCATENATE(COUNTA($B$4:B657),"."))</f>
        <v/>
      </c>
      <c r="B657" s="112"/>
      <c r="C657" s="112"/>
      <c r="D657" s="81"/>
      <c r="E657" s="81"/>
      <c r="F657" s="81"/>
      <c r="G657" s="81"/>
      <c r="H657" s="81"/>
      <c r="I657" s="161"/>
      <c r="J657" s="154" t="str">
        <f aca="false">IF(H657="","",ROUNDUP(H657*35%,0))</f>
        <v/>
      </c>
      <c r="K657" s="113"/>
      <c r="L657" s="113"/>
    </row>
    <row r="658" customFormat="false" ht="12.75" hidden="false" customHeight="true" outlineLevel="0" collapsed="false">
      <c r="A658" s="121" t="str">
        <f aca="false">IF(B658="","",CONCATENATE(COUNTA($B$4:B658),"."))</f>
        <v/>
      </c>
      <c r="B658" s="112"/>
      <c r="C658" s="112"/>
      <c r="D658" s="81"/>
      <c r="E658" s="81"/>
      <c r="F658" s="81"/>
      <c r="G658" s="81"/>
      <c r="H658" s="81"/>
      <c r="I658" s="161"/>
      <c r="J658" s="154" t="str">
        <f aca="false">IF(H658="","",ROUNDUP(H658*35%,0))</f>
        <v/>
      </c>
      <c r="K658" s="113"/>
      <c r="L658" s="113"/>
    </row>
    <row r="659" customFormat="false" ht="12.75" hidden="false" customHeight="true" outlineLevel="0" collapsed="false">
      <c r="A659" s="121" t="str">
        <f aca="false">IF(B659="","",CONCATENATE(COUNTA($B$4:B659),"."))</f>
        <v/>
      </c>
      <c r="B659" s="112"/>
      <c r="C659" s="112"/>
      <c r="D659" s="81"/>
      <c r="E659" s="81"/>
      <c r="F659" s="81"/>
      <c r="G659" s="81"/>
      <c r="H659" s="81"/>
      <c r="I659" s="161"/>
      <c r="J659" s="154" t="str">
        <f aca="false">IF(H659="","",ROUNDUP(H659*35%,0))</f>
        <v/>
      </c>
      <c r="K659" s="113"/>
      <c r="L659" s="113"/>
    </row>
    <row r="660" customFormat="false" ht="12.75" hidden="false" customHeight="true" outlineLevel="0" collapsed="false">
      <c r="A660" s="121" t="str">
        <f aca="false">IF(B660="","",CONCATENATE(COUNTA($B$4:B660),"."))</f>
        <v/>
      </c>
      <c r="B660" s="112"/>
      <c r="C660" s="112"/>
      <c r="D660" s="81"/>
      <c r="E660" s="81"/>
      <c r="F660" s="81"/>
      <c r="G660" s="81"/>
      <c r="H660" s="81"/>
      <c r="I660" s="161"/>
      <c r="J660" s="154" t="str">
        <f aca="false">IF(H660="","",ROUNDUP(H660*35%,0))</f>
        <v/>
      </c>
      <c r="K660" s="113"/>
      <c r="L660" s="113"/>
    </row>
    <row r="661" customFormat="false" ht="12.75" hidden="false" customHeight="true" outlineLevel="0" collapsed="false">
      <c r="A661" s="121" t="str">
        <f aca="false">IF(B661="","",CONCATENATE(COUNTA($B$4:B661),"."))</f>
        <v/>
      </c>
      <c r="B661" s="112"/>
      <c r="C661" s="112"/>
      <c r="D661" s="81"/>
      <c r="E661" s="81"/>
      <c r="F661" s="81"/>
      <c r="G661" s="81"/>
      <c r="H661" s="81"/>
      <c r="I661" s="161"/>
      <c r="J661" s="154" t="str">
        <f aca="false">IF(H661="","",ROUNDUP(H661*35%,0))</f>
        <v/>
      </c>
      <c r="K661" s="113"/>
      <c r="L661" s="113"/>
    </row>
    <row r="662" customFormat="false" ht="12.75" hidden="false" customHeight="true" outlineLevel="0" collapsed="false">
      <c r="A662" s="121" t="str">
        <f aca="false">IF(B662="","",CONCATENATE(COUNTA($B$4:B662),"."))</f>
        <v/>
      </c>
      <c r="B662" s="112"/>
      <c r="C662" s="112"/>
      <c r="D662" s="81"/>
      <c r="E662" s="81"/>
      <c r="F662" s="81"/>
      <c r="G662" s="81"/>
      <c r="H662" s="81"/>
      <c r="I662" s="161"/>
      <c r="J662" s="154" t="str">
        <f aca="false">IF(H662="","",ROUNDUP(H662*35%,0))</f>
        <v/>
      </c>
      <c r="K662" s="113"/>
      <c r="L662" s="113"/>
    </row>
    <row r="663" customFormat="false" ht="12.75" hidden="false" customHeight="true" outlineLevel="0" collapsed="false">
      <c r="A663" s="121" t="str">
        <f aca="false">IF(B663="","",CONCATENATE(COUNTA($B$4:B663),"."))</f>
        <v/>
      </c>
      <c r="B663" s="112"/>
      <c r="C663" s="112"/>
      <c r="D663" s="81"/>
      <c r="E663" s="81"/>
      <c r="F663" s="81"/>
      <c r="G663" s="81"/>
      <c r="H663" s="81"/>
      <c r="I663" s="161"/>
      <c r="J663" s="154" t="str">
        <f aca="false">IF(H663="","",ROUNDUP(H663*35%,0))</f>
        <v/>
      </c>
      <c r="K663" s="113"/>
      <c r="L663" s="113"/>
    </row>
    <row r="664" customFormat="false" ht="12.75" hidden="false" customHeight="true" outlineLevel="0" collapsed="false">
      <c r="A664" s="121" t="str">
        <f aca="false">IF(B664="","",CONCATENATE(COUNTA($B$4:B664),"."))</f>
        <v/>
      </c>
      <c r="B664" s="112"/>
      <c r="C664" s="112"/>
      <c r="D664" s="81"/>
      <c r="E664" s="81"/>
      <c r="F664" s="81"/>
      <c r="G664" s="81"/>
      <c r="H664" s="81"/>
      <c r="I664" s="161"/>
      <c r="J664" s="154" t="str">
        <f aca="false">IF(H664="","",ROUNDUP(H664*35%,0))</f>
        <v/>
      </c>
      <c r="K664" s="113"/>
      <c r="L664" s="113"/>
    </row>
    <row r="665" customFormat="false" ht="12.75" hidden="false" customHeight="true" outlineLevel="0" collapsed="false">
      <c r="A665" s="121" t="str">
        <f aca="false">IF(B665="","",CONCATENATE(COUNTA($B$4:B665),"."))</f>
        <v/>
      </c>
      <c r="B665" s="112"/>
      <c r="C665" s="112"/>
      <c r="D665" s="81"/>
      <c r="E665" s="81"/>
      <c r="F665" s="81"/>
      <c r="G665" s="81"/>
      <c r="H665" s="81"/>
      <c r="I665" s="161"/>
      <c r="J665" s="154" t="str">
        <f aca="false">IF(H665="","",ROUNDUP(H665*35%,0))</f>
        <v/>
      </c>
      <c r="K665" s="113"/>
      <c r="L665" s="113"/>
    </row>
    <row r="666" customFormat="false" ht="12.75" hidden="false" customHeight="true" outlineLevel="0" collapsed="false">
      <c r="A666" s="121" t="str">
        <f aca="false">IF(B666="","",CONCATENATE(COUNTA($B$4:B666),"."))</f>
        <v/>
      </c>
      <c r="B666" s="112"/>
      <c r="C666" s="112"/>
      <c r="D666" s="81"/>
      <c r="E666" s="81"/>
      <c r="F666" s="81"/>
      <c r="G666" s="81"/>
      <c r="H666" s="81"/>
      <c r="I666" s="161"/>
      <c r="J666" s="154" t="str">
        <f aca="false">IF(H666="","",ROUNDUP(H666*35%,0))</f>
        <v/>
      </c>
      <c r="K666" s="113"/>
      <c r="L666" s="113"/>
    </row>
    <row r="667" customFormat="false" ht="12.75" hidden="false" customHeight="true" outlineLevel="0" collapsed="false">
      <c r="A667" s="121" t="str">
        <f aca="false">IF(B667="","",CONCATENATE(COUNTA($B$4:B667),"."))</f>
        <v/>
      </c>
      <c r="B667" s="112"/>
      <c r="C667" s="112"/>
      <c r="D667" s="81"/>
      <c r="E667" s="81"/>
      <c r="F667" s="81"/>
      <c r="G667" s="81"/>
      <c r="H667" s="81"/>
      <c r="I667" s="161"/>
      <c r="J667" s="154" t="str">
        <f aca="false">IF(H667="","",ROUNDUP(H667*35%,0))</f>
        <v/>
      </c>
      <c r="K667" s="113"/>
      <c r="L667" s="113"/>
    </row>
    <row r="668" customFormat="false" ht="12.75" hidden="false" customHeight="true" outlineLevel="0" collapsed="false">
      <c r="A668" s="121" t="str">
        <f aca="false">IF(B668="","",CONCATENATE(COUNTA($B$4:B668),"."))</f>
        <v/>
      </c>
      <c r="B668" s="112"/>
      <c r="C668" s="112"/>
      <c r="D668" s="81"/>
      <c r="E668" s="81"/>
      <c r="F668" s="81"/>
      <c r="G668" s="81"/>
      <c r="H668" s="81"/>
      <c r="I668" s="161"/>
      <c r="J668" s="154" t="str">
        <f aca="false">IF(H668="","",ROUNDUP(H668*35%,0))</f>
        <v/>
      </c>
      <c r="K668" s="113"/>
      <c r="L668" s="113"/>
    </row>
    <row r="669" customFormat="false" ht="12.75" hidden="false" customHeight="true" outlineLevel="0" collapsed="false">
      <c r="A669" s="121" t="str">
        <f aca="false">IF(B669="","",CONCATENATE(COUNTA($B$4:B669),"."))</f>
        <v/>
      </c>
      <c r="B669" s="112"/>
      <c r="C669" s="112"/>
      <c r="D669" s="81"/>
      <c r="E669" s="81"/>
      <c r="F669" s="81"/>
      <c r="G669" s="81"/>
      <c r="H669" s="81"/>
      <c r="I669" s="161"/>
      <c r="J669" s="154" t="str">
        <f aca="false">IF(H669="","",ROUNDUP(H669*35%,0))</f>
        <v/>
      </c>
      <c r="K669" s="113"/>
      <c r="L669" s="113"/>
    </row>
    <row r="670" customFormat="false" ht="12.75" hidden="false" customHeight="true" outlineLevel="0" collapsed="false">
      <c r="A670" s="121" t="str">
        <f aca="false">IF(B670="","",CONCATENATE(COUNTA($B$4:B670),"."))</f>
        <v/>
      </c>
      <c r="B670" s="112"/>
      <c r="C670" s="112"/>
      <c r="D670" s="81"/>
      <c r="E670" s="81"/>
      <c r="F670" s="81"/>
      <c r="G670" s="81"/>
      <c r="H670" s="81"/>
      <c r="I670" s="161"/>
      <c r="J670" s="154" t="str">
        <f aca="false">IF(H670="","",ROUNDUP(H670*35%,0))</f>
        <v/>
      </c>
      <c r="K670" s="113"/>
      <c r="L670" s="113"/>
    </row>
    <row r="671" customFormat="false" ht="12.75" hidden="false" customHeight="true" outlineLevel="0" collapsed="false">
      <c r="A671" s="121" t="str">
        <f aca="false">IF(B671="","",CONCATENATE(COUNTA($B$4:B671),"."))</f>
        <v/>
      </c>
      <c r="B671" s="112"/>
      <c r="C671" s="112"/>
      <c r="D671" s="81"/>
      <c r="E671" s="81"/>
      <c r="F671" s="81"/>
      <c r="G671" s="81"/>
      <c r="H671" s="81"/>
      <c r="I671" s="161"/>
      <c r="J671" s="154" t="str">
        <f aca="false">IF(H671="","",ROUNDUP(H671*35%,0))</f>
        <v/>
      </c>
      <c r="K671" s="113"/>
      <c r="L671" s="113"/>
    </row>
    <row r="672" customFormat="false" ht="12.75" hidden="false" customHeight="true" outlineLevel="0" collapsed="false">
      <c r="A672" s="121" t="str">
        <f aca="false">IF(B672="","",CONCATENATE(COUNTA($B$4:B672),"."))</f>
        <v/>
      </c>
      <c r="B672" s="112"/>
      <c r="C672" s="112"/>
      <c r="D672" s="81"/>
      <c r="E672" s="81"/>
      <c r="F672" s="81"/>
      <c r="G672" s="81"/>
      <c r="H672" s="81"/>
      <c r="I672" s="161"/>
      <c r="J672" s="154" t="str">
        <f aca="false">IF(H672="","",ROUNDUP(H672*35%,0))</f>
        <v/>
      </c>
      <c r="K672" s="113"/>
      <c r="L672" s="113"/>
    </row>
    <row r="673" customFormat="false" ht="12.75" hidden="false" customHeight="true" outlineLevel="0" collapsed="false">
      <c r="A673" s="121" t="str">
        <f aca="false">IF(B673="","",CONCATENATE(COUNTA($B$4:B673),"."))</f>
        <v/>
      </c>
      <c r="B673" s="112"/>
      <c r="C673" s="112"/>
      <c r="D673" s="81"/>
      <c r="E673" s="81"/>
      <c r="F673" s="81"/>
      <c r="G673" s="81"/>
      <c r="H673" s="81"/>
      <c r="I673" s="161"/>
      <c r="J673" s="154" t="str">
        <f aca="false">IF(H673="","",ROUNDUP(H673*35%,0))</f>
        <v/>
      </c>
      <c r="K673" s="113"/>
      <c r="L673" s="113"/>
    </row>
    <row r="674" customFormat="false" ht="12.75" hidden="false" customHeight="true" outlineLevel="0" collapsed="false">
      <c r="A674" s="121" t="str">
        <f aca="false">IF(B674="","",CONCATENATE(COUNTA($B$4:B674),"."))</f>
        <v/>
      </c>
      <c r="B674" s="112"/>
      <c r="C674" s="112"/>
      <c r="D674" s="81"/>
      <c r="E674" s="81"/>
      <c r="F674" s="81"/>
      <c r="G674" s="81"/>
      <c r="H674" s="81"/>
      <c r="I674" s="161"/>
      <c r="J674" s="154" t="str">
        <f aca="false">IF(H674="","",ROUNDUP(H674*35%,0))</f>
        <v/>
      </c>
      <c r="K674" s="113"/>
      <c r="L674" s="113"/>
    </row>
    <row r="675" customFormat="false" ht="12.75" hidden="false" customHeight="true" outlineLevel="0" collapsed="false">
      <c r="A675" s="121" t="str">
        <f aca="false">IF(B675="","",CONCATENATE(COUNTA($B$4:B675),"."))</f>
        <v/>
      </c>
      <c r="B675" s="112"/>
      <c r="C675" s="112"/>
      <c r="D675" s="81"/>
      <c r="E675" s="81"/>
      <c r="F675" s="81"/>
      <c r="G675" s="81"/>
      <c r="H675" s="81"/>
      <c r="I675" s="161"/>
      <c r="J675" s="154" t="str">
        <f aca="false">IF(H675="","",ROUNDUP(H675*35%,0))</f>
        <v/>
      </c>
      <c r="K675" s="113"/>
      <c r="L675" s="113"/>
    </row>
    <row r="676" customFormat="false" ht="12.75" hidden="false" customHeight="true" outlineLevel="0" collapsed="false">
      <c r="A676" s="121" t="str">
        <f aca="false">IF(B676="","",CONCATENATE(COUNTA($B$4:B676),"."))</f>
        <v/>
      </c>
      <c r="B676" s="112"/>
      <c r="C676" s="112"/>
      <c r="D676" s="81"/>
      <c r="E676" s="81"/>
      <c r="F676" s="81"/>
      <c r="G676" s="81"/>
      <c r="H676" s="81"/>
      <c r="I676" s="161"/>
      <c r="J676" s="154" t="str">
        <f aca="false">IF(H676="","",ROUNDUP(H676*35%,0))</f>
        <v/>
      </c>
      <c r="K676" s="113"/>
      <c r="L676" s="113"/>
    </row>
    <row r="677" customFormat="false" ht="12.75" hidden="false" customHeight="true" outlineLevel="0" collapsed="false">
      <c r="A677" s="121" t="str">
        <f aca="false">IF(B677="","",CONCATENATE(COUNTA($B$4:B677),"."))</f>
        <v/>
      </c>
      <c r="B677" s="112"/>
      <c r="C677" s="112"/>
      <c r="D677" s="81"/>
      <c r="E677" s="81"/>
      <c r="F677" s="81"/>
      <c r="G677" s="81"/>
      <c r="H677" s="81"/>
      <c r="I677" s="161"/>
      <c r="J677" s="154" t="str">
        <f aca="false">IF(H677="","",ROUNDUP(H677*35%,0))</f>
        <v/>
      </c>
      <c r="K677" s="113"/>
      <c r="L677" s="113"/>
    </row>
    <row r="678" customFormat="false" ht="12.75" hidden="false" customHeight="true" outlineLevel="0" collapsed="false">
      <c r="A678" s="121" t="str">
        <f aca="false">IF(B678="","",CONCATENATE(COUNTA($B$4:B678),"."))</f>
        <v/>
      </c>
      <c r="B678" s="112"/>
      <c r="C678" s="112"/>
      <c r="D678" s="81"/>
      <c r="E678" s="81"/>
      <c r="F678" s="81"/>
      <c r="G678" s="81"/>
      <c r="H678" s="81"/>
      <c r="I678" s="161"/>
      <c r="J678" s="154" t="str">
        <f aca="false">IF(H678="","",ROUNDUP(H678*35%,0))</f>
        <v/>
      </c>
      <c r="K678" s="113"/>
      <c r="L678" s="113"/>
    </row>
    <row r="679" customFormat="false" ht="12.75" hidden="false" customHeight="true" outlineLevel="0" collapsed="false">
      <c r="A679" s="121" t="str">
        <f aca="false">IF(B679="","",CONCATENATE(COUNTA($B$4:B679),"."))</f>
        <v/>
      </c>
      <c r="B679" s="112"/>
      <c r="C679" s="112"/>
      <c r="D679" s="81"/>
      <c r="E679" s="81"/>
      <c r="F679" s="81"/>
      <c r="G679" s="81"/>
      <c r="H679" s="81"/>
      <c r="I679" s="161"/>
      <c r="J679" s="154" t="str">
        <f aca="false">IF(H679="","",ROUNDUP(H679*35%,0))</f>
        <v/>
      </c>
      <c r="K679" s="113"/>
      <c r="L679" s="113"/>
    </row>
    <row r="680" customFormat="false" ht="12.75" hidden="false" customHeight="true" outlineLevel="0" collapsed="false">
      <c r="A680" s="121" t="str">
        <f aca="false">IF(B680="","",CONCATENATE(COUNTA($B$4:B680),"."))</f>
        <v/>
      </c>
      <c r="B680" s="112"/>
      <c r="C680" s="112"/>
      <c r="D680" s="81"/>
      <c r="E680" s="81"/>
      <c r="F680" s="81"/>
      <c r="G680" s="81"/>
      <c r="H680" s="81"/>
      <c r="I680" s="161"/>
      <c r="J680" s="154" t="str">
        <f aca="false">IF(H680="","",ROUNDUP(H680*35%,0))</f>
        <v/>
      </c>
      <c r="K680" s="113"/>
      <c r="L680" s="113"/>
    </row>
    <row r="681" customFormat="false" ht="12.75" hidden="false" customHeight="true" outlineLevel="0" collapsed="false">
      <c r="A681" s="121" t="str">
        <f aca="false">IF(B681="","",CONCATENATE(COUNTA($B$4:B681),"."))</f>
        <v/>
      </c>
      <c r="B681" s="112"/>
      <c r="C681" s="112"/>
      <c r="D681" s="81"/>
      <c r="E681" s="81"/>
      <c r="F681" s="81"/>
      <c r="G681" s="81"/>
      <c r="H681" s="81"/>
      <c r="I681" s="161"/>
      <c r="J681" s="154" t="str">
        <f aca="false">IF(H681="","",ROUNDUP(H681*35%,0))</f>
        <v/>
      </c>
      <c r="K681" s="113"/>
      <c r="L681" s="113"/>
    </row>
    <row r="682" customFormat="false" ht="12.75" hidden="false" customHeight="true" outlineLevel="0" collapsed="false">
      <c r="A682" s="121" t="str">
        <f aca="false">IF(B682="","",CONCATENATE(COUNTA($B$4:B682),"."))</f>
        <v/>
      </c>
      <c r="B682" s="112"/>
      <c r="C682" s="112"/>
      <c r="D682" s="81"/>
      <c r="E682" s="81"/>
      <c r="F682" s="81"/>
      <c r="G682" s="81"/>
      <c r="H682" s="81"/>
      <c r="I682" s="161"/>
      <c r="J682" s="154" t="str">
        <f aca="false">IF(H682="","",ROUNDUP(H682*35%,0))</f>
        <v/>
      </c>
      <c r="K682" s="113"/>
      <c r="L682" s="113"/>
    </row>
    <row r="683" customFormat="false" ht="12.75" hidden="false" customHeight="true" outlineLevel="0" collapsed="false">
      <c r="A683" s="121" t="str">
        <f aca="false">IF(B683="","",CONCATENATE(COUNTA($B$4:B683),"."))</f>
        <v/>
      </c>
      <c r="B683" s="112"/>
      <c r="C683" s="112"/>
      <c r="D683" s="81"/>
      <c r="E683" s="81"/>
      <c r="F683" s="81"/>
      <c r="G683" s="81"/>
      <c r="H683" s="81"/>
      <c r="I683" s="161"/>
      <c r="J683" s="154" t="str">
        <f aca="false">IF(H683="","",ROUNDUP(H683*35%,0))</f>
        <v/>
      </c>
      <c r="K683" s="113"/>
      <c r="L683" s="113"/>
    </row>
    <row r="684" customFormat="false" ht="12.75" hidden="false" customHeight="true" outlineLevel="0" collapsed="false">
      <c r="A684" s="121" t="str">
        <f aca="false">IF(B684="","",CONCATENATE(COUNTA($B$4:B684),"."))</f>
        <v/>
      </c>
      <c r="B684" s="112"/>
      <c r="C684" s="112"/>
      <c r="D684" s="81"/>
      <c r="E684" s="81"/>
      <c r="F684" s="81"/>
      <c r="G684" s="81"/>
      <c r="H684" s="81"/>
      <c r="I684" s="161"/>
      <c r="J684" s="154" t="str">
        <f aca="false">IF(H684="","",ROUNDUP(H684*35%,0))</f>
        <v/>
      </c>
      <c r="K684" s="113"/>
      <c r="L684" s="113"/>
    </row>
    <row r="685" customFormat="false" ht="12.75" hidden="false" customHeight="true" outlineLevel="0" collapsed="false">
      <c r="A685" s="121" t="str">
        <f aca="false">IF(B685="","",CONCATENATE(COUNTA($B$4:B685),"."))</f>
        <v/>
      </c>
      <c r="B685" s="112"/>
      <c r="C685" s="112"/>
      <c r="D685" s="81"/>
      <c r="E685" s="81"/>
      <c r="F685" s="81"/>
      <c r="G685" s="81"/>
      <c r="H685" s="81"/>
      <c r="I685" s="161"/>
      <c r="J685" s="154" t="str">
        <f aca="false">IF(H685="","",ROUNDUP(H685*35%,0))</f>
        <v/>
      </c>
      <c r="K685" s="113"/>
      <c r="L685" s="113"/>
    </row>
    <row r="686" customFormat="false" ht="12.75" hidden="false" customHeight="true" outlineLevel="0" collapsed="false">
      <c r="A686" s="121" t="str">
        <f aca="false">IF(B686="","",CONCATENATE(COUNTA($B$4:B686),"."))</f>
        <v/>
      </c>
      <c r="B686" s="112"/>
      <c r="C686" s="112"/>
      <c r="D686" s="81"/>
      <c r="E686" s="81"/>
      <c r="F686" s="81"/>
      <c r="G686" s="81"/>
      <c r="H686" s="81"/>
      <c r="I686" s="161"/>
      <c r="J686" s="154" t="str">
        <f aca="false">IF(H686="","",ROUNDUP(H686*35%,0))</f>
        <v/>
      </c>
      <c r="K686" s="113"/>
      <c r="L686" s="113"/>
    </row>
    <row r="687" customFormat="false" ht="12.75" hidden="false" customHeight="true" outlineLevel="0" collapsed="false">
      <c r="A687" s="121" t="str">
        <f aca="false">IF(B687="","",CONCATENATE(COUNTA($B$4:B687),"."))</f>
        <v/>
      </c>
      <c r="B687" s="112"/>
      <c r="C687" s="112"/>
      <c r="D687" s="81"/>
      <c r="E687" s="81"/>
      <c r="F687" s="81"/>
      <c r="G687" s="81"/>
      <c r="H687" s="81"/>
      <c r="I687" s="161"/>
      <c r="J687" s="154" t="str">
        <f aca="false">IF(H687="","",ROUNDUP(H687*35%,0))</f>
        <v/>
      </c>
      <c r="K687" s="113"/>
      <c r="L687" s="113"/>
    </row>
    <row r="688" customFormat="false" ht="12.75" hidden="false" customHeight="true" outlineLevel="0" collapsed="false">
      <c r="A688" s="121" t="str">
        <f aca="false">IF(B688="","",CONCATENATE(COUNTA($B$4:B688),"."))</f>
        <v/>
      </c>
      <c r="B688" s="112"/>
      <c r="C688" s="112"/>
      <c r="D688" s="81"/>
      <c r="E688" s="81"/>
      <c r="F688" s="81"/>
      <c r="G688" s="81"/>
      <c r="H688" s="81"/>
      <c r="I688" s="161"/>
      <c r="J688" s="154" t="str">
        <f aca="false">IF(H688="","",ROUNDUP(H688*35%,0))</f>
        <v/>
      </c>
      <c r="K688" s="113"/>
      <c r="L688" s="113"/>
    </row>
    <row r="689" customFormat="false" ht="12.75" hidden="false" customHeight="true" outlineLevel="0" collapsed="false">
      <c r="A689" s="121" t="str">
        <f aca="false">IF(B689="","",CONCATENATE(COUNTA($B$4:B689),"."))</f>
        <v/>
      </c>
      <c r="B689" s="112"/>
      <c r="C689" s="112"/>
      <c r="D689" s="81"/>
      <c r="E689" s="81"/>
      <c r="F689" s="81"/>
      <c r="G689" s="81"/>
      <c r="H689" s="81"/>
      <c r="I689" s="161"/>
      <c r="J689" s="154" t="str">
        <f aca="false">IF(H689="","",ROUNDUP(H689*35%,0))</f>
        <v/>
      </c>
      <c r="K689" s="113"/>
      <c r="L689" s="113"/>
    </row>
    <row r="690" customFormat="false" ht="12.75" hidden="false" customHeight="true" outlineLevel="0" collapsed="false">
      <c r="A690" s="121" t="str">
        <f aca="false">IF(B690="","",CONCATENATE(COUNTA($B$4:B690),"."))</f>
        <v/>
      </c>
      <c r="B690" s="112"/>
      <c r="C690" s="112"/>
      <c r="D690" s="81"/>
      <c r="E690" s="81"/>
      <c r="F690" s="81"/>
      <c r="G690" s="81"/>
      <c r="H690" s="81"/>
      <c r="I690" s="161"/>
      <c r="J690" s="154" t="str">
        <f aca="false">IF(H690="","",ROUNDUP(H690*35%,0))</f>
        <v/>
      </c>
      <c r="K690" s="113"/>
      <c r="L690" s="113"/>
    </row>
    <row r="691" customFormat="false" ht="12.75" hidden="false" customHeight="true" outlineLevel="0" collapsed="false">
      <c r="A691" s="121" t="str">
        <f aca="false">IF(B691="","",CONCATENATE(COUNTA($B$4:B691),"."))</f>
        <v/>
      </c>
      <c r="B691" s="112"/>
      <c r="C691" s="112"/>
      <c r="D691" s="81"/>
      <c r="E691" s="81"/>
      <c r="F691" s="81"/>
      <c r="G691" s="81"/>
      <c r="H691" s="81"/>
      <c r="I691" s="161"/>
      <c r="J691" s="154" t="str">
        <f aca="false">IF(H691="","",ROUNDUP(H691*35%,0))</f>
        <v/>
      </c>
      <c r="K691" s="113"/>
      <c r="L691" s="113"/>
    </row>
    <row r="692" customFormat="false" ht="12.75" hidden="false" customHeight="true" outlineLevel="0" collapsed="false">
      <c r="A692" s="121" t="str">
        <f aca="false">IF(B692="","",CONCATENATE(COUNTA($B$4:B692),"."))</f>
        <v/>
      </c>
      <c r="B692" s="112"/>
      <c r="C692" s="112"/>
      <c r="D692" s="81"/>
      <c r="E692" s="81"/>
      <c r="F692" s="81"/>
      <c r="G692" s="81"/>
      <c r="H692" s="81"/>
      <c r="I692" s="161"/>
      <c r="J692" s="154" t="str">
        <f aca="false">IF(H692="","",ROUNDUP(H692*35%,0))</f>
        <v/>
      </c>
      <c r="K692" s="113"/>
      <c r="L692" s="113"/>
    </row>
    <row r="693" customFormat="false" ht="12.75" hidden="false" customHeight="true" outlineLevel="0" collapsed="false">
      <c r="A693" s="121" t="str">
        <f aca="false">IF(B693="","",CONCATENATE(COUNTA($B$4:B693),"."))</f>
        <v/>
      </c>
      <c r="B693" s="112"/>
      <c r="C693" s="112"/>
      <c r="D693" s="81"/>
      <c r="E693" s="81"/>
      <c r="F693" s="81"/>
      <c r="G693" s="81"/>
      <c r="H693" s="81"/>
      <c r="I693" s="161"/>
      <c r="J693" s="154" t="str">
        <f aca="false">IF(H693="","",ROUNDUP(H693*35%,0))</f>
        <v/>
      </c>
      <c r="K693" s="113"/>
      <c r="L693" s="113"/>
    </row>
    <row r="694" customFormat="false" ht="12.75" hidden="false" customHeight="true" outlineLevel="0" collapsed="false">
      <c r="A694" s="121" t="str">
        <f aca="false">IF(B694="","",CONCATENATE(COUNTA($B$4:B694),"."))</f>
        <v/>
      </c>
      <c r="B694" s="112"/>
      <c r="C694" s="112"/>
      <c r="D694" s="81"/>
      <c r="E694" s="81"/>
      <c r="F694" s="81"/>
      <c r="G694" s="81"/>
      <c r="H694" s="81"/>
      <c r="I694" s="161"/>
      <c r="J694" s="154" t="str">
        <f aca="false">IF(H694="","",ROUNDUP(H694*35%,0))</f>
        <v/>
      </c>
      <c r="K694" s="113"/>
      <c r="L694" s="113"/>
    </row>
    <row r="695" customFormat="false" ht="12.75" hidden="false" customHeight="true" outlineLevel="0" collapsed="false">
      <c r="A695" s="121" t="str">
        <f aca="false">IF(B695="","",CONCATENATE(COUNTA($B$4:B695),"."))</f>
        <v/>
      </c>
      <c r="B695" s="112"/>
      <c r="C695" s="112"/>
      <c r="D695" s="81"/>
      <c r="E695" s="81"/>
      <c r="F695" s="81"/>
      <c r="G695" s="81"/>
      <c r="H695" s="81"/>
      <c r="I695" s="161"/>
      <c r="J695" s="154" t="str">
        <f aca="false">IF(H695="","",ROUNDUP(H695*35%,0))</f>
        <v/>
      </c>
      <c r="K695" s="113"/>
      <c r="L695" s="113"/>
    </row>
    <row r="696" customFormat="false" ht="12.75" hidden="false" customHeight="true" outlineLevel="0" collapsed="false">
      <c r="A696" s="121" t="str">
        <f aca="false">IF(B696="","",CONCATENATE(COUNTA($B$4:B696),"."))</f>
        <v/>
      </c>
      <c r="B696" s="112"/>
      <c r="C696" s="112"/>
      <c r="D696" s="81"/>
      <c r="E696" s="81"/>
      <c r="F696" s="81"/>
      <c r="G696" s="81"/>
      <c r="H696" s="81"/>
      <c r="I696" s="161"/>
      <c r="J696" s="154" t="str">
        <f aca="false">IF(H696="","",ROUNDUP(H696*35%,0))</f>
        <v/>
      </c>
      <c r="K696" s="113"/>
      <c r="L696" s="113"/>
    </row>
    <row r="697" customFormat="false" ht="12.75" hidden="false" customHeight="true" outlineLevel="0" collapsed="false">
      <c r="A697" s="121" t="str">
        <f aca="false">IF(B697="","",CONCATENATE(COUNTA($B$4:B697),"."))</f>
        <v/>
      </c>
      <c r="B697" s="112"/>
      <c r="C697" s="112"/>
      <c r="D697" s="81"/>
      <c r="E697" s="81"/>
      <c r="F697" s="81"/>
      <c r="G697" s="81"/>
      <c r="H697" s="81"/>
      <c r="I697" s="161"/>
      <c r="J697" s="154" t="str">
        <f aca="false">IF(H697="","",ROUNDUP(H697*35%,0))</f>
        <v/>
      </c>
      <c r="K697" s="113"/>
      <c r="L697" s="113"/>
    </row>
    <row r="698" customFormat="false" ht="12.75" hidden="false" customHeight="true" outlineLevel="0" collapsed="false">
      <c r="A698" s="121" t="str">
        <f aca="false">IF(B698="","",CONCATENATE(COUNTA($B$4:B698),"."))</f>
        <v/>
      </c>
      <c r="B698" s="112"/>
      <c r="C698" s="112"/>
      <c r="D698" s="81"/>
      <c r="E698" s="81"/>
      <c r="F698" s="81"/>
      <c r="G698" s="81"/>
      <c r="H698" s="81"/>
      <c r="I698" s="161"/>
      <c r="J698" s="154" t="str">
        <f aca="false">IF(H698="","",ROUNDUP(H698*35%,0))</f>
        <v/>
      </c>
      <c r="K698" s="113"/>
      <c r="L698" s="113"/>
    </row>
    <row r="699" customFormat="false" ht="12.75" hidden="false" customHeight="true" outlineLevel="0" collapsed="false">
      <c r="A699" s="121" t="str">
        <f aca="false">IF(B699="","",CONCATENATE(COUNTA($B$4:B699),"."))</f>
        <v/>
      </c>
      <c r="B699" s="112"/>
      <c r="C699" s="112"/>
      <c r="D699" s="81"/>
      <c r="E699" s="81"/>
      <c r="F699" s="81"/>
      <c r="G699" s="81"/>
      <c r="H699" s="81"/>
      <c r="I699" s="161"/>
      <c r="J699" s="154" t="str">
        <f aca="false">IF(H699="","",ROUNDUP(H699*35%,0))</f>
        <v/>
      </c>
      <c r="K699" s="113"/>
      <c r="L699" s="113"/>
    </row>
    <row r="700" customFormat="false" ht="12.75" hidden="false" customHeight="true" outlineLevel="0" collapsed="false">
      <c r="A700" s="121" t="str">
        <f aca="false">IF(B700="","",CONCATENATE(COUNTA($B$4:B700),"."))</f>
        <v/>
      </c>
      <c r="B700" s="112"/>
      <c r="C700" s="112"/>
      <c r="D700" s="81"/>
      <c r="E700" s="81"/>
      <c r="F700" s="81"/>
      <c r="G700" s="81"/>
      <c r="H700" s="81"/>
      <c r="I700" s="161"/>
      <c r="J700" s="154" t="str">
        <f aca="false">IF(H700="","",ROUNDUP(H700*35%,0))</f>
        <v/>
      </c>
      <c r="K700" s="113"/>
      <c r="L700" s="113"/>
    </row>
    <row r="701" customFormat="false" ht="12.75" hidden="false" customHeight="true" outlineLevel="0" collapsed="false">
      <c r="A701" s="121" t="str">
        <f aca="false">IF(B701="","",CONCATENATE(COUNTA($B$4:B701),"."))</f>
        <v/>
      </c>
      <c r="B701" s="112"/>
      <c r="C701" s="112"/>
      <c r="D701" s="81"/>
      <c r="E701" s="81"/>
      <c r="F701" s="81"/>
      <c r="G701" s="81"/>
      <c r="H701" s="81"/>
      <c r="I701" s="161"/>
      <c r="J701" s="154" t="str">
        <f aca="false">IF(H701="","",ROUNDUP(H701*35%,0))</f>
        <v/>
      </c>
      <c r="K701" s="113"/>
      <c r="L701" s="113"/>
    </row>
    <row r="702" customFormat="false" ht="12.75" hidden="false" customHeight="true" outlineLevel="0" collapsed="false">
      <c r="A702" s="121" t="str">
        <f aca="false">IF(B702="","",CONCATENATE(COUNTA($B$4:B702),"."))</f>
        <v/>
      </c>
      <c r="B702" s="112"/>
      <c r="C702" s="112"/>
      <c r="D702" s="81"/>
      <c r="E702" s="81"/>
      <c r="F702" s="81"/>
      <c r="G702" s="81"/>
      <c r="H702" s="81"/>
      <c r="I702" s="161"/>
      <c r="J702" s="154" t="str">
        <f aca="false">IF(H702="","",ROUNDUP(H702*35%,0))</f>
        <v/>
      </c>
      <c r="K702" s="113"/>
      <c r="L702" s="113"/>
    </row>
    <row r="703" customFormat="false" ht="12.75" hidden="false" customHeight="true" outlineLevel="0" collapsed="false">
      <c r="A703" s="121" t="str">
        <f aca="false">IF(B703="","",CONCATENATE(COUNTA($B$4:B703),"."))</f>
        <v/>
      </c>
      <c r="B703" s="112"/>
      <c r="C703" s="112"/>
      <c r="D703" s="81"/>
      <c r="E703" s="81"/>
      <c r="F703" s="81"/>
      <c r="G703" s="81"/>
      <c r="H703" s="81"/>
      <c r="I703" s="161"/>
      <c r="J703" s="154" t="str">
        <f aca="false">IF(H703="","",ROUNDUP(H703*35%,0))</f>
        <v/>
      </c>
      <c r="K703" s="113"/>
      <c r="L703" s="113"/>
    </row>
    <row r="704" customFormat="false" ht="12.75" hidden="false" customHeight="true" outlineLevel="0" collapsed="false">
      <c r="A704" s="121" t="str">
        <f aca="false">IF(B704="","",CONCATENATE(COUNTA($B$4:B704),"."))</f>
        <v/>
      </c>
      <c r="B704" s="112"/>
      <c r="C704" s="112"/>
      <c r="D704" s="81"/>
      <c r="E704" s="81"/>
      <c r="F704" s="81"/>
      <c r="G704" s="81"/>
      <c r="H704" s="81"/>
      <c r="I704" s="161"/>
      <c r="J704" s="154" t="str">
        <f aca="false">IF(H704="","",ROUNDUP(H704*35%,0))</f>
        <v/>
      </c>
      <c r="K704" s="113"/>
      <c r="L704" s="113"/>
    </row>
    <row r="705" customFormat="false" ht="12.75" hidden="false" customHeight="true" outlineLevel="0" collapsed="false">
      <c r="A705" s="121" t="str">
        <f aca="false">IF(B705="","",CONCATENATE(COUNTA($B$4:B705),"."))</f>
        <v/>
      </c>
      <c r="B705" s="112"/>
      <c r="C705" s="112"/>
      <c r="D705" s="81"/>
      <c r="E705" s="81"/>
      <c r="F705" s="81"/>
      <c r="G705" s="81"/>
      <c r="H705" s="81"/>
      <c r="I705" s="161"/>
      <c r="J705" s="154" t="str">
        <f aca="false">IF(H705="","",ROUNDUP(H705*35%,0))</f>
        <v/>
      </c>
      <c r="K705" s="113"/>
      <c r="L705" s="113"/>
    </row>
    <row r="706" customFormat="false" ht="12.75" hidden="false" customHeight="true" outlineLevel="0" collapsed="false">
      <c r="A706" s="121" t="str">
        <f aca="false">IF(B706="","",CONCATENATE(COUNTA($B$4:B706),"."))</f>
        <v/>
      </c>
      <c r="B706" s="112"/>
      <c r="C706" s="112"/>
      <c r="D706" s="81"/>
      <c r="E706" s="81"/>
      <c r="F706" s="81"/>
      <c r="G706" s="81"/>
      <c r="H706" s="81"/>
      <c r="I706" s="161"/>
      <c r="J706" s="154" t="str">
        <f aca="false">IF(H706="","",ROUNDUP(H706*35%,0))</f>
        <v/>
      </c>
      <c r="K706" s="113"/>
      <c r="L706" s="113"/>
    </row>
    <row r="707" customFormat="false" ht="12.75" hidden="false" customHeight="true" outlineLevel="0" collapsed="false">
      <c r="A707" s="121" t="str">
        <f aca="false">IF(B707="","",CONCATENATE(COUNTA($B$4:B707),"."))</f>
        <v/>
      </c>
      <c r="B707" s="112"/>
      <c r="C707" s="112"/>
      <c r="D707" s="81"/>
      <c r="E707" s="81"/>
      <c r="F707" s="81"/>
      <c r="G707" s="81"/>
      <c r="H707" s="81"/>
      <c r="I707" s="161"/>
      <c r="J707" s="154" t="str">
        <f aca="false">IF(H707="","",ROUNDUP(H707*35%,0))</f>
        <v/>
      </c>
      <c r="K707" s="113"/>
      <c r="L707" s="113"/>
    </row>
    <row r="708" customFormat="false" ht="12.75" hidden="false" customHeight="true" outlineLevel="0" collapsed="false">
      <c r="A708" s="121" t="str">
        <f aca="false">IF(B708="","",CONCATENATE(COUNTA($B$4:B708),"."))</f>
        <v/>
      </c>
      <c r="B708" s="112"/>
      <c r="C708" s="112"/>
      <c r="D708" s="81"/>
      <c r="E708" s="81"/>
      <c r="F708" s="81"/>
      <c r="G708" s="81"/>
      <c r="H708" s="81"/>
      <c r="I708" s="161"/>
      <c r="J708" s="154" t="str">
        <f aca="false">IF(H708="","",ROUNDUP(H708*35%,0))</f>
        <v/>
      </c>
      <c r="K708" s="113"/>
      <c r="L708" s="113"/>
    </row>
    <row r="709" customFormat="false" ht="12.75" hidden="false" customHeight="true" outlineLevel="0" collapsed="false">
      <c r="A709" s="121" t="str">
        <f aca="false">IF(B709="","",CONCATENATE(COUNTA($B$4:B709),"."))</f>
        <v/>
      </c>
      <c r="B709" s="112"/>
      <c r="C709" s="112"/>
      <c r="D709" s="81"/>
      <c r="E709" s="81"/>
      <c r="F709" s="81"/>
      <c r="G709" s="81"/>
      <c r="H709" s="81"/>
      <c r="I709" s="161"/>
      <c r="J709" s="154" t="str">
        <f aca="false">IF(H709="","",ROUNDUP(H709*35%,0))</f>
        <v/>
      </c>
      <c r="K709" s="113"/>
      <c r="L709" s="113"/>
    </row>
    <row r="710" customFormat="false" ht="12.75" hidden="false" customHeight="true" outlineLevel="0" collapsed="false">
      <c r="A710" s="121" t="str">
        <f aca="false">IF(B710="","",CONCATENATE(COUNTA($B$4:B710),"."))</f>
        <v/>
      </c>
      <c r="B710" s="112"/>
      <c r="C710" s="112"/>
      <c r="D710" s="81"/>
      <c r="E710" s="81"/>
      <c r="F710" s="81"/>
      <c r="G710" s="81"/>
      <c r="H710" s="81"/>
      <c r="I710" s="161"/>
      <c r="J710" s="154" t="str">
        <f aca="false">IF(H710="","",ROUNDUP(H710*35%,0))</f>
        <v/>
      </c>
      <c r="K710" s="113"/>
      <c r="L710" s="113"/>
    </row>
    <row r="711" customFormat="false" ht="12.75" hidden="false" customHeight="true" outlineLevel="0" collapsed="false">
      <c r="A711" s="121" t="str">
        <f aca="false">IF(B711="","",CONCATENATE(COUNTA($B$4:B711),"."))</f>
        <v/>
      </c>
      <c r="B711" s="112"/>
      <c r="C711" s="112"/>
      <c r="D711" s="81"/>
      <c r="E711" s="81"/>
      <c r="F711" s="81"/>
      <c r="G711" s="81"/>
      <c r="H711" s="81"/>
      <c r="I711" s="161"/>
      <c r="J711" s="154" t="str">
        <f aca="false">IF(H711="","",ROUNDUP(H711*35%,0))</f>
        <v/>
      </c>
      <c r="K711" s="113"/>
      <c r="L711" s="113"/>
    </row>
    <row r="712" customFormat="false" ht="12.75" hidden="false" customHeight="true" outlineLevel="0" collapsed="false">
      <c r="A712" s="121" t="str">
        <f aca="false">IF(B712="","",CONCATENATE(COUNTA($B$4:B712),"."))</f>
        <v/>
      </c>
      <c r="B712" s="112"/>
      <c r="C712" s="112"/>
      <c r="D712" s="81"/>
      <c r="E712" s="81"/>
      <c r="F712" s="81"/>
      <c r="G712" s="81"/>
      <c r="H712" s="81"/>
      <c r="I712" s="161"/>
      <c r="J712" s="154" t="str">
        <f aca="false">IF(H712="","",ROUNDUP(H712*35%,0))</f>
        <v/>
      </c>
      <c r="K712" s="113"/>
      <c r="L712" s="113"/>
    </row>
    <row r="713" customFormat="false" ht="12.75" hidden="false" customHeight="true" outlineLevel="0" collapsed="false">
      <c r="A713" s="121" t="str">
        <f aca="false">IF(B713="","",CONCATENATE(COUNTA($B$4:B713),"."))</f>
        <v/>
      </c>
      <c r="B713" s="112"/>
      <c r="C713" s="112"/>
      <c r="D713" s="81"/>
      <c r="E713" s="81"/>
      <c r="F713" s="81"/>
      <c r="G713" s="81"/>
      <c r="H713" s="81"/>
      <c r="I713" s="161"/>
      <c r="J713" s="154" t="str">
        <f aca="false">IF(H713="","",ROUNDUP(H713*35%,0))</f>
        <v/>
      </c>
      <c r="K713" s="113"/>
      <c r="L713" s="113"/>
    </row>
    <row r="714" customFormat="false" ht="12.75" hidden="false" customHeight="true" outlineLevel="0" collapsed="false">
      <c r="A714" s="121" t="str">
        <f aca="false">IF(B714="","",CONCATENATE(COUNTA($B$4:B714),"."))</f>
        <v/>
      </c>
      <c r="B714" s="112"/>
      <c r="C714" s="112"/>
      <c r="D714" s="81"/>
      <c r="E714" s="81"/>
      <c r="F714" s="81"/>
      <c r="G714" s="81"/>
      <c r="H714" s="81"/>
      <c r="I714" s="161"/>
      <c r="J714" s="154" t="str">
        <f aca="false">IF(H714="","",ROUNDUP(H714*35%,0))</f>
        <v/>
      </c>
      <c r="K714" s="113"/>
      <c r="L714" s="113"/>
    </row>
    <row r="715" customFormat="false" ht="12.75" hidden="false" customHeight="true" outlineLevel="0" collapsed="false">
      <c r="A715" s="121" t="str">
        <f aca="false">IF(B715="","",CONCATENATE(COUNTA($B$4:B715),"."))</f>
        <v/>
      </c>
      <c r="B715" s="112"/>
      <c r="C715" s="112"/>
      <c r="D715" s="81"/>
      <c r="E715" s="81"/>
      <c r="F715" s="81"/>
      <c r="G715" s="81"/>
      <c r="H715" s="81"/>
      <c r="I715" s="161"/>
      <c r="J715" s="154" t="str">
        <f aca="false">IF(H715="","",ROUNDUP(H715*35%,0))</f>
        <v/>
      </c>
      <c r="K715" s="113"/>
      <c r="L715" s="113"/>
    </row>
    <row r="716" customFormat="false" ht="12.75" hidden="false" customHeight="true" outlineLevel="0" collapsed="false">
      <c r="A716" s="121" t="str">
        <f aca="false">IF(B716="","",CONCATENATE(COUNTA($B$4:B716),"."))</f>
        <v/>
      </c>
      <c r="B716" s="112"/>
      <c r="C716" s="112"/>
      <c r="D716" s="81"/>
      <c r="E716" s="81"/>
      <c r="F716" s="81"/>
      <c r="G716" s="81"/>
      <c r="H716" s="81"/>
      <c r="I716" s="161"/>
      <c r="J716" s="154" t="str">
        <f aca="false">IF(H716="","",ROUNDUP(H716*35%,0))</f>
        <v/>
      </c>
      <c r="K716" s="113"/>
      <c r="L716" s="113"/>
    </row>
    <row r="717" customFormat="false" ht="12.75" hidden="false" customHeight="true" outlineLevel="0" collapsed="false">
      <c r="A717" s="121" t="str">
        <f aca="false">IF(B717="","",CONCATENATE(COUNTA($B$4:B717),"."))</f>
        <v/>
      </c>
      <c r="B717" s="112"/>
      <c r="C717" s="112"/>
      <c r="D717" s="81"/>
      <c r="E717" s="81"/>
      <c r="F717" s="81"/>
      <c r="G717" s="81"/>
      <c r="H717" s="81"/>
      <c r="I717" s="161"/>
      <c r="J717" s="154" t="str">
        <f aca="false">IF(H717="","",ROUNDUP(H717*35%,0))</f>
        <v/>
      </c>
      <c r="K717" s="113"/>
      <c r="L717" s="113"/>
    </row>
    <row r="718" customFormat="false" ht="12.75" hidden="false" customHeight="true" outlineLevel="0" collapsed="false">
      <c r="A718" s="121" t="str">
        <f aca="false">IF(B718="","",CONCATENATE(COUNTA($B$4:B718),"."))</f>
        <v/>
      </c>
      <c r="B718" s="112"/>
      <c r="C718" s="112"/>
      <c r="D718" s="81"/>
      <c r="E718" s="81"/>
      <c r="F718" s="81"/>
      <c r="G718" s="81"/>
      <c r="H718" s="81"/>
      <c r="I718" s="161"/>
      <c r="J718" s="154" t="str">
        <f aca="false">IF(H718="","",ROUNDUP(H718*35%,0))</f>
        <v/>
      </c>
      <c r="K718" s="113"/>
      <c r="L718" s="113"/>
    </row>
    <row r="719" customFormat="false" ht="12.75" hidden="false" customHeight="true" outlineLevel="0" collapsed="false">
      <c r="A719" s="121" t="str">
        <f aca="false">IF(B719="","",CONCATENATE(COUNTA($B$4:B719),"."))</f>
        <v/>
      </c>
      <c r="B719" s="112"/>
      <c r="C719" s="112"/>
      <c r="D719" s="81"/>
      <c r="E719" s="81"/>
      <c r="F719" s="81"/>
      <c r="G719" s="81"/>
      <c r="H719" s="81"/>
      <c r="I719" s="161"/>
      <c r="J719" s="154" t="str">
        <f aca="false">IF(H719="","",ROUNDUP(H719*35%,0))</f>
        <v/>
      </c>
      <c r="K719" s="113"/>
      <c r="L719" s="113"/>
    </row>
    <row r="720" customFormat="false" ht="12.75" hidden="false" customHeight="true" outlineLevel="0" collapsed="false">
      <c r="A720" s="121" t="str">
        <f aca="false">IF(B720="","",CONCATENATE(COUNTA($B$4:B720),"."))</f>
        <v/>
      </c>
      <c r="B720" s="112"/>
      <c r="C720" s="112"/>
      <c r="D720" s="81"/>
      <c r="E720" s="81"/>
      <c r="F720" s="81"/>
      <c r="G720" s="81"/>
      <c r="H720" s="81"/>
      <c r="I720" s="161"/>
      <c r="J720" s="154" t="str">
        <f aca="false">IF(H720="","",ROUNDUP(H720*35%,0))</f>
        <v/>
      </c>
      <c r="K720" s="113"/>
      <c r="L720" s="113"/>
    </row>
    <row r="721" customFormat="false" ht="12.75" hidden="false" customHeight="true" outlineLevel="0" collapsed="false">
      <c r="A721" s="121" t="str">
        <f aca="false">IF(B721="","",CONCATENATE(COUNTA($B$4:B721),"."))</f>
        <v/>
      </c>
      <c r="B721" s="112"/>
      <c r="C721" s="112"/>
      <c r="D721" s="81"/>
      <c r="E721" s="81"/>
      <c r="F721" s="81"/>
      <c r="G721" s="81"/>
      <c r="H721" s="81"/>
      <c r="I721" s="161"/>
      <c r="J721" s="154" t="str">
        <f aca="false">IF(H721="","",ROUNDUP(H721*35%,0))</f>
        <v/>
      </c>
      <c r="K721" s="113"/>
      <c r="L721" s="113"/>
    </row>
    <row r="722" customFormat="false" ht="12.75" hidden="false" customHeight="true" outlineLevel="0" collapsed="false">
      <c r="A722" s="121" t="str">
        <f aca="false">IF(B722="","",CONCATENATE(COUNTA($B$4:B722),"."))</f>
        <v/>
      </c>
      <c r="B722" s="112"/>
      <c r="C722" s="112"/>
      <c r="D722" s="81"/>
      <c r="E722" s="81"/>
      <c r="F722" s="81"/>
      <c r="G722" s="81"/>
      <c r="H722" s="81"/>
      <c r="I722" s="161"/>
      <c r="J722" s="154" t="str">
        <f aca="false">IF(H722="","",ROUNDUP(H722*35%,0))</f>
        <v/>
      </c>
      <c r="K722" s="113"/>
      <c r="L722" s="113"/>
    </row>
    <row r="723" customFormat="false" ht="12.75" hidden="false" customHeight="true" outlineLevel="0" collapsed="false">
      <c r="A723" s="121" t="str">
        <f aca="false">IF(B723="","",CONCATENATE(COUNTA($B$4:B723),"."))</f>
        <v/>
      </c>
      <c r="B723" s="112"/>
      <c r="C723" s="112"/>
      <c r="D723" s="81"/>
      <c r="E723" s="81"/>
      <c r="F723" s="81"/>
      <c r="G723" s="81"/>
      <c r="H723" s="81"/>
      <c r="I723" s="161"/>
      <c r="J723" s="154" t="str">
        <f aca="false">IF(H723="","",ROUNDUP(H723*35%,0))</f>
        <v/>
      </c>
      <c r="K723" s="113"/>
      <c r="L723" s="113"/>
    </row>
    <row r="724" customFormat="false" ht="12.75" hidden="false" customHeight="true" outlineLevel="0" collapsed="false">
      <c r="A724" s="121" t="str">
        <f aca="false">IF(B724="","",CONCATENATE(COUNTA($B$4:B724),"."))</f>
        <v/>
      </c>
      <c r="B724" s="112"/>
      <c r="C724" s="112"/>
      <c r="D724" s="81"/>
      <c r="E724" s="81"/>
      <c r="F724" s="81"/>
      <c r="G724" s="81"/>
      <c r="H724" s="81"/>
      <c r="I724" s="161"/>
      <c r="J724" s="154" t="str">
        <f aca="false">IF(H724="","",ROUNDUP(H724*35%,0))</f>
        <v/>
      </c>
      <c r="K724" s="113"/>
      <c r="L724" s="113"/>
    </row>
    <row r="725" customFormat="false" ht="12.75" hidden="false" customHeight="true" outlineLevel="0" collapsed="false">
      <c r="A725" s="121" t="str">
        <f aca="false">IF(B725="","",CONCATENATE(COUNTA($B$4:B725),"."))</f>
        <v/>
      </c>
      <c r="B725" s="112"/>
      <c r="C725" s="112"/>
      <c r="D725" s="81"/>
      <c r="E725" s="81"/>
      <c r="F725" s="81"/>
      <c r="G725" s="81"/>
      <c r="H725" s="81"/>
      <c r="I725" s="161"/>
      <c r="J725" s="154" t="str">
        <f aca="false">IF(H725="","",ROUNDUP(H725*35%,0))</f>
        <v/>
      </c>
      <c r="K725" s="113"/>
      <c r="L725" s="113"/>
    </row>
    <row r="726" customFormat="false" ht="12.75" hidden="false" customHeight="true" outlineLevel="0" collapsed="false">
      <c r="A726" s="121" t="str">
        <f aca="false">IF(B726="","",CONCATENATE(COUNTA($B$4:B726),"."))</f>
        <v/>
      </c>
      <c r="B726" s="112"/>
      <c r="C726" s="112"/>
      <c r="D726" s="81"/>
      <c r="E726" s="81"/>
      <c r="F726" s="81"/>
      <c r="G726" s="81"/>
      <c r="H726" s="81"/>
      <c r="I726" s="161"/>
      <c r="J726" s="154" t="str">
        <f aca="false">IF(H726="","",ROUNDUP(H726*35%,0))</f>
        <v/>
      </c>
      <c r="K726" s="113"/>
      <c r="L726" s="113"/>
    </row>
    <row r="727" customFormat="false" ht="12.75" hidden="false" customHeight="true" outlineLevel="0" collapsed="false">
      <c r="A727" s="121" t="str">
        <f aca="false">IF(B727="","",CONCATENATE(COUNTA($B$4:B727),"."))</f>
        <v/>
      </c>
      <c r="B727" s="112"/>
      <c r="C727" s="112"/>
      <c r="D727" s="81"/>
      <c r="E727" s="81"/>
      <c r="F727" s="81"/>
      <c r="G727" s="81"/>
      <c r="H727" s="81"/>
      <c r="I727" s="161"/>
      <c r="J727" s="154" t="str">
        <f aca="false">IF(H727="","",ROUNDUP(H727*35%,0))</f>
        <v/>
      </c>
      <c r="K727" s="113"/>
      <c r="L727" s="113"/>
    </row>
    <row r="728" customFormat="false" ht="12.75" hidden="false" customHeight="true" outlineLevel="0" collapsed="false">
      <c r="A728" s="121" t="str">
        <f aca="false">IF(B728="","",CONCATENATE(COUNTA($B$4:B728),"."))</f>
        <v/>
      </c>
      <c r="B728" s="112"/>
      <c r="C728" s="112"/>
      <c r="D728" s="81"/>
      <c r="E728" s="81"/>
      <c r="F728" s="81"/>
      <c r="G728" s="81"/>
      <c r="H728" s="81"/>
      <c r="I728" s="161"/>
      <c r="J728" s="154" t="str">
        <f aca="false">IF(H728="","",ROUNDUP(H728*35%,0))</f>
        <v/>
      </c>
      <c r="K728" s="113"/>
      <c r="L728" s="113"/>
    </row>
    <row r="729" customFormat="false" ht="12.75" hidden="false" customHeight="true" outlineLevel="0" collapsed="false">
      <c r="A729" s="121" t="str">
        <f aca="false">IF(B729="","",CONCATENATE(COUNTA($B$4:B729),"."))</f>
        <v/>
      </c>
      <c r="B729" s="112"/>
      <c r="C729" s="112"/>
      <c r="D729" s="81"/>
      <c r="E729" s="81"/>
      <c r="F729" s="81"/>
      <c r="G729" s="81"/>
      <c r="H729" s="81"/>
      <c r="I729" s="161"/>
      <c r="J729" s="154" t="str">
        <f aca="false">IF(H729="","",ROUNDUP(H729*35%,0))</f>
        <v/>
      </c>
      <c r="K729" s="113"/>
      <c r="L729" s="113"/>
    </row>
    <row r="730" customFormat="false" ht="12.75" hidden="false" customHeight="true" outlineLevel="0" collapsed="false">
      <c r="A730" s="121" t="str">
        <f aca="false">IF(B730="","",CONCATENATE(COUNTA($B$4:B730),"."))</f>
        <v/>
      </c>
      <c r="B730" s="112"/>
      <c r="C730" s="112"/>
      <c r="D730" s="81"/>
      <c r="E730" s="81"/>
      <c r="F730" s="81"/>
      <c r="G730" s="81"/>
      <c r="H730" s="81"/>
      <c r="I730" s="161"/>
      <c r="J730" s="154" t="str">
        <f aca="false">IF(H730="","",ROUNDUP(H730*35%,0))</f>
        <v/>
      </c>
      <c r="K730" s="113"/>
      <c r="L730" s="113"/>
    </row>
    <row r="731" customFormat="false" ht="12.75" hidden="false" customHeight="true" outlineLevel="0" collapsed="false">
      <c r="A731" s="121" t="str">
        <f aca="false">IF(B731="","",CONCATENATE(COUNTA($B$4:B731),"."))</f>
        <v/>
      </c>
      <c r="B731" s="112"/>
      <c r="C731" s="112"/>
      <c r="D731" s="81"/>
      <c r="E731" s="81"/>
      <c r="F731" s="81"/>
      <c r="G731" s="81"/>
      <c r="H731" s="81"/>
      <c r="I731" s="161"/>
      <c r="J731" s="154" t="str">
        <f aca="false">IF(H731="","",ROUNDUP(H731*35%,0))</f>
        <v/>
      </c>
      <c r="K731" s="113"/>
      <c r="L731" s="113"/>
    </row>
    <row r="732" customFormat="false" ht="12.75" hidden="false" customHeight="true" outlineLevel="0" collapsed="false">
      <c r="A732" s="121" t="str">
        <f aca="false">IF(B732="","",CONCATENATE(COUNTA($B$4:B732),"."))</f>
        <v/>
      </c>
      <c r="B732" s="112"/>
      <c r="C732" s="112"/>
      <c r="D732" s="81"/>
      <c r="E732" s="81"/>
      <c r="F732" s="81"/>
      <c r="G732" s="81"/>
      <c r="H732" s="81"/>
      <c r="I732" s="161"/>
      <c r="J732" s="154" t="str">
        <f aca="false">IF(H732="","",ROUNDUP(H732*35%,0))</f>
        <v/>
      </c>
      <c r="K732" s="113"/>
      <c r="L732" s="113"/>
    </row>
    <row r="733" customFormat="false" ht="12.75" hidden="false" customHeight="true" outlineLevel="0" collapsed="false">
      <c r="A733" s="121" t="str">
        <f aca="false">IF(B733="","",CONCATENATE(COUNTA($B$4:B733),"."))</f>
        <v/>
      </c>
      <c r="B733" s="112"/>
      <c r="C733" s="112"/>
      <c r="D733" s="81"/>
      <c r="E733" s="81"/>
      <c r="F733" s="81"/>
      <c r="G733" s="81"/>
      <c r="H733" s="81"/>
      <c r="I733" s="161"/>
      <c r="J733" s="154" t="str">
        <f aca="false">IF(H733="","",ROUNDUP(H733*35%,0))</f>
        <v/>
      </c>
      <c r="K733" s="113"/>
      <c r="L733" s="113"/>
    </row>
    <row r="734" customFormat="false" ht="12.75" hidden="false" customHeight="true" outlineLevel="0" collapsed="false">
      <c r="A734" s="121" t="str">
        <f aca="false">IF(B734="","",CONCATENATE(COUNTA($B$4:B734),"."))</f>
        <v/>
      </c>
      <c r="B734" s="112"/>
      <c r="C734" s="112"/>
      <c r="D734" s="81"/>
      <c r="E734" s="81"/>
      <c r="F734" s="81"/>
      <c r="G734" s="81"/>
      <c r="H734" s="81"/>
      <c r="I734" s="161"/>
      <c r="J734" s="154" t="str">
        <f aca="false">IF(H734="","",ROUNDUP(H734*35%,0))</f>
        <v/>
      </c>
      <c r="K734" s="113"/>
      <c r="L734" s="113"/>
    </row>
    <row r="735" customFormat="false" ht="12.75" hidden="false" customHeight="true" outlineLevel="0" collapsed="false">
      <c r="A735" s="121" t="str">
        <f aca="false">IF(B735="","",CONCATENATE(COUNTA($B$4:B735),"."))</f>
        <v/>
      </c>
      <c r="B735" s="112"/>
      <c r="C735" s="112"/>
      <c r="D735" s="81"/>
      <c r="E735" s="81"/>
      <c r="F735" s="81"/>
      <c r="G735" s="81"/>
      <c r="H735" s="81"/>
      <c r="I735" s="161"/>
      <c r="J735" s="154" t="str">
        <f aca="false">IF(H735="","",ROUNDUP(H735*35%,0))</f>
        <v/>
      </c>
      <c r="K735" s="113"/>
      <c r="L735" s="113"/>
    </row>
    <row r="736" customFormat="false" ht="12.75" hidden="false" customHeight="true" outlineLevel="0" collapsed="false">
      <c r="A736" s="121" t="str">
        <f aca="false">IF(B736="","",CONCATENATE(COUNTA($B$4:B736),"."))</f>
        <v/>
      </c>
      <c r="B736" s="112"/>
      <c r="C736" s="112"/>
      <c r="D736" s="81"/>
      <c r="E736" s="81"/>
      <c r="F736" s="81"/>
      <c r="G736" s="81"/>
      <c r="H736" s="81"/>
      <c r="I736" s="161"/>
      <c r="J736" s="154" t="str">
        <f aca="false">IF(H736="","",ROUNDUP(H736*35%,0))</f>
        <v/>
      </c>
      <c r="K736" s="113"/>
      <c r="L736" s="113"/>
    </row>
    <row r="737" customFormat="false" ht="12.75" hidden="false" customHeight="true" outlineLevel="0" collapsed="false">
      <c r="A737" s="121" t="str">
        <f aca="false">IF(B737="","",CONCATENATE(COUNTA($B$4:B737),"."))</f>
        <v/>
      </c>
      <c r="B737" s="112"/>
      <c r="C737" s="112"/>
      <c r="D737" s="81"/>
      <c r="E737" s="81"/>
      <c r="F737" s="81"/>
      <c r="G737" s="81"/>
      <c r="H737" s="81"/>
      <c r="I737" s="161"/>
      <c r="J737" s="154" t="str">
        <f aca="false">IF(H737="","",ROUNDUP(H737*35%,0))</f>
        <v/>
      </c>
      <c r="K737" s="113"/>
      <c r="L737" s="113"/>
    </row>
    <row r="738" customFormat="false" ht="12.75" hidden="false" customHeight="true" outlineLevel="0" collapsed="false">
      <c r="A738" s="121" t="str">
        <f aca="false">IF(B738="","",CONCATENATE(COUNTA($B$4:B738),"."))</f>
        <v/>
      </c>
      <c r="B738" s="112"/>
      <c r="C738" s="112"/>
      <c r="D738" s="81"/>
      <c r="E738" s="81"/>
      <c r="F738" s="81"/>
      <c r="G738" s="81"/>
      <c r="H738" s="81"/>
      <c r="I738" s="161"/>
      <c r="J738" s="154" t="str">
        <f aca="false">IF(H738="","",ROUNDUP(H738*35%,0))</f>
        <v/>
      </c>
      <c r="K738" s="113"/>
      <c r="L738" s="113"/>
    </row>
    <row r="739" customFormat="false" ht="12.75" hidden="false" customHeight="true" outlineLevel="0" collapsed="false">
      <c r="A739" s="121" t="str">
        <f aca="false">IF(B739="","",CONCATENATE(COUNTA($B$4:B739),"."))</f>
        <v/>
      </c>
      <c r="B739" s="112"/>
      <c r="C739" s="112"/>
      <c r="D739" s="81"/>
      <c r="E739" s="81"/>
      <c r="F739" s="81"/>
      <c r="G739" s="81"/>
      <c r="H739" s="81"/>
      <c r="I739" s="161"/>
      <c r="J739" s="154" t="str">
        <f aca="false">IF(H739="","",ROUNDUP(H739*35%,0))</f>
        <v/>
      </c>
      <c r="K739" s="113"/>
      <c r="L739" s="113"/>
    </row>
    <row r="740" customFormat="false" ht="12.75" hidden="false" customHeight="true" outlineLevel="0" collapsed="false">
      <c r="A740" s="121" t="str">
        <f aca="false">IF(B740="","",CONCATENATE(COUNTA($B$4:B740),"."))</f>
        <v/>
      </c>
      <c r="B740" s="112"/>
      <c r="C740" s="112"/>
      <c r="D740" s="81"/>
      <c r="E740" s="81"/>
      <c r="F740" s="81"/>
      <c r="G740" s="81"/>
      <c r="H740" s="81"/>
      <c r="I740" s="161"/>
      <c r="J740" s="154" t="str">
        <f aca="false">IF(H740="","",ROUNDUP(H740*35%,0))</f>
        <v/>
      </c>
      <c r="K740" s="113"/>
      <c r="L740" s="113"/>
    </row>
    <row r="741" customFormat="false" ht="12.75" hidden="false" customHeight="true" outlineLevel="0" collapsed="false">
      <c r="A741" s="121" t="str">
        <f aca="false">IF(B741="","",CONCATENATE(COUNTA($B$4:B741),"."))</f>
        <v/>
      </c>
      <c r="B741" s="112"/>
      <c r="C741" s="112"/>
      <c r="D741" s="81"/>
      <c r="E741" s="81"/>
      <c r="F741" s="81"/>
      <c r="G741" s="81"/>
      <c r="H741" s="81"/>
      <c r="I741" s="161"/>
      <c r="J741" s="154" t="str">
        <f aca="false">IF(H741="","",ROUNDUP(H741*35%,0))</f>
        <v/>
      </c>
      <c r="K741" s="113"/>
      <c r="L741" s="113"/>
    </row>
    <row r="742" customFormat="false" ht="12.75" hidden="false" customHeight="true" outlineLevel="0" collapsed="false">
      <c r="A742" s="121" t="str">
        <f aca="false">IF(B742="","",CONCATENATE(COUNTA($B$4:B742),"."))</f>
        <v/>
      </c>
      <c r="B742" s="112"/>
      <c r="C742" s="112"/>
      <c r="D742" s="81"/>
      <c r="E742" s="81"/>
      <c r="F742" s="81"/>
      <c r="G742" s="81"/>
      <c r="H742" s="81"/>
      <c r="I742" s="161"/>
      <c r="J742" s="154" t="str">
        <f aca="false">IF(H742="","",ROUNDUP(H742*35%,0))</f>
        <v/>
      </c>
      <c r="K742" s="113"/>
      <c r="L742" s="113"/>
    </row>
    <row r="743" customFormat="false" ht="12.75" hidden="false" customHeight="true" outlineLevel="0" collapsed="false">
      <c r="A743" s="121" t="str">
        <f aca="false">IF(B743="","",CONCATENATE(COUNTA($B$4:B743),"."))</f>
        <v/>
      </c>
      <c r="B743" s="112"/>
      <c r="C743" s="112"/>
      <c r="D743" s="81"/>
      <c r="E743" s="81"/>
      <c r="F743" s="81"/>
      <c r="G743" s="81"/>
      <c r="H743" s="81"/>
      <c r="I743" s="161"/>
      <c r="J743" s="154" t="str">
        <f aca="false">IF(H743="","",ROUNDUP(H743*35%,0))</f>
        <v/>
      </c>
      <c r="K743" s="113"/>
      <c r="L743" s="113"/>
    </row>
    <row r="744" customFormat="false" ht="12.75" hidden="false" customHeight="true" outlineLevel="0" collapsed="false">
      <c r="A744" s="121" t="str">
        <f aca="false">IF(B744="","",CONCATENATE(COUNTA($B$4:B744),"."))</f>
        <v/>
      </c>
      <c r="B744" s="112"/>
      <c r="C744" s="112"/>
      <c r="D744" s="81"/>
      <c r="E744" s="81"/>
      <c r="F744" s="81"/>
      <c r="G744" s="81"/>
      <c r="H744" s="81"/>
      <c r="I744" s="161"/>
      <c r="J744" s="154" t="str">
        <f aca="false">IF(H744="","",ROUNDUP(H744*35%,0))</f>
        <v/>
      </c>
      <c r="K744" s="113"/>
      <c r="L744" s="113"/>
    </row>
    <row r="745" customFormat="false" ht="12.75" hidden="false" customHeight="true" outlineLevel="0" collapsed="false">
      <c r="A745" s="121" t="str">
        <f aca="false">IF(B745="","",CONCATENATE(COUNTA($B$4:B745),"."))</f>
        <v/>
      </c>
      <c r="B745" s="112"/>
      <c r="C745" s="112"/>
      <c r="D745" s="81"/>
      <c r="E745" s="81"/>
      <c r="F745" s="81"/>
      <c r="G745" s="81"/>
      <c r="H745" s="81"/>
      <c r="I745" s="161"/>
      <c r="J745" s="154" t="str">
        <f aca="false">IF(H745="","",ROUNDUP(H745*35%,0))</f>
        <v/>
      </c>
      <c r="K745" s="113"/>
      <c r="L745" s="113"/>
    </row>
    <row r="746" customFormat="false" ht="12.75" hidden="false" customHeight="true" outlineLevel="0" collapsed="false">
      <c r="A746" s="121" t="str">
        <f aca="false">IF(B746="","",CONCATENATE(COUNTA($B$4:B746),"."))</f>
        <v/>
      </c>
      <c r="B746" s="112"/>
      <c r="C746" s="112"/>
      <c r="D746" s="81"/>
      <c r="E746" s="81"/>
      <c r="F746" s="81"/>
      <c r="G746" s="81"/>
      <c r="H746" s="81"/>
      <c r="I746" s="161"/>
      <c r="J746" s="154" t="str">
        <f aca="false">IF(H746="","",ROUNDUP(H746*35%,0))</f>
        <v/>
      </c>
      <c r="K746" s="113"/>
      <c r="L746" s="113"/>
    </row>
    <row r="747" customFormat="false" ht="12.75" hidden="false" customHeight="true" outlineLevel="0" collapsed="false">
      <c r="A747" s="121" t="str">
        <f aca="false">IF(B747="","",CONCATENATE(COUNTA($B$4:B747),"."))</f>
        <v/>
      </c>
      <c r="B747" s="112"/>
      <c r="C747" s="112"/>
      <c r="D747" s="81"/>
      <c r="E747" s="81"/>
      <c r="F747" s="81"/>
      <c r="G747" s="81"/>
      <c r="H747" s="81"/>
      <c r="I747" s="161"/>
      <c r="J747" s="154" t="str">
        <f aca="false">IF(H747="","",ROUNDUP(H747*35%,0))</f>
        <v/>
      </c>
      <c r="K747" s="113"/>
      <c r="L747" s="113"/>
    </row>
    <row r="748" customFormat="false" ht="12.75" hidden="false" customHeight="true" outlineLevel="0" collapsed="false">
      <c r="A748" s="121" t="str">
        <f aca="false">IF(B748="","",CONCATENATE(COUNTA($B$4:B748),"."))</f>
        <v/>
      </c>
      <c r="B748" s="112"/>
      <c r="C748" s="112"/>
      <c r="D748" s="81"/>
      <c r="E748" s="81"/>
      <c r="F748" s="81"/>
      <c r="G748" s="81"/>
      <c r="H748" s="81"/>
      <c r="I748" s="161"/>
      <c r="J748" s="154" t="str">
        <f aca="false">IF(H748="","",ROUNDUP(H748*35%,0))</f>
        <v/>
      </c>
      <c r="K748" s="113"/>
      <c r="L748" s="113"/>
    </row>
    <row r="749" customFormat="false" ht="12.75" hidden="false" customHeight="true" outlineLevel="0" collapsed="false">
      <c r="A749" s="121" t="str">
        <f aca="false">IF(B749="","",CONCATENATE(COUNTA($B$4:B749),"."))</f>
        <v/>
      </c>
      <c r="B749" s="112"/>
      <c r="C749" s="112"/>
      <c r="D749" s="81"/>
      <c r="E749" s="81"/>
      <c r="F749" s="81"/>
      <c r="G749" s="81"/>
      <c r="H749" s="81"/>
      <c r="I749" s="161"/>
      <c r="J749" s="154" t="str">
        <f aca="false">IF(H749="","",ROUNDUP(H749*35%,0))</f>
        <v/>
      </c>
      <c r="K749" s="113"/>
      <c r="L749" s="113"/>
    </row>
    <row r="750" customFormat="false" ht="12.75" hidden="false" customHeight="true" outlineLevel="0" collapsed="false">
      <c r="A750" s="121" t="str">
        <f aca="false">IF(B750="","",CONCATENATE(COUNTA($B$4:B750),"."))</f>
        <v/>
      </c>
      <c r="B750" s="112"/>
      <c r="C750" s="112"/>
      <c r="D750" s="81"/>
      <c r="E750" s="81"/>
      <c r="F750" s="81"/>
      <c r="G750" s="81"/>
      <c r="H750" s="81"/>
      <c r="I750" s="161"/>
      <c r="J750" s="154" t="str">
        <f aca="false">IF(H750="","",ROUNDUP(H750*35%,0))</f>
        <v/>
      </c>
      <c r="K750" s="113"/>
      <c r="L750" s="113"/>
    </row>
    <row r="751" customFormat="false" ht="12.75" hidden="false" customHeight="true" outlineLevel="0" collapsed="false">
      <c r="A751" s="121" t="str">
        <f aca="false">IF(B751="","",CONCATENATE(COUNTA($B$4:B751),"."))</f>
        <v/>
      </c>
      <c r="B751" s="112"/>
      <c r="C751" s="112"/>
      <c r="D751" s="81"/>
      <c r="E751" s="81"/>
      <c r="F751" s="81"/>
      <c r="G751" s="81"/>
      <c r="H751" s="81"/>
      <c r="I751" s="161"/>
      <c r="J751" s="154" t="str">
        <f aca="false">IF(H751="","",ROUNDUP(H751*35%,0))</f>
        <v/>
      </c>
      <c r="K751" s="113"/>
      <c r="L751" s="113"/>
    </row>
    <row r="752" customFormat="false" ht="12.75" hidden="false" customHeight="true" outlineLevel="0" collapsed="false">
      <c r="A752" s="121" t="str">
        <f aca="false">IF(B752="","",CONCATENATE(COUNTA($B$4:B752),"."))</f>
        <v/>
      </c>
      <c r="B752" s="112"/>
      <c r="C752" s="112"/>
      <c r="D752" s="81"/>
      <c r="E752" s="81"/>
      <c r="F752" s="81"/>
      <c r="G752" s="81"/>
      <c r="H752" s="81"/>
      <c r="I752" s="161"/>
      <c r="J752" s="154" t="str">
        <f aca="false">IF(H752="","",ROUNDUP(H752*35%,0))</f>
        <v/>
      </c>
      <c r="K752" s="113"/>
      <c r="L752" s="113"/>
    </row>
    <row r="753" customFormat="false" ht="12.75" hidden="false" customHeight="true" outlineLevel="0" collapsed="false">
      <c r="A753" s="121" t="str">
        <f aca="false">IF(B753="","",CONCATENATE(COUNTA($B$4:B753),"."))</f>
        <v/>
      </c>
      <c r="B753" s="112"/>
      <c r="C753" s="112"/>
      <c r="D753" s="81"/>
      <c r="E753" s="81"/>
      <c r="F753" s="81"/>
      <c r="G753" s="81"/>
      <c r="H753" s="81"/>
      <c r="I753" s="161"/>
      <c r="J753" s="154" t="str">
        <f aca="false">IF(H753="","",ROUNDUP(H753*35%,0))</f>
        <v/>
      </c>
      <c r="K753" s="113"/>
      <c r="L753" s="113"/>
    </row>
    <row r="754" customFormat="false" ht="12.75" hidden="false" customHeight="true" outlineLevel="0" collapsed="false">
      <c r="A754" s="121" t="str">
        <f aca="false">IF(B754="","",CONCATENATE(COUNTA($B$4:B754),"."))</f>
        <v/>
      </c>
      <c r="B754" s="112"/>
      <c r="C754" s="112"/>
      <c r="D754" s="81"/>
      <c r="E754" s="81"/>
      <c r="F754" s="81"/>
      <c r="G754" s="81"/>
      <c r="H754" s="81"/>
      <c r="I754" s="161"/>
      <c r="J754" s="154" t="str">
        <f aca="false">IF(H754="","",ROUNDUP(H754*35%,0))</f>
        <v/>
      </c>
      <c r="K754" s="113"/>
      <c r="L754" s="113"/>
    </row>
    <row r="755" customFormat="false" ht="12.75" hidden="false" customHeight="true" outlineLevel="0" collapsed="false">
      <c r="A755" s="121" t="str">
        <f aca="false">IF(B755="","",CONCATENATE(COUNTA($B$4:B755),"."))</f>
        <v/>
      </c>
      <c r="B755" s="112"/>
      <c r="C755" s="112"/>
      <c r="D755" s="81"/>
      <c r="E755" s="81"/>
      <c r="F755" s="81"/>
      <c r="G755" s="81"/>
      <c r="H755" s="81"/>
      <c r="I755" s="161"/>
      <c r="J755" s="154" t="str">
        <f aca="false">IF(H755="","",ROUNDUP(H755*35%,0))</f>
        <v/>
      </c>
      <c r="K755" s="113"/>
      <c r="L755" s="113"/>
    </row>
    <row r="756" customFormat="false" ht="12.75" hidden="false" customHeight="true" outlineLevel="0" collapsed="false">
      <c r="A756" s="121" t="str">
        <f aca="false">IF(B756="","",CONCATENATE(COUNTA($B$4:B756),"."))</f>
        <v/>
      </c>
      <c r="B756" s="112"/>
      <c r="C756" s="112"/>
      <c r="D756" s="81"/>
      <c r="E756" s="81"/>
      <c r="F756" s="81"/>
      <c r="G756" s="81"/>
      <c r="H756" s="81"/>
      <c r="I756" s="161"/>
      <c r="J756" s="154" t="str">
        <f aca="false">IF(H756="","",ROUNDUP(H756*35%,0))</f>
        <v/>
      </c>
      <c r="K756" s="113"/>
      <c r="L756" s="113"/>
    </row>
    <row r="757" customFormat="false" ht="12.75" hidden="false" customHeight="true" outlineLevel="0" collapsed="false">
      <c r="A757" s="121" t="str">
        <f aca="false">IF(B757="","",CONCATENATE(COUNTA($B$4:B757),"."))</f>
        <v/>
      </c>
      <c r="B757" s="112"/>
      <c r="C757" s="112"/>
      <c r="D757" s="81"/>
      <c r="E757" s="81"/>
      <c r="F757" s="81"/>
      <c r="G757" s="81"/>
      <c r="H757" s="81"/>
      <c r="I757" s="161"/>
      <c r="J757" s="154" t="str">
        <f aca="false">IF(H757="","",ROUNDUP(H757*35%,0))</f>
        <v/>
      </c>
      <c r="K757" s="113"/>
      <c r="L757" s="113"/>
    </row>
    <row r="758" customFormat="false" ht="12.75" hidden="false" customHeight="true" outlineLevel="0" collapsed="false">
      <c r="A758" s="121" t="str">
        <f aca="false">IF(B758="","",CONCATENATE(COUNTA($B$4:B758),"."))</f>
        <v/>
      </c>
      <c r="B758" s="112"/>
      <c r="C758" s="112"/>
      <c r="D758" s="81"/>
      <c r="E758" s="81"/>
      <c r="F758" s="81"/>
      <c r="G758" s="81"/>
      <c r="H758" s="81"/>
      <c r="I758" s="161"/>
      <c r="J758" s="154" t="str">
        <f aca="false">IF(H758="","",ROUNDUP(H758*35%,0))</f>
        <v/>
      </c>
      <c r="K758" s="113"/>
      <c r="L758" s="113"/>
    </row>
    <row r="759" customFormat="false" ht="12.75" hidden="false" customHeight="true" outlineLevel="0" collapsed="false">
      <c r="A759" s="121" t="str">
        <f aca="false">IF(B759="","",CONCATENATE(COUNTA($B$4:B759),"."))</f>
        <v/>
      </c>
      <c r="B759" s="112"/>
      <c r="C759" s="112"/>
      <c r="D759" s="81"/>
      <c r="E759" s="81"/>
      <c r="F759" s="81"/>
      <c r="G759" s="81"/>
      <c r="H759" s="81"/>
      <c r="I759" s="161"/>
      <c r="J759" s="154" t="str">
        <f aca="false">IF(H759="","",ROUNDUP(H759*35%,0))</f>
        <v/>
      </c>
      <c r="K759" s="113"/>
      <c r="L759" s="113"/>
    </row>
    <row r="760" customFormat="false" ht="12.75" hidden="false" customHeight="true" outlineLevel="0" collapsed="false">
      <c r="A760" s="121" t="str">
        <f aca="false">IF(B760="","",CONCATENATE(COUNTA($B$4:B760),"."))</f>
        <v/>
      </c>
      <c r="B760" s="112"/>
      <c r="C760" s="112"/>
      <c r="D760" s="81"/>
      <c r="E760" s="81"/>
      <c r="F760" s="81"/>
      <c r="G760" s="81"/>
      <c r="H760" s="81"/>
      <c r="I760" s="161"/>
      <c r="J760" s="154" t="str">
        <f aca="false">IF(H760="","",ROUNDUP(H760*35%,0))</f>
        <v/>
      </c>
      <c r="K760" s="113"/>
      <c r="L760" s="113"/>
    </row>
    <row r="761" customFormat="false" ht="12.75" hidden="false" customHeight="true" outlineLevel="0" collapsed="false">
      <c r="A761" s="121" t="str">
        <f aca="false">IF(B761="","",CONCATENATE(COUNTA($B$4:B761),"."))</f>
        <v/>
      </c>
      <c r="B761" s="112"/>
      <c r="C761" s="112"/>
      <c r="D761" s="81"/>
      <c r="E761" s="81"/>
      <c r="F761" s="81"/>
      <c r="G761" s="81"/>
      <c r="H761" s="81"/>
      <c r="I761" s="161"/>
      <c r="J761" s="154" t="str">
        <f aca="false">IF(H761="","",ROUNDUP(H761*35%,0))</f>
        <v/>
      </c>
      <c r="K761" s="113"/>
      <c r="L761" s="113"/>
    </row>
    <row r="762" customFormat="false" ht="12.75" hidden="false" customHeight="true" outlineLevel="0" collapsed="false">
      <c r="A762" s="121" t="str">
        <f aca="false">IF(B762="","",CONCATENATE(COUNTA($B$4:B762),"."))</f>
        <v/>
      </c>
      <c r="B762" s="112"/>
      <c r="C762" s="112"/>
      <c r="D762" s="81"/>
      <c r="E762" s="81"/>
      <c r="F762" s="81"/>
      <c r="G762" s="81"/>
      <c r="H762" s="81"/>
      <c r="I762" s="161"/>
      <c r="J762" s="154" t="str">
        <f aca="false">IF(H762="","",ROUNDUP(H762*35%,0))</f>
        <v/>
      </c>
      <c r="K762" s="113"/>
      <c r="L762" s="113"/>
    </row>
    <row r="763" customFormat="false" ht="12.75" hidden="false" customHeight="true" outlineLevel="0" collapsed="false">
      <c r="A763" s="121" t="str">
        <f aca="false">IF(B763="","",CONCATENATE(COUNTA($B$4:B763),"."))</f>
        <v/>
      </c>
      <c r="B763" s="112"/>
      <c r="C763" s="112"/>
      <c r="D763" s="81"/>
      <c r="E763" s="81"/>
      <c r="F763" s="81"/>
      <c r="G763" s="81"/>
      <c r="H763" s="81"/>
      <c r="I763" s="161"/>
      <c r="J763" s="154" t="str">
        <f aca="false">IF(H763="","",ROUNDUP(H763*35%,0))</f>
        <v/>
      </c>
      <c r="K763" s="113"/>
      <c r="L763" s="113"/>
    </row>
    <row r="764" customFormat="false" ht="12.75" hidden="false" customHeight="true" outlineLevel="0" collapsed="false">
      <c r="A764" s="121" t="str">
        <f aca="false">IF(B764="","",CONCATENATE(COUNTA($B$4:B764),"."))</f>
        <v/>
      </c>
      <c r="B764" s="112"/>
      <c r="C764" s="112"/>
      <c r="D764" s="81"/>
      <c r="E764" s="81"/>
      <c r="F764" s="81"/>
      <c r="G764" s="81"/>
      <c r="H764" s="81"/>
      <c r="I764" s="161"/>
      <c r="J764" s="154" t="str">
        <f aca="false">IF(H764="","",ROUNDUP(H764*35%,0))</f>
        <v/>
      </c>
      <c r="K764" s="113"/>
      <c r="L764" s="113"/>
    </row>
    <row r="765" customFormat="false" ht="12.75" hidden="false" customHeight="true" outlineLevel="0" collapsed="false">
      <c r="A765" s="121" t="str">
        <f aca="false">IF(B765="","",CONCATENATE(COUNTA($B$4:B765),"."))</f>
        <v/>
      </c>
      <c r="B765" s="112"/>
      <c r="C765" s="112"/>
      <c r="D765" s="81"/>
      <c r="E765" s="81"/>
      <c r="F765" s="81"/>
      <c r="G765" s="81"/>
      <c r="H765" s="81"/>
      <c r="I765" s="161"/>
      <c r="J765" s="154" t="str">
        <f aca="false">IF(H765="","",ROUNDUP(H765*35%,0))</f>
        <v/>
      </c>
      <c r="K765" s="113"/>
      <c r="L765" s="113"/>
    </row>
    <row r="766" customFormat="false" ht="12.75" hidden="false" customHeight="true" outlineLevel="0" collapsed="false">
      <c r="A766" s="121" t="str">
        <f aca="false">IF(B766="","",CONCATENATE(COUNTA($B$4:B766),"."))</f>
        <v/>
      </c>
      <c r="B766" s="112"/>
      <c r="C766" s="112"/>
      <c r="D766" s="81"/>
      <c r="E766" s="81"/>
      <c r="F766" s="81"/>
      <c r="G766" s="81"/>
      <c r="H766" s="81"/>
      <c r="I766" s="161"/>
      <c r="J766" s="154" t="str">
        <f aca="false">IF(H766="","",ROUNDUP(H766*35%,0))</f>
        <v/>
      </c>
      <c r="K766" s="113"/>
      <c r="L766" s="113"/>
    </row>
    <row r="767" customFormat="false" ht="12.75" hidden="false" customHeight="true" outlineLevel="0" collapsed="false">
      <c r="A767" s="121" t="str">
        <f aca="false">IF(B767="","",CONCATENATE(COUNTA($B$4:B767),"."))</f>
        <v/>
      </c>
      <c r="B767" s="112"/>
      <c r="C767" s="112"/>
      <c r="D767" s="81"/>
      <c r="E767" s="81"/>
      <c r="F767" s="81"/>
      <c r="G767" s="81"/>
      <c r="H767" s="81"/>
      <c r="I767" s="161"/>
      <c r="J767" s="154" t="str">
        <f aca="false">IF(H767="","",ROUNDUP(H767*35%,0))</f>
        <v/>
      </c>
      <c r="K767" s="113"/>
      <c r="L767" s="113"/>
    </row>
    <row r="768" customFormat="false" ht="12.75" hidden="false" customHeight="true" outlineLevel="0" collapsed="false">
      <c r="A768" s="121" t="str">
        <f aca="false">IF(B768="","",CONCATENATE(COUNTA($B$4:B768),"."))</f>
        <v/>
      </c>
      <c r="B768" s="112"/>
      <c r="C768" s="112"/>
      <c r="D768" s="81"/>
      <c r="E768" s="81"/>
      <c r="F768" s="81"/>
      <c r="G768" s="81"/>
      <c r="H768" s="81"/>
      <c r="I768" s="161"/>
      <c r="J768" s="154" t="str">
        <f aca="false">IF(H768="","",ROUNDUP(H768*35%,0))</f>
        <v/>
      </c>
      <c r="K768" s="113"/>
      <c r="L768" s="113"/>
    </row>
    <row r="769" customFormat="false" ht="12.75" hidden="false" customHeight="true" outlineLevel="0" collapsed="false">
      <c r="A769" s="121" t="str">
        <f aca="false">IF(B769="","",CONCATENATE(COUNTA($B$4:B769),"."))</f>
        <v/>
      </c>
      <c r="B769" s="112"/>
      <c r="C769" s="112"/>
      <c r="D769" s="81"/>
      <c r="E769" s="81"/>
      <c r="F769" s="81"/>
      <c r="G769" s="81"/>
      <c r="H769" s="81"/>
      <c r="I769" s="161"/>
      <c r="J769" s="154" t="str">
        <f aca="false">IF(H769="","",ROUNDUP(H769*35%,0))</f>
        <v/>
      </c>
      <c r="K769" s="113"/>
      <c r="L769" s="113"/>
    </row>
    <row r="770" customFormat="false" ht="12.75" hidden="false" customHeight="true" outlineLevel="0" collapsed="false">
      <c r="A770" s="121" t="str">
        <f aca="false">IF(B770="","",CONCATENATE(COUNTA($B$4:B770),"."))</f>
        <v/>
      </c>
      <c r="B770" s="112"/>
      <c r="C770" s="112"/>
      <c r="D770" s="81"/>
      <c r="E770" s="81"/>
      <c r="F770" s="81"/>
      <c r="G770" s="81"/>
      <c r="H770" s="81"/>
      <c r="I770" s="161"/>
      <c r="J770" s="154" t="str">
        <f aca="false">IF(H770="","",ROUNDUP(H770*35%,0))</f>
        <v/>
      </c>
      <c r="K770" s="113"/>
      <c r="L770" s="113"/>
    </row>
    <row r="771" customFormat="false" ht="12.75" hidden="false" customHeight="true" outlineLevel="0" collapsed="false">
      <c r="A771" s="121" t="str">
        <f aca="false">IF(B771="","",CONCATENATE(COUNTA($B$4:B771),"."))</f>
        <v/>
      </c>
      <c r="B771" s="112"/>
      <c r="C771" s="112"/>
      <c r="D771" s="81"/>
      <c r="E771" s="81"/>
      <c r="F771" s="81"/>
      <c r="G771" s="81"/>
      <c r="H771" s="81"/>
      <c r="I771" s="161"/>
      <c r="J771" s="154" t="str">
        <f aca="false">IF(H771="","",ROUNDUP(H771*35%,0))</f>
        <v/>
      </c>
      <c r="K771" s="113"/>
      <c r="L771" s="113"/>
    </row>
    <row r="772" customFormat="false" ht="12.75" hidden="false" customHeight="true" outlineLevel="0" collapsed="false">
      <c r="A772" s="121" t="str">
        <f aca="false">IF(B772="","",CONCATENATE(COUNTA($B$4:B772),"."))</f>
        <v/>
      </c>
      <c r="B772" s="112"/>
      <c r="C772" s="112"/>
      <c r="D772" s="81"/>
      <c r="E772" s="81"/>
      <c r="F772" s="81"/>
      <c r="G772" s="81"/>
      <c r="H772" s="81"/>
      <c r="I772" s="161"/>
      <c r="J772" s="154" t="str">
        <f aca="false">IF(H772="","",ROUNDUP(H772*35%,0))</f>
        <v/>
      </c>
      <c r="K772" s="113"/>
      <c r="L772" s="113"/>
    </row>
    <row r="773" customFormat="false" ht="12.75" hidden="false" customHeight="true" outlineLevel="0" collapsed="false">
      <c r="A773" s="121" t="str">
        <f aca="false">IF(B773="","",CONCATENATE(COUNTA($B$4:B773),"."))</f>
        <v/>
      </c>
      <c r="B773" s="112"/>
      <c r="C773" s="112"/>
      <c r="D773" s="81"/>
      <c r="E773" s="81"/>
      <c r="F773" s="81"/>
      <c r="G773" s="81"/>
      <c r="H773" s="81"/>
      <c r="I773" s="161"/>
      <c r="J773" s="154" t="str">
        <f aca="false">IF(H773="","",ROUNDUP(H773*35%,0))</f>
        <v/>
      </c>
      <c r="K773" s="113"/>
      <c r="L773" s="113"/>
    </row>
    <row r="774" customFormat="false" ht="12.75" hidden="false" customHeight="true" outlineLevel="0" collapsed="false">
      <c r="A774" s="121" t="str">
        <f aca="false">IF(B774="","",CONCATENATE(COUNTA($B$4:B774),"."))</f>
        <v/>
      </c>
      <c r="B774" s="112"/>
      <c r="C774" s="112"/>
      <c r="D774" s="81"/>
      <c r="E774" s="81"/>
      <c r="F774" s="81"/>
      <c r="G774" s="81"/>
      <c r="H774" s="81"/>
      <c r="I774" s="161"/>
      <c r="J774" s="154" t="str">
        <f aca="false">IF(H774="","",ROUNDUP(H774*35%,0))</f>
        <v/>
      </c>
      <c r="K774" s="113"/>
      <c r="L774" s="113"/>
    </row>
    <row r="775" customFormat="false" ht="12.75" hidden="false" customHeight="true" outlineLevel="0" collapsed="false">
      <c r="A775" s="121" t="str">
        <f aca="false">IF(B775="","",CONCATENATE(COUNTA($B$4:B775),"."))</f>
        <v/>
      </c>
      <c r="B775" s="112"/>
      <c r="C775" s="112"/>
      <c r="D775" s="81"/>
      <c r="E775" s="81"/>
      <c r="F775" s="81"/>
      <c r="G775" s="81"/>
      <c r="H775" s="81"/>
      <c r="I775" s="161"/>
      <c r="J775" s="154" t="str">
        <f aca="false">IF(H775="","",ROUNDUP(H775*35%,0))</f>
        <v/>
      </c>
      <c r="K775" s="113"/>
      <c r="L775" s="113"/>
    </row>
    <row r="776" customFormat="false" ht="12.75" hidden="false" customHeight="true" outlineLevel="0" collapsed="false">
      <c r="A776" s="121" t="str">
        <f aca="false">IF(B776="","",CONCATENATE(COUNTA($B$4:B776),"."))</f>
        <v/>
      </c>
      <c r="B776" s="112"/>
      <c r="C776" s="112"/>
      <c r="D776" s="81"/>
      <c r="E776" s="81"/>
      <c r="F776" s="81"/>
      <c r="G776" s="81"/>
      <c r="H776" s="81"/>
      <c r="I776" s="161"/>
      <c r="J776" s="154" t="str">
        <f aca="false">IF(H776="","",ROUNDUP(H776*35%,0))</f>
        <v/>
      </c>
      <c r="K776" s="113"/>
      <c r="L776" s="113"/>
    </row>
    <row r="777" customFormat="false" ht="12.75" hidden="false" customHeight="true" outlineLevel="0" collapsed="false">
      <c r="A777" s="121" t="str">
        <f aca="false">IF(B777="","",CONCATENATE(COUNTA($B$4:B777),"."))</f>
        <v/>
      </c>
      <c r="B777" s="112"/>
      <c r="C777" s="112"/>
      <c r="D777" s="81"/>
      <c r="E777" s="81"/>
      <c r="F777" s="81"/>
      <c r="G777" s="81"/>
      <c r="H777" s="81"/>
      <c r="I777" s="161"/>
      <c r="J777" s="154" t="str">
        <f aca="false">IF(H777="","",ROUNDUP(H777*35%,0))</f>
        <v/>
      </c>
      <c r="K777" s="113"/>
      <c r="L777" s="113"/>
    </row>
    <row r="778" customFormat="false" ht="12.75" hidden="false" customHeight="true" outlineLevel="0" collapsed="false">
      <c r="A778" s="121" t="str">
        <f aca="false">IF(B778="","",CONCATENATE(COUNTA($B$4:B778),"."))</f>
        <v/>
      </c>
      <c r="B778" s="112"/>
      <c r="C778" s="112"/>
      <c r="D778" s="81"/>
      <c r="E778" s="81"/>
      <c r="F778" s="81"/>
      <c r="G778" s="81"/>
      <c r="H778" s="81"/>
      <c r="I778" s="161"/>
      <c r="J778" s="154" t="str">
        <f aca="false">IF(H778="","",ROUNDUP(H778*35%,0))</f>
        <v/>
      </c>
      <c r="K778" s="113"/>
      <c r="L778" s="113"/>
    </row>
    <row r="779" customFormat="false" ht="12.75" hidden="false" customHeight="true" outlineLevel="0" collapsed="false">
      <c r="A779" s="121" t="str">
        <f aca="false">IF(B779="","",CONCATENATE(COUNTA($B$4:B779),"."))</f>
        <v/>
      </c>
      <c r="B779" s="112"/>
      <c r="C779" s="112"/>
      <c r="D779" s="81"/>
      <c r="E779" s="81"/>
      <c r="F779" s="81"/>
      <c r="G779" s="81"/>
      <c r="H779" s="81"/>
      <c r="I779" s="161"/>
      <c r="J779" s="154" t="str">
        <f aca="false">IF(H779="","",ROUNDUP(H779*35%,0))</f>
        <v/>
      </c>
      <c r="K779" s="113"/>
      <c r="L779" s="113"/>
    </row>
    <row r="780" customFormat="false" ht="12.75" hidden="false" customHeight="true" outlineLevel="0" collapsed="false">
      <c r="A780" s="121" t="str">
        <f aca="false">IF(B780="","",CONCATENATE(COUNTA($B$4:B780),"."))</f>
        <v/>
      </c>
      <c r="B780" s="112"/>
      <c r="C780" s="112"/>
      <c r="D780" s="81"/>
      <c r="E780" s="81"/>
      <c r="F780" s="81"/>
      <c r="G780" s="81"/>
      <c r="H780" s="81"/>
      <c r="I780" s="161"/>
      <c r="J780" s="154" t="str">
        <f aca="false">IF(H780="","",ROUNDUP(H780*35%,0))</f>
        <v/>
      </c>
      <c r="K780" s="113"/>
      <c r="L780" s="113"/>
    </row>
    <row r="781" customFormat="false" ht="12.75" hidden="false" customHeight="true" outlineLevel="0" collapsed="false">
      <c r="A781" s="121" t="str">
        <f aca="false">IF(B781="","",CONCATENATE(COUNTA($B$4:B781),"."))</f>
        <v/>
      </c>
      <c r="B781" s="112"/>
      <c r="C781" s="112"/>
      <c r="D781" s="81"/>
      <c r="E781" s="81"/>
      <c r="F781" s="81"/>
      <c r="G781" s="81"/>
      <c r="H781" s="81"/>
      <c r="I781" s="161"/>
      <c r="J781" s="154" t="str">
        <f aca="false">IF(H781="","",ROUNDUP(H781*35%,0))</f>
        <v/>
      </c>
      <c r="K781" s="113"/>
      <c r="L781" s="113"/>
    </row>
    <row r="782" customFormat="false" ht="12.75" hidden="false" customHeight="true" outlineLevel="0" collapsed="false">
      <c r="A782" s="121" t="str">
        <f aca="false">IF(B782="","",CONCATENATE(COUNTA($B$4:B782),"."))</f>
        <v/>
      </c>
      <c r="B782" s="112"/>
      <c r="C782" s="112"/>
      <c r="D782" s="81"/>
      <c r="E782" s="81"/>
      <c r="F782" s="81"/>
      <c r="G782" s="81"/>
      <c r="H782" s="81"/>
      <c r="I782" s="161"/>
      <c r="J782" s="154" t="str">
        <f aca="false">IF(H782="","",ROUNDUP(H782*35%,0))</f>
        <v/>
      </c>
      <c r="K782" s="113"/>
      <c r="L782" s="113"/>
    </row>
    <row r="783" customFormat="false" ht="12.75" hidden="false" customHeight="true" outlineLevel="0" collapsed="false">
      <c r="A783" s="121" t="str">
        <f aca="false">IF(B783="","",CONCATENATE(COUNTA($B$4:B783),"."))</f>
        <v/>
      </c>
      <c r="B783" s="112"/>
      <c r="C783" s="112"/>
      <c r="D783" s="81"/>
      <c r="E783" s="81"/>
      <c r="F783" s="81"/>
      <c r="G783" s="81"/>
      <c r="H783" s="81"/>
      <c r="I783" s="161"/>
      <c r="J783" s="154" t="str">
        <f aca="false">IF(H783="","",ROUNDUP(H783*35%,0))</f>
        <v/>
      </c>
      <c r="K783" s="113"/>
      <c r="L783" s="113"/>
    </row>
    <row r="784" customFormat="false" ht="12.75" hidden="false" customHeight="true" outlineLevel="0" collapsed="false">
      <c r="A784" s="121" t="str">
        <f aca="false">IF(B784="","",CONCATENATE(COUNTA($B$4:B784),"."))</f>
        <v/>
      </c>
      <c r="B784" s="112"/>
      <c r="C784" s="112"/>
      <c r="D784" s="81"/>
      <c r="E784" s="81"/>
      <c r="F784" s="81"/>
      <c r="G784" s="81"/>
      <c r="H784" s="81"/>
      <c r="I784" s="161"/>
      <c r="J784" s="154" t="str">
        <f aca="false">IF(H784="","",ROUNDUP(H784*35%,0))</f>
        <v/>
      </c>
      <c r="K784" s="113"/>
      <c r="L784" s="113"/>
    </row>
    <row r="785" customFormat="false" ht="12.75" hidden="false" customHeight="true" outlineLevel="0" collapsed="false">
      <c r="A785" s="121" t="str">
        <f aca="false">IF(B785="","",CONCATENATE(COUNTA($B$4:B785),"."))</f>
        <v/>
      </c>
      <c r="B785" s="112"/>
      <c r="C785" s="112"/>
      <c r="D785" s="81"/>
      <c r="E785" s="81"/>
      <c r="F785" s="81"/>
      <c r="G785" s="81"/>
      <c r="H785" s="81"/>
      <c r="I785" s="161"/>
      <c r="J785" s="154" t="str">
        <f aca="false">IF(H785="","",ROUNDUP(H785*35%,0))</f>
        <v/>
      </c>
      <c r="K785" s="113"/>
      <c r="L785" s="113"/>
    </row>
    <row r="786" customFormat="false" ht="12.75" hidden="false" customHeight="true" outlineLevel="0" collapsed="false">
      <c r="A786" s="121" t="str">
        <f aca="false">IF(B786="","",CONCATENATE(COUNTA($B$4:B786),"."))</f>
        <v/>
      </c>
      <c r="B786" s="112"/>
      <c r="C786" s="112"/>
      <c r="D786" s="81"/>
      <c r="E786" s="81"/>
      <c r="F786" s="81"/>
      <c r="G786" s="81"/>
      <c r="H786" s="81"/>
      <c r="I786" s="161"/>
      <c r="J786" s="154" t="str">
        <f aca="false">IF(H786="","",ROUNDUP(H786*35%,0))</f>
        <v/>
      </c>
      <c r="K786" s="113"/>
      <c r="L786" s="113"/>
    </row>
    <row r="787" customFormat="false" ht="12.75" hidden="false" customHeight="true" outlineLevel="0" collapsed="false">
      <c r="A787" s="121" t="str">
        <f aca="false">IF(B787="","",CONCATENATE(COUNTA($B$4:B787),"."))</f>
        <v/>
      </c>
      <c r="B787" s="112"/>
      <c r="C787" s="112"/>
      <c r="D787" s="81"/>
      <c r="E787" s="81"/>
      <c r="F787" s="81"/>
      <c r="G787" s="81"/>
      <c r="H787" s="81"/>
      <c r="I787" s="161"/>
      <c r="J787" s="154" t="str">
        <f aca="false">IF(H787="","",ROUNDUP(H787*35%,0))</f>
        <v/>
      </c>
      <c r="K787" s="113"/>
      <c r="L787" s="113"/>
    </row>
    <row r="788" customFormat="false" ht="12.75" hidden="false" customHeight="true" outlineLevel="0" collapsed="false">
      <c r="A788" s="121" t="str">
        <f aca="false">IF(B788="","",CONCATENATE(COUNTA($B$4:B788),"."))</f>
        <v/>
      </c>
      <c r="B788" s="112"/>
      <c r="C788" s="112"/>
      <c r="D788" s="81"/>
      <c r="E788" s="81"/>
      <c r="F788" s="81"/>
      <c r="G788" s="81"/>
      <c r="H788" s="81"/>
      <c r="I788" s="161"/>
      <c r="J788" s="154" t="str">
        <f aca="false">IF(H788="","",ROUNDUP(H788*35%,0))</f>
        <v/>
      </c>
      <c r="K788" s="113"/>
      <c r="L788" s="113"/>
    </row>
    <row r="789" customFormat="false" ht="12.75" hidden="false" customHeight="true" outlineLevel="0" collapsed="false">
      <c r="A789" s="121" t="str">
        <f aca="false">IF(B789="","",CONCATENATE(COUNTA($B$4:B789),"."))</f>
        <v/>
      </c>
      <c r="B789" s="112"/>
      <c r="C789" s="112"/>
      <c r="D789" s="81"/>
      <c r="E789" s="81"/>
      <c r="F789" s="81"/>
      <c r="G789" s="81"/>
      <c r="H789" s="81"/>
      <c r="I789" s="161"/>
      <c r="J789" s="154" t="str">
        <f aca="false">IF(H789="","",ROUNDUP(H789*35%,0))</f>
        <v/>
      </c>
      <c r="K789" s="113"/>
      <c r="L789" s="113"/>
    </row>
    <row r="790" customFormat="false" ht="12.75" hidden="false" customHeight="true" outlineLevel="0" collapsed="false">
      <c r="A790" s="121" t="str">
        <f aca="false">IF(B790="","",CONCATENATE(COUNTA($B$4:B790),"."))</f>
        <v/>
      </c>
      <c r="B790" s="112"/>
      <c r="C790" s="112"/>
      <c r="D790" s="81"/>
      <c r="E790" s="81"/>
      <c r="F790" s="81"/>
      <c r="G790" s="81"/>
      <c r="H790" s="81"/>
      <c r="I790" s="161"/>
      <c r="J790" s="154" t="str">
        <f aca="false">IF(H790="","",ROUNDUP(H790*35%,0))</f>
        <v/>
      </c>
      <c r="K790" s="113"/>
      <c r="L790" s="113"/>
    </row>
    <row r="791" customFormat="false" ht="12.75" hidden="false" customHeight="true" outlineLevel="0" collapsed="false">
      <c r="A791" s="121" t="str">
        <f aca="false">IF(B791="","",CONCATENATE(COUNTA($B$4:B791),"."))</f>
        <v/>
      </c>
      <c r="B791" s="112"/>
      <c r="C791" s="112"/>
      <c r="D791" s="81"/>
      <c r="E791" s="81"/>
      <c r="F791" s="81"/>
      <c r="G791" s="81"/>
      <c r="H791" s="81"/>
      <c r="I791" s="161"/>
      <c r="J791" s="154" t="str">
        <f aca="false">IF(H791="","",ROUNDUP(H791*35%,0))</f>
        <v/>
      </c>
      <c r="K791" s="113"/>
      <c r="L791" s="113"/>
    </row>
    <row r="792" customFormat="false" ht="12.75" hidden="false" customHeight="true" outlineLevel="0" collapsed="false">
      <c r="A792" s="121" t="str">
        <f aca="false">IF(B792="","",CONCATENATE(COUNTA($B$4:B792),"."))</f>
        <v/>
      </c>
      <c r="B792" s="112"/>
      <c r="C792" s="112"/>
      <c r="D792" s="81"/>
      <c r="E792" s="81"/>
      <c r="F792" s="81"/>
      <c r="G792" s="81"/>
      <c r="H792" s="81"/>
      <c r="I792" s="161"/>
      <c r="J792" s="154" t="str">
        <f aca="false">IF(H792="","",ROUNDUP(H792*35%,0))</f>
        <v/>
      </c>
      <c r="K792" s="113"/>
      <c r="L792" s="113"/>
    </row>
    <row r="793" customFormat="false" ht="12.75" hidden="false" customHeight="true" outlineLevel="0" collapsed="false">
      <c r="A793" s="121" t="str">
        <f aca="false">IF(B793="","",CONCATENATE(COUNTA($B$4:B793),"."))</f>
        <v/>
      </c>
      <c r="B793" s="112"/>
      <c r="C793" s="112"/>
      <c r="D793" s="81"/>
      <c r="E793" s="81"/>
      <c r="F793" s="81"/>
      <c r="G793" s="81"/>
      <c r="H793" s="81"/>
      <c r="I793" s="161"/>
      <c r="J793" s="154" t="str">
        <f aca="false">IF(H793="","",ROUNDUP(H793*35%,0))</f>
        <v/>
      </c>
      <c r="K793" s="113"/>
      <c r="L793" s="113"/>
    </row>
    <row r="794" customFormat="false" ht="12.75" hidden="false" customHeight="true" outlineLevel="0" collapsed="false">
      <c r="A794" s="121" t="str">
        <f aca="false">IF(B794="","",CONCATENATE(COUNTA($B$4:B794),"."))</f>
        <v/>
      </c>
      <c r="B794" s="112"/>
      <c r="C794" s="112"/>
      <c r="D794" s="81"/>
      <c r="E794" s="81"/>
      <c r="F794" s="81"/>
      <c r="G794" s="81"/>
      <c r="H794" s="81"/>
      <c r="I794" s="161"/>
      <c r="J794" s="154" t="str">
        <f aca="false">IF(H794="","",ROUNDUP(H794*35%,0))</f>
        <v/>
      </c>
      <c r="K794" s="113"/>
      <c r="L794" s="113"/>
    </row>
    <row r="795" customFormat="false" ht="12.75" hidden="false" customHeight="true" outlineLevel="0" collapsed="false">
      <c r="A795" s="121" t="str">
        <f aca="false">IF(B795="","",CONCATENATE(COUNTA($B$4:B795),"."))</f>
        <v/>
      </c>
      <c r="B795" s="112"/>
      <c r="C795" s="112"/>
      <c r="D795" s="81"/>
      <c r="E795" s="81"/>
      <c r="F795" s="81"/>
      <c r="G795" s="81"/>
      <c r="H795" s="81"/>
      <c r="I795" s="161"/>
      <c r="J795" s="154" t="str">
        <f aca="false">IF(H795="","",ROUNDUP(H795*35%,0))</f>
        <v/>
      </c>
      <c r="K795" s="113"/>
      <c r="L795" s="113"/>
    </row>
    <row r="796" customFormat="false" ht="12.75" hidden="false" customHeight="true" outlineLevel="0" collapsed="false">
      <c r="A796" s="121" t="str">
        <f aca="false">IF(B796="","",CONCATENATE(COUNTA($B$4:B796),"."))</f>
        <v/>
      </c>
      <c r="B796" s="112"/>
      <c r="C796" s="112"/>
      <c r="D796" s="81"/>
      <c r="E796" s="81"/>
      <c r="F796" s="81"/>
      <c r="G796" s="81"/>
      <c r="H796" s="81"/>
      <c r="I796" s="161"/>
      <c r="J796" s="154" t="str">
        <f aca="false">IF(H796="","",ROUNDUP(H796*35%,0))</f>
        <v/>
      </c>
      <c r="K796" s="113"/>
      <c r="L796" s="113"/>
    </row>
    <row r="797" customFormat="false" ht="12.75" hidden="false" customHeight="true" outlineLevel="0" collapsed="false">
      <c r="A797" s="121" t="str">
        <f aca="false">IF(B797="","",CONCATENATE(COUNTA($B$4:B797),"."))</f>
        <v/>
      </c>
      <c r="B797" s="112"/>
      <c r="C797" s="112"/>
      <c r="D797" s="81"/>
      <c r="E797" s="81"/>
      <c r="F797" s="81"/>
      <c r="G797" s="81"/>
      <c r="H797" s="81"/>
      <c r="I797" s="161"/>
      <c r="J797" s="154" t="str">
        <f aca="false">IF(H797="","",ROUNDUP(H797*35%,0))</f>
        <v/>
      </c>
      <c r="K797" s="113"/>
      <c r="L797" s="113"/>
    </row>
    <row r="798" customFormat="false" ht="12.75" hidden="false" customHeight="true" outlineLevel="0" collapsed="false">
      <c r="A798" s="121" t="str">
        <f aca="false">IF(B798="","",CONCATENATE(COUNTA($B$4:B798),"."))</f>
        <v/>
      </c>
      <c r="B798" s="112"/>
      <c r="C798" s="112"/>
      <c r="D798" s="81"/>
      <c r="E798" s="81"/>
      <c r="F798" s="81"/>
      <c r="G798" s="81"/>
      <c r="H798" s="81"/>
      <c r="I798" s="161"/>
      <c r="J798" s="154" t="str">
        <f aca="false">IF(H798="","",ROUNDUP(H798*35%,0))</f>
        <v/>
      </c>
      <c r="K798" s="113"/>
      <c r="L798" s="113"/>
    </row>
    <row r="799" customFormat="false" ht="12.75" hidden="false" customHeight="true" outlineLevel="0" collapsed="false">
      <c r="A799" s="121" t="str">
        <f aca="false">IF(B799="","",CONCATENATE(COUNTA($B$4:B799),"."))</f>
        <v/>
      </c>
      <c r="B799" s="112"/>
      <c r="C799" s="112"/>
      <c r="D799" s="81"/>
      <c r="E799" s="81"/>
      <c r="F799" s="81"/>
      <c r="G799" s="81"/>
      <c r="H799" s="81"/>
      <c r="I799" s="161"/>
      <c r="J799" s="154" t="str">
        <f aca="false">IF(H799="","",ROUNDUP(H799*35%,0))</f>
        <v/>
      </c>
      <c r="K799" s="113"/>
      <c r="L799" s="113"/>
    </row>
    <row r="800" customFormat="false" ht="12.75" hidden="false" customHeight="true" outlineLevel="0" collapsed="false">
      <c r="A800" s="121" t="str">
        <f aca="false">IF(B800="","",CONCATENATE(COUNTA($B$4:B800),"."))</f>
        <v/>
      </c>
      <c r="B800" s="112"/>
      <c r="C800" s="112"/>
      <c r="D800" s="81"/>
      <c r="E800" s="81"/>
      <c r="F800" s="81"/>
      <c r="G800" s="81"/>
      <c r="H800" s="81"/>
      <c r="I800" s="161"/>
      <c r="J800" s="154" t="str">
        <f aca="false">IF(H800="","",ROUNDUP(H800*35%,0))</f>
        <v/>
      </c>
      <c r="K800" s="113"/>
      <c r="L800" s="113"/>
    </row>
    <row r="801" customFormat="false" ht="12.75" hidden="false" customHeight="true" outlineLevel="0" collapsed="false">
      <c r="A801" s="121" t="str">
        <f aca="false">IF(B801="","",CONCATENATE(COUNTA($B$4:B801),"."))</f>
        <v/>
      </c>
      <c r="B801" s="112"/>
      <c r="C801" s="112"/>
      <c r="D801" s="81"/>
      <c r="E801" s="81"/>
      <c r="F801" s="81"/>
      <c r="G801" s="81"/>
      <c r="H801" s="81"/>
      <c r="I801" s="161"/>
      <c r="J801" s="154" t="str">
        <f aca="false">IF(H801="","",ROUNDUP(H801*35%,0))</f>
        <v/>
      </c>
      <c r="K801" s="113"/>
      <c r="L801" s="113"/>
    </row>
    <row r="802" customFormat="false" ht="12.75" hidden="false" customHeight="true" outlineLevel="0" collapsed="false">
      <c r="A802" s="121" t="str">
        <f aca="false">IF(B802="","",CONCATENATE(COUNTA($B$4:B802),"."))</f>
        <v/>
      </c>
      <c r="B802" s="112"/>
      <c r="C802" s="112"/>
      <c r="D802" s="81"/>
      <c r="E802" s="81"/>
      <c r="F802" s="81"/>
      <c r="G802" s="81"/>
      <c r="H802" s="81"/>
      <c r="I802" s="161"/>
      <c r="J802" s="154" t="str">
        <f aca="false">IF(H802="","",ROUNDUP(H802*35%,0))</f>
        <v/>
      </c>
      <c r="K802" s="113"/>
      <c r="L802" s="113"/>
    </row>
    <row r="803" customFormat="false" ht="12.75" hidden="false" customHeight="true" outlineLevel="0" collapsed="false">
      <c r="A803" s="121" t="str">
        <f aca="false">IF(B803="","",CONCATENATE(COUNTA($B$4:B803),"."))</f>
        <v/>
      </c>
      <c r="B803" s="112"/>
      <c r="C803" s="112"/>
      <c r="D803" s="81"/>
      <c r="E803" s="81"/>
      <c r="F803" s="81"/>
      <c r="G803" s="81"/>
      <c r="H803" s="81"/>
      <c r="I803" s="161"/>
      <c r="J803" s="154" t="str">
        <f aca="false">IF(H803="","",ROUNDUP(H803*35%,0))</f>
        <v/>
      </c>
      <c r="K803" s="113"/>
      <c r="L803" s="113"/>
    </row>
    <row r="804" customFormat="false" ht="12.75" hidden="false" customHeight="true" outlineLevel="0" collapsed="false">
      <c r="A804" s="121" t="str">
        <f aca="false">IF(B804="","",CONCATENATE(COUNTA($B$4:B804),"."))</f>
        <v/>
      </c>
      <c r="B804" s="112"/>
      <c r="C804" s="112"/>
      <c r="D804" s="81"/>
      <c r="E804" s="81"/>
      <c r="F804" s="81"/>
      <c r="G804" s="81"/>
      <c r="H804" s="81"/>
      <c r="I804" s="161"/>
      <c r="J804" s="154" t="str">
        <f aca="false">IF(H804="","",ROUNDUP(H804*35%,0))</f>
        <v/>
      </c>
      <c r="K804" s="113"/>
      <c r="L804" s="113"/>
    </row>
    <row r="805" customFormat="false" ht="12.75" hidden="false" customHeight="true" outlineLevel="0" collapsed="false">
      <c r="A805" s="121" t="str">
        <f aca="false">IF(B805="","",CONCATENATE(COUNTA($B$4:B805),"."))</f>
        <v/>
      </c>
      <c r="B805" s="112"/>
      <c r="C805" s="112"/>
      <c r="D805" s="81"/>
      <c r="E805" s="81"/>
      <c r="F805" s="81"/>
      <c r="G805" s="81"/>
      <c r="H805" s="81"/>
      <c r="I805" s="161"/>
      <c r="J805" s="154" t="str">
        <f aca="false">IF(H805="","",ROUNDUP(H805*35%,0))</f>
        <v/>
      </c>
      <c r="K805" s="113"/>
      <c r="L805" s="113"/>
    </row>
    <row r="806" customFormat="false" ht="12.75" hidden="false" customHeight="true" outlineLevel="0" collapsed="false">
      <c r="A806" s="121" t="str">
        <f aca="false">IF(B806="","",CONCATENATE(COUNTA($B$4:B806),"."))</f>
        <v/>
      </c>
      <c r="B806" s="112"/>
      <c r="C806" s="112"/>
      <c r="D806" s="81"/>
      <c r="E806" s="81"/>
      <c r="F806" s="81"/>
      <c r="G806" s="81"/>
      <c r="H806" s="81"/>
      <c r="I806" s="161"/>
      <c r="J806" s="154" t="str">
        <f aca="false">IF(H806="","",ROUNDUP(H806*35%,0))</f>
        <v/>
      </c>
      <c r="K806" s="113"/>
      <c r="L806" s="113"/>
    </row>
    <row r="807" customFormat="false" ht="12.75" hidden="false" customHeight="true" outlineLevel="0" collapsed="false">
      <c r="A807" s="121" t="str">
        <f aca="false">IF(B807="","",CONCATENATE(COUNTA($B$4:B807),"."))</f>
        <v/>
      </c>
      <c r="B807" s="112"/>
      <c r="C807" s="112"/>
      <c r="D807" s="81"/>
      <c r="E807" s="81"/>
      <c r="F807" s="81"/>
      <c r="G807" s="81"/>
      <c r="H807" s="81"/>
      <c r="I807" s="161"/>
      <c r="J807" s="154" t="str">
        <f aca="false">IF(H807="","",ROUNDUP(H807*35%,0))</f>
        <v/>
      </c>
      <c r="K807" s="113"/>
      <c r="L807" s="113"/>
    </row>
    <row r="808" customFormat="false" ht="12.75" hidden="false" customHeight="true" outlineLevel="0" collapsed="false">
      <c r="A808" s="121" t="str">
        <f aca="false">IF(B808="","",CONCATENATE(COUNTA($B$4:B808),"."))</f>
        <v/>
      </c>
      <c r="B808" s="112"/>
      <c r="C808" s="112"/>
      <c r="D808" s="81"/>
      <c r="E808" s="81"/>
      <c r="F808" s="81"/>
      <c r="G808" s="81"/>
      <c r="H808" s="81"/>
      <c r="I808" s="161"/>
      <c r="J808" s="154" t="str">
        <f aca="false">IF(H808="","",ROUNDUP(H808*35%,0))</f>
        <v/>
      </c>
      <c r="K808" s="113"/>
      <c r="L808" s="113"/>
    </row>
    <row r="809" customFormat="false" ht="12.75" hidden="false" customHeight="true" outlineLevel="0" collapsed="false">
      <c r="A809" s="121" t="str">
        <f aca="false">IF(B809="","",CONCATENATE(COUNTA($B$4:B809),"."))</f>
        <v/>
      </c>
      <c r="B809" s="112"/>
      <c r="C809" s="112"/>
      <c r="D809" s="81"/>
      <c r="E809" s="81"/>
      <c r="F809" s="81"/>
      <c r="G809" s="81"/>
      <c r="H809" s="81"/>
      <c r="I809" s="161"/>
      <c r="J809" s="154" t="str">
        <f aca="false">IF(H809="","",ROUNDUP(H809*35%,0))</f>
        <v/>
      </c>
      <c r="K809" s="113"/>
      <c r="L809" s="113"/>
    </row>
    <row r="810" customFormat="false" ht="12.75" hidden="false" customHeight="true" outlineLevel="0" collapsed="false">
      <c r="A810" s="121" t="str">
        <f aca="false">IF(B810="","",CONCATENATE(COUNTA($B$4:B810),"."))</f>
        <v/>
      </c>
      <c r="B810" s="112"/>
      <c r="C810" s="112"/>
      <c r="D810" s="81"/>
      <c r="E810" s="81"/>
      <c r="F810" s="81"/>
      <c r="G810" s="81"/>
      <c r="H810" s="81"/>
      <c r="I810" s="161"/>
      <c r="J810" s="154" t="str">
        <f aca="false">IF(H810="","",ROUNDUP(H810*35%,0))</f>
        <v/>
      </c>
      <c r="K810" s="113"/>
      <c r="L810" s="113"/>
    </row>
    <row r="811" customFormat="false" ht="12.75" hidden="false" customHeight="true" outlineLevel="0" collapsed="false">
      <c r="A811" s="121" t="str">
        <f aca="false">IF(B811="","",CONCATENATE(COUNTA($B$4:B811),"."))</f>
        <v/>
      </c>
      <c r="B811" s="112"/>
      <c r="C811" s="112"/>
      <c r="D811" s="81"/>
      <c r="E811" s="81"/>
      <c r="F811" s="81"/>
      <c r="G811" s="81"/>
      <c r="H811" s="81"/>
      <c r="I811" s="161"/>
      <c r="J811" s="154" t="str">
        <f aca="false">IF(H811="","",ROUNDUP(H811*35%,0))</f>
        <v/>
      </c>
      <c r="K811" s="113"/>
      <c r="L811" s="113"/>
    </row>
    <row r="812" customFormat="false" ht="12.75" hidden="false" customHeight="true" outlineLevel="0" collapsed="false">
      <c r="A812" s="121" t="str">
        <f aca="false">IF(B812="","",CONCATENATE(COUNTA($B$4:B812),"."))</f>
        <v/>
      </c>
      <c r="B812" s="112"/>
      <c r="C812" s="112"/>
      <c r="D812" s="81"/>
      <c r="E812" s="81"/>
      <c r="F812" s="81"/>
      <c r="G812" s="81"/>
      <c r="H812" s="81"/>
      <c r="I812" s="161"/>
      <c r="J812" s="154" t="str">
        <f aca="false">IF(H812="","",ROUNDUP(H812*35%,0))</f>
        <v/>
      </c>
      <c r="K812" s="113"/>
      <c r="L812" s="113"/>
    </row>
    <row r="813" customFormat="false" ht="12.75" hidden="false" customHeight="true" outlineLevel="0" collapsed="false">
      <c r="A813" s="121" t="str">
        <f aca="false">IF(B813="","",CONCATENATE(COUNTA($B$4:B813),"."))</f>
        <v/>
      </c>
      <c r="B813" s="112"/>
      <c r="C813" s="112"/>
      <c r="D813" s="81"/>
      <c r="E813" s="81"/>
      <c r="F813" s="81"/>
      <c r="G813" s="81"/>
      <c r="H813" s="81"/>
      <c r="I813" s="161"/>
      <c r="J813" s="154" t="str">
        <f aca="false">IF(H813="","",ROUNDUP(H813*35%,0))</f>
        <v/>
      </c>
      <c r="K813" s="113"/>
      <c r="L813" s="113"/>
    </row>
    <row r="814" customFormat="false" ht="12.75" hidden="false" customHeight="true" outlineLevel="0" collapsed="false">
      <c r="A814" s="121" t="str">
        <f aca="false">IF(B814="","",CONCATENATE(COUNTA($B$4:B814),"."))</f>
        <v/>
      </c>
      <c r="B814" s="112"/>
      <c r="C814" s="112"/>
      <c r="D814" s="81"/>
      <c r="E814" s="81"/>
      <c r="F814" s="81"/>
      <c r="G814" s="81"/>
      <c r="H814" s="81"/>
      <c r="I814" s="161"/>
      <c r="J814" s="154" t="str">
        <f aca="false">IF(H814="","",ROUNDUP(H814*35%,0))</f>
        <v/>
      </c>
      <c r="K814" s="113"/>
      <c r="L814" s="113"/>
    </row>
    <row r="815" customFormat="false" ht="12.75" hidden="false" customHeight="true" outlineLevel="0" collapsed="false">
      <c r="A815" s="121" t="str">
        <f aca="false">IF(B815="","",CONCATENATE(COUNTA($B$4:B815),"."))</f>
        <v/>
      </c>
      <c r="B815" s="112"/>
      <c r="C815" s="112"/>
      <c r="D815" s="81"/>
      <c r="E815" s="81"/>
      <c r="F815" s="81"/>
      <c r="G815" s="81"/>
      <c r="H815" s="81"/>
      <c r="I815" s="161"/>
      <c r="J815" s="154" t="str">
        <f aca="false">IF(H815="","",ROUNDUP(H815*35%,0))</f>
        <v/>
      </c>
      <c r="K815" s="113"/>
      <c r="L815" s="113"/>
    </row>
    <row r="816" customFormat="false" ht="12.75" hidden="false" customHeight="true" outlineLevel="0" collapsed="false">
      <c r="A816" s="121" t="str">
        <f aca="false">IF(B816="","",CONCATENATE(COUNTA($B$4:B816),"."))</f>
        <v/>
      </c>
      <c r="B816" s="112"/>
      <c r="C816" s="112"/>
      <c r="D816" s="81"/>
      <c r="E816" s="81"/>
      <c r="F816" s="81"/>
      <c r="G816" s="81"/>
      <c r="H816" s="81"/>
      <c r="I816" s="161"/>
      <c r="J816" s="154" t="str">
        <f aca="false">IF(H816="","",ROUNDUP(H816*35%,0))</f>
        <v/>
      </c>
      <c r="K816" s="113"/>
      <c r="L816" s="113"/>
    </row>
    <row r="817" customFormat="false" ht="12.75" hidden="false" customHeight="true" outlineLevel="0" collapsed="false">
      <c r="A817" s="121" t="str">
        <f aca="false">IF(B817="","",CONCATENATE(COUNTA($B$4:B817),"."))</f>
        <v/>
      </c>
      <c r="B817" s="112"/>
      <c r="C817" s="112"/>
      <c r="D817" s="81"/>
      <c r="E817" s="81"/>
      <c r="F817" s="81"/>
      <c r="G817" s="81"/>
      <c r="H817" s="81"/>
      <c r="I817" s="161"/>
      <c r="J817" s="154" t="str">
        <f aca="false">IF(H817="","",ROUNDUP(H817*35%,0))</f>
        <v/>
      </c>
      <c r="K817" s="113"/>
      <c r="L817" s="113"/>
    </row>
    <row r="818" customFormat="false" ht="12.75" hidden="false" customHeight="true" outlineLevel="0" collapsed="false">
      <c r="A818" s="121" t="str">
        <f aca="false">IF(B818="","",CONCATENATE(COUNTA($B$4:B818),"."))</f>
        <v/>
      </c>
      <c r="B818" s="112"/>
      <c r="C818" s="112"/>
      <c r="D818" s="81"/>
      <c r="E818" s="81"/>
      <c r="F818" s="81"/>
      <c r="G818" s="81"/>
      <c r="H818" s="81"/>
      <c r="I818" s="161"/>
      <c r="J818" s="154" t="str">
        <f aca="false">IF(H818="","",ROUNDUP(H818*35%,0))</f>
        <v/>
      </c>
      <c r="K818" s="113"/>
      <c r="L818" s="113"/>
    </row>
    <row r="819" customFormat="false" ht="12.75" hidden="false" customHeight="true" outlineLevel="0" collapsed="false">
      <c r="A819" s="121" t="str">
        <f aca="false">IF(B819="","",CONCATENATE(COUNTA($B$4:B819),"."))</f>
        <v/>
      </c>
      <c r="B819" s="112"/>
      <c r="C819" s="112"/>
      <c r="D819" s="81"/>
      <c r="E819" s="81"/>
      <c r="F819" s="81"/>
      <c r="G819" s="81"/>
      <c r="H819" s="81"/>
      <c r="I819" s="161"/>
      <c r="J819" s="154" t="str">
        <f aca="false">IF(H819="","",ROUNDUP(H819*35%,0))</f>
        <v/>
      </c>
      <c r="K819" s="113"/>
      <c r="L819" s="113"/>
    </row>
    <row r="820" customFormat="false" ht="12.75" hidden="false" customHeight="true" outlineLevel="0" collapsed="false">
      <c r="A820" s="121" t="str">
        <f aca="false">IF(B820="","",CONCATENATE(COUNTA($B$4:B820),"."))</f>
        <v/>
      </c>
      <c r="B820" s="112"/>
      <c r="C820" s="112"/>
      <c r="D820" s="81"/>
      <c r="E820" s="81"/>
      <c r="F820" s="81"/>
      <c r="G820" s="81"/>
      <c r="H820" s="81"/>
      <c r="I820" s="161"/>
      <c r="J820" s="154" t="str">
        <f aca="false">IF(H820="","",ROUNDUP(H820*35%,0))</f>
        <v/>
      </c>
      <c r="K820" s="113"/>
      <c r="L820" s="113"/>
    </row>
    <row r="821" customFormat="false" ht="12.75" hidden="false" customHeight="true" outlineLevel="0" collapsed="false">
      <c r="A821" s="121" t="str">
        <f aca="false">IF(B821="","",CONCATENATE(COUNTA($B$4:B821),"."))</f>
        <v/>
      </c>
      <c r="B821" s="112"/>
      <c r="C821" s="112"/>
      <c r="D821" s="81"/>
      <c r="E821" s="81"/>
      <c r="F821" s="81"/>
      <c r="G821" s="81"/>
      <c r="H821" s="81"/>
      <c r="I821" s="161"/>
      <c r="J821" s="154" t="str">
        <f aca="false">IF(H821="","",ROUNDUP(H821*35%,0))</f>
        <v/>
      </c>
      <c r="K821" s="113"/>
      <c r="L821" s="113"/>
    </row>
    <row r="822" customFormat="false" ht="12.75" hidden="false" customHeight="true" outlineLevel="0" collapsed="false">
      <c r="A822" s="121" t="str">
        <f aca="false">IF(B822="","",CONCATENATE(COUNTA($B$4:B822),"."))</f>
        <v/>
      </c>
      <c r="B822" s="112"/>
      <c r="C822" s="112"/>
      <c r="D822" s="81"/>
      <c r="E822" s="81"/>
      <c r="F822" s="81"/>
      <c r="G822" s="81"/>
      <c r="H822" s="81"/>
      <c r="I822" s="161"/>
      <c r="J822" s="154" t="str">
        <f aca="false">IF(H822="","",ROUNDUP(H822*35%,0))</f>
        <v/>
      </c>
      <c r="K822" s="113"/>
      <c r="L822" s="113"/>
    </row>
    <row r="823" customFormat="false" ht="12.75" hidden="false" customHeight="true" outlineLevel="0" collapsed="false">
      <c r="A823" s="121" t="str">
        <f aca="false">IF(B823="","",CONCATENATE(COUNTA($B$4:B823),"."))</f>
        <v/>
      </c>
      <c r="B823" s="112"/>
      <c r="C823" s="112"/>
      <c r="D823" s="81"/>
      <c r="E823" s="81"/>
      <c r="F823" s="81"/>
      <c r="G823" s="81"/>
      <c r="H823" s="81"/>
      <c r="I823" s="161"/>
      <c r="J823" s="154" t="str">
        <f aca="false">IF(H823="","",ROUNDUP(H823*35%,0))</f>
        <v/>
      </c>
      <c r="K823" s="113"/>
      <c r="L823" s="113"/>
    </row>
    <row r="824" customFormat="false" ht="12.75" hidden="false" customHeight="true" outlineLevel="0" collapsed="false">
      <c r="A824" s="121" t="str">
        <f aca="false">IF(B824="","",CONCATENATE(COUNTA($B$4:B824),"."))</f>
        <v/>
      </c>
      <c r="B824" s="112"/>
      <c r="C824" s="112"/>
      <c r="D824" s="81"/>
      <c r="E824" s="81"/>
      <c r="F824" s="81"/>
      <c r="G824" s="81"/>
      <c r="H824" s="81"/>
      <c r="I824" s="161"/>
      <c r="J824" s="154" t="str">
        <f aca="false">IF(H824="","",ROUNDUP(H824*35%,0))</f>
        <v/>
      </c>
      <c r="K824" s="113"/>
      <c r="L824" s="113"/>
    </row>
    <row r="825" customFormat="false" ht="12.75" hidden="false" customHeight="true" outlineLevel="0" collapsed="false">
      <c r="A825" s="121" t="str">
        <f aca="false">IF(B825="","",CONCATENATE(COUNTA($B$4:B825),"."))</f>
        <v/>
      </c>
      <c r="B825" s="112"/>
      <c r="C825" s="112"/>
      <c r="D825" s="81"/>
      <c r="E825" s="81"/>
      <c r="F825" s="81"/>
      <c r="G825" s="81"/>
      <c r="H825" s="81"/>
      <c r="I825" s="161"/>
      <c r="J825" s="154" t="str">
        <f aca="false">IF(H825="","",ROUNDUP(H825*35%,0))</f>
        <v/>
      </c>
      <c r="K825" s="113"/>
      <c r="L825" s="113"/>
    </row>
    <row r="826" customFormat="false" ht="12.75" hidden="false" customHeight="true" outlineLevel="0" collapsed="false">
      <c r="A826" s="121" t="str">
        <f aca="false">IF(B826="","",CONCATENATE(COUNTA($B$4:B826),"."))</f>
        <v/>
      </c>
      <c r="B826" s="112"/>
      <c r="C826" s="112"/>
      <c r="D826" s="81"/>
      <c r="E826" s="81"/>
      <c r="F826" s="81"/>
      <c r="G826" s="81"/>
      <c r="H826" s="81"/>
      <c r="I826" s="161"/>
      <c r="J826" s="154" t="str">
        <f aca="false">IF(H826="","",ROUNDUP(H826*35%,0))</f>
        <v/>
      </c>
      <c r="K826" s="113"/>
      <c r="L826" s="113"/>
    </row>
    <row r="827" customFormat="false" ht="12.75" hidden="false" customHeight="true" outlineLevel="0" collapsed="false">
      <c r="A827" s="121" t="str">
        <f aca="false">IF(B827="","",CONCATENATE(COUNTA($B$4:B827),"."))</f>
        <v/>
      </c>
      <c r="B827" s="112"/>
      <c r="C827" s="112"/>
      <c r="D827" s="81"/>
      <c r="E827" s="81"/>
      <c r="F827" s="81"/>
      <c r="G827" s="81"/>
      <c r="H827" s="81"/>
      <c r="I827" s="161"/>
      <c r="J827" s="154" t="str">
        <f aca="false">IF(H827="","",ROUNDUP(H827*35%,0))</f>
        <v/>
      </c>
      <c r="K827" s="113"/>
      <c r="L827" s="113"/>
    </row>
    <row r="828" customFormat="false" ht="12.75" hidden="false" customHeight="true" outlineLevel="0" collapsed="false">
      <c r="A828" s="121" t="str">
        <f aca="false">IF(B828="","",CONCATENATE(COUNTA($B$4:B828),"."))</f>
        <v/>
      </c>
      <c r="B828" s="112"/>
      <c r="C828" s="112"/>
      <c r="D828" s="81"/>
      <c r="E828" s="81"/>
      <c r="F828" s="81"/>
      <c r="G828" s="81"/>
      <c r="H828" s="81"/>
      <c r="I828" s="161"/>
      <c r="J828" s="154" t="str">
        <f aca="false">IF(H828="","",ROUNDUP(H828*35%,0))</f>
        <v/>
      </c>
      <c r="K828" s="113"/>
      <c r="L828" s="113"/>
    </row>
    <row r="829" customFormat="false" ht="12.75" hidden="false" customHeight="true" outlineLevel="0" collapsed="false">
      <c r="A829" s="121" t="str">
        <f aca="false">IF(B829="","",CONCATENATE(COUNTA($B$4:B829),"."))</f>
        <v/>
      </c>
      <c r="B829" s="112"/>
      <c r="C829" s="112"/>
      <c r="D829" s="81"/>
      <c r="E829" s="81"/>
      <c r="F829" s="81"/>
      <c r="G829" s="81"/>
      <c r="H829" s="81"/>
      <c r="I829" s="161"/>
      <c r="J829" s="154" t="str">
        <f aca="false">IF(H829="","",ROUNDUP(H829*35%,0))</f>
        <v/>
      </c>
      <c r="K829" s="113"/>
      <c r="L829" s="113"/>
    </row>
    <row r="830" customFormat="false" ht="12.75" hidden="false" customHeight="true" outlineLevel="0" collapsed="false">
      <c r="A830" s="121" t="str">
        <f aca="false">IF(B830="","",CONCATENATE(COUNTA($B$4:B830),"."))</f>
        <v/>
      </c>
      <c r="B830" s="112"/>
      <c r="C830" s="112"/>
      <c r="D830" s="81"/>
      <c r="E830" s="81"/>
      <c r="F830" s="81"/>
      <c r="G830" s="81"/>
      <c r="H830" s="81"/>
      <c r="I830" s="161"/>
      <c r="J830" s="154" t="str">
        <f aca="false">IF(H830="","",ROUNDUP(H830*35%,0))</f>
        <v/>
      </c>
      <c r="K830" s="113"/>
      <c r="L830" s="113"/>
    </row>
    <row r="831" customFormat="false" ht="12.75" hidden="false" customHeight="true" outlineLevel="0" collapsed="false">
      <c r="A831" s="121" t="str">
        <f aca="false">IF(B831="","",CONCATENATE(COUNTA($B$4:B831),"."))</f>
        <v/>
      </c>
      <c r="B831" s="112"/>
      <c r="C831" s="112"/>
      <c r="D831" s="81"/>
      <c r="E831" s="81"/>
      <c r="F831" s="81"/>
      <c r="G831" s="81"/>
      <c r="H831" s="81"/>
      <c r="I831" s="161"/>
      <c r="J831" s="154" t="str">
        <f aca="false">IF(H831="","",ROUNDUP(H831*35%,0))</f>
        <v/>
      </c>
      <c r="K831" s="113"/>
      <c r="L831" s="113"/>
    </row>
    <row r="832" customFormat="false" ht="12.75" hidden="false" customHeight="true" outlineLevel="0" collapsed="false">
      <c r="A832" s="121" t="str">
        <f aca="false">IF(B832="","",CONCATENATE(COUNTA($B$4:B832),"."))</f>
        <v/>
      </c>
      <c r="B832" s="112"/>
      <c r="C832" s="112"/>
      <c r="D832" s="81"/>
      <c r="E832" s="81"/>
      <c r="F832" s="81"/>
      <c r="G832" s="81"/>
      <c r="H832" s="81"/>
      <c r="I832" s="161"/>
      <c r="J832" s="154" t="str">
        <f aca="false">IF(H832="","",ROUNDUP(H832*35%,0))</f>
        <v/>
      </c>
      <c r="K832" s="113"/>
      <c r="L832" s="113"/>
    </row>
    <row r="833" customFormat="false" ht="12.75" hidden="false" customHeight="true" outlineLevel="0" collapsed="false">
      <c r="A833" s="121" t="str">
        <f aca="false">IF(B833="","",CONCATENATE(COUNTA($B$4:B833),"."))</f>
        <v/>
      </c>
      <c r="B833" s="112"/>
      <c r="C833" s="112"/>
      <c r="D833" s="81"/>
      <c r="E833" s="81"/>
      <c r="F833" s="81"/>
      <c r="G833" s="81"/>
      <c r="H833" s="81"/>
      <c r="I833" s="161"/>
      <c r="J833" s="154" t="str">
        <f aca="false">IF(H833="","",ROUNDUP(H833*35%,0))</f>
        <v/>
      </c>
      <c r="K833" s="113"/>
      <c r="L833" s="113"/>
    </row>
    <row r="834" customFormat="false" ht="12.75" hidden="false" customHeight="true" outlineLevel="0" collapsed="false">
      <c r="A834" s="121" t="str">
        <f aca="false">IF(B834="","",CONCATENATE(COUNTA($B$4:B834),"."))</f>
        <v/>
      </c>
      <c r="B834" s="112"/>
      <c r="C834" s="112"/>
      <c r="D834" s="81"/>
      <c r="E834" s="81"/>
      <c r="F834" s="81"/>
      <c r="G834" s="81"/>
      <c r="H834" s="81"/>
      <c r="I834" s="161"/>
      <c r="J834" s="154" t="str">
        <f aca="false">IF(H834="","",ROUNDUP(H834*35%,0))</f>
        <v/>
      </c>
      <c r="K834" s="113"/>
      <c r="L834" s="113"/>
    </row>
    <row r="835" customFormat="false" ht="12.75" hidden="false" customHeight="true" outlineLevel="0" collapsed="false">
      <c r="A835" s="121" t="str">
        <f aca="false">IF(B835="","",CONCATENATE(COUNTA($B$4:B835),"."))</f>
        <v/>
      </c>
      <c r="B835" s="112"/>
      <c r="C835" s="112"/>
      <c r="D835" s="81"/>
      <c r="E835" s="81"/>
      <c r="F835" s="81"/>
      <c r="G835" s="81"/>
      <c r="H835" s="81"/>
      <c r="I835" s="161"/>
      <c r="J835" s="154" t="str">
        <f aca="false">IF(H835="","",ROUNDUP(H835*35%,0))</f>
        <v/>
      </c>
      <c r="K835" s="113"/>
      <c r="L835" s="113"/>
    </row>
    <row r="836" customFormat="false" ht="12.75" hidden="false" customHeight="true" outlineLevel="0" collapsed="false">
      <c r="A836" s="121" t="str">
        <f aca="false">IF(B836="","",CONCATENATE(COUNTA($B$4:B836),"."))</f>
        <v/>
      </c>
      <c r="B836" s="112"/>
      <c r="C836" s="112"/>
      <c r="D836" s="81"/>
      <c r="E836" s="81"/>
      <c r="F836" s="81"/>
      <c r="G836" s="81"/>
      <c r="H836" s="81"/>
      <c r="I836" s="161"/>
      <c r="J836" s="154" t="str">
        <f aca="false">IF(H836="","",ROUNDUP(H836*35%,0))</f>
        <v/>
      </c>
      <c r="K836" s="113"/>
      <c r="L836" s="113"/>
    </row>
    <row r="837" customFormat="false" ht="12.75" hidden="false" customHeight="true" outlineLevel="0" collapsed="false">
      <c r="A837" s="121" t="str">
        <f aca="false">IF(B837="","",CONCATENATE(COUNTA($B$4:B837),"."))</f>
        <v/>
      </c>
      <c r="B837" s="112"/>
      <c r="C837" s="112"/>
      <c r="D837" s="81"/>
      <c r="E837" s="81"/>
      <c r="F837" s="81"/>
      <c r="G837" s="81"/>
      <c r="H837" s="81"/>
      <c r="I837" s="161"/>
      <c r="J837" s="154" t="str">
        <f aca="false">IF(H837="","",ROUNDUP(H837*35%,0))</f>
        <v/>
      </c>
      <c r="K837" s="113"/>
      <c r="L837" s="113"/>
    </row>
    <row r="838" customFormat="false" ht="12.75" hidden="false" customHeight="true" outlineLevel="0" collapsed="false">
      <c r="A838" s="121" t="str">
        <f aca="false">IF(B838="","",CONCATENATE(COUNTA($B$4:B838),"."))</f>
        <v/>
      </c>
      <c r="B838" s="112"/>
      <c r="C838" s="112"/>
      <c r="D838" s="81"/>
      <c r="E838" s="81"/>
      <c r="F838" s="81"/>
      <c r="G838" s="81"/>
      <c r="H838" s="81"/>
      <c r="I838" s="161"/>
      <c r="J838" s="154" t="str">
        <f aca="false">IF(H838="","",ROUNDUP(H838*35%,0))</f>
        <v/>
      </c>
      <c r="K838" s="113"/>
      <c r="L838" s="113"/>
    </row>
    <row r="839" customFormat="false" ht="12.75" hidden="false" customHeight="true" outlineLevel="0" collapsed="false">
      <c r="A839" s="121" t="str">
        <f aca="false">IF(B839="","",CONCATENATE(COUNTA($B$4:B839),"."))</f>
        <v/>
      </c>
      <c r="B839" s="112"/>
      <c r="C839" s="112"/>
      <c r="D839" s="81"/>
      <c r="E839" s="81"/>
      <c r="F839" s="81"/>
      <c r="G839" s="81"/>
      <c r="H839" s="81"/>
      <c r="I839" s="161"/>
      <c r="J839" s="154" t="str">
        <f aca="false">IF(H839="","",ROUNDUP(H839*35%,0))</f>
        <v/>
      </c>
      <c r="K839" s="113"/>
      <c r="L839" s="113"/>
    </row>
    <row r="840" customFormat="false" ht="12.75" hidden="false" customHeight="true" outlineLevel="0" collapsed="false">
      <c r="A840" s="121" t="str">
        <f aca="false">IF(B840="","",CONCATENATE(COUNTA($B$4:B840),"."))</f>
        <v/>
      </c>
      <c r="B840" s="112"/>
      <c r="C840" s="112"/>
      <c r="D840" s="81"/>
      <c r="E840" s="81"/>
      <c r="F840" s="81"/>
      <c r="G840" s="81"/>
      <c r="H840" s="81"/>
      <c r="I840" s="161"/>
      <c r="J840" s="154" t="str">
        <f aca="false">IF(H840="","",ROUNDUP(H840*35%,0))</f>
        <v/>
      </c>
      <c r="K840" s="113"/>
      <c r="L840" s="113"/>
    </row>
    <row r="841" customFormat="false" ht="12.75" hidden="false" customHeight="true" outlineLevel="0" collapsed="false">
      <c r="A841" s="121" t="str">
        <f aca="false">IF(B841="","",CONCATENATE(COUNTA($B$4:B841),"."))</f>
        <v/>
      </c>
      <c r="B841" s="112"/>
      <c r="C841" s="112"/>
      <c r="D841" s="81"/>
      <c r="E841" s="81"/>
      <c r="F841" s="81"/>
      <c r="G841" s="81"/>
      <c r="H841" s="81"/>
      <c r="I841" s="161"/>
      <c r="J841" s="154" t="str">
        <f aca="false">IF(H841="","",ROUNDUP(H841*35%,0))</f>
        <v/>
      </c>
      <c r="K841" s="113"/>
      <c r="L841" s="113"/>
    </row>
    <row r="842" customFormat="false" ht="12.75" hidden="false" customHeight="true" outlineLevel="0" collapsed="false">
      <c r="A842" s="121" t="str">
        <f aca="false">IF(B842="","",CONCATENATE(COUNTA($B$4:B842),"."))</f>
        <v/>
      </c>
      <c r="B842" s="112"/>
      <c r="C842" s="112"/>
      <c r="D842" s="81"/>
      <c r="E842" s="81"/>
      <c r="F842" s="81"/>
      <c r="G842" s="81"/>
      <c r="H842" s="81"/>
      <c r="I842" s="161"/>
      <c r="J842" s="154" t="str">
        <f aca="false">IF(H842="","",ROUNDUP(H842*35%,0))</f>
        <v/>
      </c>
      <c r="K842" s="113"/>
      <c r="L842" s="113"/>
    </row>
    <row r="843" customFormat="false" ht="12.75" hidden="false" customHeight="true" outlineLevel="0" collapsed="false">
      <c r="A843" s="121" t="str">
        <f aca="false">IF(B843="","",CONCATENATE(COUNTA($B$4:B843),"."))</f>
        <v/>
      </c>
      <c r="B843" s="112"/>
      <c r="C843" s="112"/>
      <c r="D843" s="81"/>
      <c r="E843" s="81"/>
      <c r="F843" s="81"/>
      <c r="G843" s="81"/>
      <c r="H843" s="81"/>
      <c r="I843" s="161"/>
      <c r="J843" s="154" t="str">
        <f aca="false">IF(H843="","",ROUNDUP(H843*35%,0))</f>
        <v/>
      </c>
      <c r="K843" s="113"/>
      <c r="L843" s="113"/>
    </row>
    <row r="844" customFormat="false" ht="12.75" hidden="false" customHeight="true" outlineLevel="0" collapsed="false">
      <c r="A844" s="121" t="str">
        <f aca="false">IF(B844="","",CONCATENATE(COUNTA($B$4:B844),"."))</f>
        <v/>
      </c>
      <c r="B844" s="112"/>
      <c r="C844" s="112"/>
      <c r="D844" s="81"/>
      <c r="E844" s="81"/>
      <c r="F844" s="81"/>
      <c r="G844" s="81"/>
      <c r="H844" s="81"/>
      <c r="I844" s="161"/>
      <c r="J844" s="154" t="str">
        <f aca="false">IF(H844="","",ROUNDUP(H844*35%,0))</f>
        <v/>
      </c>
      <c r="K844" s="113"/>
      <c r="L844" s="113"/>
    </row>
    <row r="845" customFormat="false" ht="12.75" hidden="false" customHeight="true" outlineLevel="0" collapsed="false">
      <c r="A845" s="121" t="str">
        <f aca="false">IF(B845="","",CONCATENATE(COUNTA($B$4:B845),"."))</f>
        <v/>
      </c>
      <c r="B845" s="112"/>
      <c r="C845" s="112"/>
      <c r="D845" s="81"/>
      <c r="E845" s="81"/>
      <c r="F845" s="81"/>
      <c r="G845" s="81"/>
      <c r="H845" s="81"/>
      <c r="I845" s="161"/>
      <c r="J845" s="154" t="str">
        <f aca="false">IF(H845="","",ROUNDUP(H845*35%,0))</f>
        <v/>
      </c>
      <c r="K845" s="113"/>
      <c r="L845" s="113"/>
    </row>
    <row r="846" customFormat="false" ht="12.75" hidden="false" customHeight="true" outlineLevel="0" collapsed="false">
      <c r="A846" s="121" t="str">
        <f aca="false">IF(B846="","",CONCATENATE(COUNTA($B$4:B846),"."))</f>
        <v/>
      </c>
      <c r="B846" s="112"/>
      <c r="C846" s="112"/>
      <c r="D846" s="81"/>
      <c r="E846" s="81"/>
      <c r="F846" s="81"/>
      <c r="G846" s="81"/>
      <c r="H846" s="81"/>
      <c r="I846" s="161"/>
      <c r="J846" s="154" t="str">
        <f aca="false">IF(H846="","",ROUNDUP(H846*35%,0))</f>
        <v/>
      </c>
      <c r="K846" s="113"/>
      <c r="L846" s="113"/>
    </row>
    <row r="847" customFormat="false" ht="12.75" hidden="false" customHeight="true" outlineLevel="0" collapsed="false">
      <c r="A847" s="121" t="str">
        <f aca="false">IF(B847="","",CONCATENATE(COUNTA($B$4:B847),"."))</f>
        <v/>
      </c>
      <c r="B847" s="112"/>
      <c r="C847" s="112"/>
      <c r="D847" s="81"/>
      <c r="E847" s="81"/>
      <c r="F847" s="81"/>
      <c r="G847" s="81"/>
      <c r="H847" s="81"/>
      <c r="I847" s="161"/>
      <c r="J847" s="154" t="str">
        <f aca="false">IF(H847="","",ROUNDUP(H847*35%,0))</f>
        <v/>
      </c>
      <c r="K847" s="113"/>
      <c r="L847" s="113"/>
    </row>
    <row r="848" customFormat="false" ht="12.75" hidden="false" customHeight="true" outlineLevel="0" collapsed="false">
      <c r="A848" s="121" t="str">
        <f aca="false">IF(B848="","",CONCATENATE(COUNTA($B$4:B848),"."))</f>
        <v/>
      </c>
      <c r="B848" s="112"/>
      <c r="C848" s="112"/>
      <c r="D848" s="81"/>
      <c r="E848" s="81"/>
      <c r="F848" s="81"/>
      <c r="G848" s="81"/>
      <c r="H848" s="81"/>
      <c r="I848" s="161"/>
      <c r="J848" s="154" t="str">
        <f aca="false">IF(H848="","",ROUNDUP(H848*35%,0))</f>
        <v/>
      </c>
      <c r="K848" s="113"/>
      <c r="L848" s="113"/>
    </row>
    <row r="849" customFormat="false" ht="12.75" hidden="false" customHeight="true" outlineLevel="0" collapsed="false">
      <c r="A849" s="121" t="str">
        <f aca="false">IF(B849="","",CONCATENATE(COUNTA($B$4:B849),"."))</f>
        <v/>
      </c>
      <c r="B849" s="112"/>
      <c r="C849" s="112"/>
      <c r="D849" s="81"/>
      <c r="E849" s="81"/>
      <c r="F849" s="81"/>
      <c r="G849" s="81"/>
      <c r="H849" s="81"/>
      <c r="I849" s="161"/>
      <c r="J849" s="154" t="str">
        <f aca="false">IF(H849="","",ROUNDUP(H849*35%,0))</f>
        <v/>
      </c>
      <c r="K849" s="113"/>
      <c r="L849" s="113"/>
    </row>
    <row r="850" customFormat="false" ht="12.75" hidden="false" customHeight="true" outlineLevel="0" collapsed="false">
      <c r="A850" s="121" t="str">
        <f aca="false">IF(B850="","",CONCATENATE(COUNTA($B$4:B850),"."))</f>
        <v/>
      </c>
      <c r="B850" s="112"/>
      <c r="C850" s="112"/>
      <c r="D850" s="81"/>
      <c r="E850" s="81"/>
      <c r="F850" s="81"/>
      <c r="G850" s="81"/>
      <c r="H850" s="81"/>
      <c r="I850" s="161"/>
      <c r="J850" s="154" t="str">
        <f aca="false">IF(H850="","",ROUNDUP(H850*35%,0))</f>
        <v/>
      </c>
      <c r="K850" s="113"/>
      <c r="L850" s="113"/>
    </row>
    <row r="851" customFormat="false" ht="12.75" hidden="false" customHeight="true" outlineLevel="0" collapsed="false">
      <c r="A851" s="121" t="str">
        <f aca="false">IF(B851="","",CONCATENATE(COUNTA($B$4:B851),"."))</f>
        <v/>
      </c>
      <c r="B851" s="112"/>
      <c r="C851" s="112"/>
      <c r="D851" s="81"/>
      <c r="E851" s="81"/>
      <c r="F851" s="81"/>
      <c r="G851" s="81"/>
      <c r="H851" s="81"/>
      <c r="I851" s="161"/>
      <c r="J851" s="154" t="str">
        <f aca="false">IF(H851="","",ROUNDUP(H851*35%,0))</f>
        <v/>
      </c>
      <c r="K851" s="113"/>
      <c r="L851" s="113"/>
    </row>
    <row r="852" customFormat="false" ht="12.75" hidden="false" customHeight="true" outlineLevel="0" collapsed="false">
      <c r="A852" s="121" t="str">
        <f aca="false">IF(B852="","",CONCATENATE(COUNTA($B$4:B852),"."))</f>
        <v/>
      </c>
      <c r="B852" s="112"/>
      <c r="C852" s="112"/>
      <c r="D852" s="81"/>
      <c r="E852" s="81"/>
      <c r="F852" s="81"/>
      <c r="G852" s="81"/>
      <c r="H852" s="81"/>
      <c r="I852" s="161"/>
      <c r="J852" s="154" t="str">
        <f aca="false">IF(H852="","",ROUNDUP(H852*35%,0))</f>
        <v/>
      </c>
      <c r="K852" s="113"/>
      <c r="L852" s="113"/>
    </row>
    <row r="853" customFormat="false" ht="12.75" hidden="false" customHeight="true" outlineLevel="0" collapsed="false">
      <c r="A853" s="121" t="str">
        <f aca="false">IF(B853="","",CONCATENATE(COUNTA($B$4:B853),"."))</f>
        <v/>
      </c>
      <c r="B853" s="112"/>
      <c r="C853" s="112"/>
      <c r="D853" s="81"/>
      <c r="E853" s="81"/>
      <c r="F853" s="81"/>
      <c r="G853" s="81"/>
      <c r="H853" s="81"/>
      <c r="I853" s="161"/>
      <c r="J853" s="154" t="str">
        <f aca="false">IF(H853="","",ROUNDUP(H853*35%,0))</f>
        <v/>
      </c>
      <c r="K853" s="113"/>
      <c r="L853" s="113"/>
    </row>
    <row r="854" customFormat="false" ht="12.75" hidden="false" customHeight="true" outlineLevel="0" collapsed="false">
      <c r="A854" s="121" t="str">
        <f aca="false">IF(B854="","",CONCATENATE(COUNTA($B$4:B854),"."))</f>
        <v/>
      </c>
      <c r="B854" s="112"/>
      <c r="C854" s="112"/>
      <c r="D854" s="81"/>
      <c r="E854" s="81"/>
      <c r="F854" s="81"/>
      <c r="G854" s="81"/>
      <c r="H854" s="81"/>
      <c r="I854" s="161"/>
      <c r="J854" s="154" t="str">
        <f aca="false">IF(H854="","",ROUNDUP(H854*35%,0))</f>
        <v/>
      </c>
      <c r="K854" s="113"/>
      <c r="L854" s="113"/>
    </row>
    <row r="855" customFormat="false" ht="12.75" hidden="false" customHeight="true" outlineLevel="0" collapsed="false">
      <c r="A855" s="121" t="str">
        <f aca="false">IF(B855="","",CONCATENATE(COUNTA($B$4:B855),"."))</f>
        <v/>
      </c>
      <c r="B855" s="112"/>
      <c r="C855" s="112"/>
      <c r="D855" s="81"/>
      <c r="E855" s="81"/>
      <c r="F855" s="81"/>
      <c r="G855" s="81"/>
      <c r="H855" s="81"/>
      <c r="I855" s="161"/>
      <c r="J855" s="154" t="str">
        <f aca="false">IF(H855="","",ROUNDUP(H855*35%,0))</f>
        <v/>
      </c>
      <c r="K855" s="113"/>
      <c r="L855" s="113"/>
    </row>
    <row r="856" customFormat="false" ht="12.75" hidden="false" customHeight="true" outlineLevel="0" collapsed="false">
      <c r="A856" s="121" t="str">
        <f aca="false">IF(B856="","",CONCATENATE(COUNTA($B$4:B856),"."))</f>
        <v/>
      </c>
      <c r="B856" s="112"/>
      <c r="C856" s="112"/>
      <c r="D856" s="81"/>
      <c r="E856" s="81"/>
      <c r="F856" s="81"/>
      <c r="G856" s="81"/>
      <c r="H856" s="81"/>
      <c r="I856" s="161"/>
      <c r="J856" s="154" t="str">
        <f aca="false">IF(H856="","",ROUNDUP(H856*35%,0))</f>
        <v/>
      </c>
      <c r="K856" s="113"/>
      <c r="L856" s="113"/>
    </row>
    <row r="857" customFormat="false" ht="12.75" hidden="false" customHeight="true" outlineLevel="0" collapsed="false">
      <c r="A857" s="121" t="str">
        <f aca="false">IF(B857="","",CONCATENATE(COUNTA($B$4:B857),"."))</f>
        <v/>
      </c>
      <c r="B857" s="112"/>
      <c r="C857" s="112"/>
      <c r="D857" s="81"/>
      <c r="E857" s="81"/>
      <c r="F857" s="81"/>
      <c r="G857" s="81"/>
      <c r="H857" s="81"/>
      <c r="I857" s="161"/>
      <c r="J857" s="154" t="str">
        <f aca="false">IF(H857="","",ROUNDUP(H857*35%,0))</f>
        <v/>
      </c>
      <c r="K857" s="113"/>
      <c r="L857" s="113"/>
    </row>
    <row r="858" customFormat="false" ht="12.75" hidden="false" customHeight="true" outlineLevel="0" collapsed="false">
      <c r="A858" s="121" t="str">
        <f aca="false">IF(B858="","",CONCATENATE(COUNTA($B$4:B858),"."))</f>
        <v/>
      </c>
      <c r="B858" s="112"/>
      <c r="C858" s="112"/>
      <c r="D858" s="81"/>
      <c r="E858" s="81"/>
      <c r="F858" s="81"/>
      <c r="G858" s="81"/>
      <c r="H858" s="81"/>
      <c r="I858" s="161"/>
      <c r="J858" s="154" t="str">
        <f aca="false">IF(H858="","",ROUNDUP(H858*35%,0))</f>
        <v/>
      </c>
      <c r="K858" s="113"/>
      <c r="L858" s="113"/>
    </row>
    <row r="859" customFormat="false" ht="12.75" hidden="false" customHeight="true" outlineLevel="0" collapsed="false">
      <c r="A859" s="121" t="str">
        <f aca="false">IF(B859="","",CONCATENATE(COUNTA($B$4:B859),"."))</f>
        <v/>
      </c>
      <c r="B859" s="112"/>
      <c r="C859" s="112"/>
      <c r="D859" s="81"/>
      <c r="E859" s="81"/>
      <c r="F859" s="81"/>
      <c r="G859" s="81"/>
      <c r="H859" s="81"/>
      <c r="I859" s="161"/>
      <c r="J859" s="154" t="str">
        <f aca="false">IF(H859="","",ROUNDUP(H859*35%,0))</f>
        <v/>
      </c>
      <c r="K859" s="113"/>
      <c r="L859" s="113"/>
    </row>
    <row r="860" customFormat="false" ht="12.75" hidden="false" customHeight="true" outlineLevel="0" collapsed="false">
      <c r="A860" s="121" t="str">
        <f aca="false">IF(B860="","",CONCATENATE(COUNTA($B$4:B860),"."))</f>
        <v/>
      </c>
      <c r="B860" s="112"/>
      <c r="C860" s="112"/>
      <c r="D860" s="81"/>
      <c r="E860" s="81"/>
      <c r="F860" s="81"/>
      <c r="G860" s="81"/>
      <c r="H860" s="81"/>
      <c r="I860" s="161"/>
      <c r="J860" s="154" t="str">
        <f aca="false">IF(H860="","",ROUNDUP(H860*35%,0))</f>
        <v/>
      </c>
      <c r="K860" s="113"/>
      <c r="L860" s="113"/>
    </row>
    <row r="861" customFormat="false" ht="12.75" hidden="false" customHeight="true" outlineLevel="0" collapsed="false">
      <c r="A861" s="121" t="str">
        <f aca="false">IF(B861="","",CONCATENATE(COUNTA($B$4:B861),"."))</f>
        <v/>
      </c>
      <c r="B861" s="112"/>
      <c r="C861" s="112"/>
      <c r="D861" s="81"/>
      <c r="E861" s="81"/>
      <c r="F861" s="81"/>
      <c r="G861" s="81"/>
      <c r="H861" s="81"/>
      <c r="I861" s="161"/>
      <c r="J861" s="154" t="str">
        <f aca="false">IF(H861="","",ROUNDUP(H861*35%,0))</f>
        <v/>
      </c>
      <c r="K861" s="113"/>
      <c r="L861" s="113"/>
    </row>
    <row r="862" customFormat="false" ht="12.75" hidden="false" customHeight="true" outlineLevel="0" collapsed="false">
      <c r="A862" s="121" t="str">
        <f aca="false">IF(B862="","",CONCATENATE(COUNTA($B$4:B862),"."))</f>
        <v/>
      </c>
      <c r="B862" s="112"/>
      <c r="C862" s="112"/>
      <c r="D862" s="81"/>
      <c r="E862" s="81"/>
      <c r="F862" s="81"/>
      <c r="G862" s="81"/>
      <c r="H862" s="81"/>
      <c r="I862" s="161"/>
      <c r="J862" s="154" t="str">
        <f aca="false">IF(H862="","",ROUNDUP(H862*35%,0))</f>
        <v/>
      </c>
      <c r="K862" s="113"/>
      <c r="L862" s="113"/>
    </row>
    <row r="863" customFormat="false" ht="12.75" hidden="false" customHeight="true" outlineLevel="0" collapsed="false">
      <c r="A863" s="121" t="str">
        <f aca="false">IF(B863="","",CONCATENATE(COUNTA($B$4:B863),"."))</f>
        <v/>
      </c>
      <c r="B863" s="112"/>
      <c r="C863" s="112"/>
      <c r="D863" s="81"/>
      <c r="E863" s="81"/>
      <c r="F863" s="81"/>
      <c r="G863" s="81"/>
      <c r="H863" s="81"/>
      <c r="I863" s="161"/>
      <c r="J863" s="154" t="str">
        <f aca="false">IF(H863="","",ROUNDUP(H863*35%,0))</f>
        <v/>
      </c>
      <c r="K863" s="113"/>
      <c r="L863" s="113"/>
    </row>
    <row r="864" customFormat="false" ht="12.75" hidden="false" customHeight="true" outlineLevel="0" collapsed="false">
      <c r="A864" s="121" t="str">
        <f aca="false">IF(B864="","",CONCATENATE(COUNTA($B$4:B864),"."))</f>
        <v/>
      </c>
      <c r="B864" s="112"/>
      <c r="C864" s="112"/>
      <c r="D864" s="81"/>
      <c r="E864" s="81"/>
      <c r="F864" s="81"/>
      <c r="G864" s="81"/>
      <c r="H864" s="81"/>
      <c r="I864" s="161"/>
      <c r="J864" s="154" t="str">
        <f aca="false">IF(H864="","",ROUNDUP(H864*35%,0))</f>
        <v/>
      </c>
      <c r="K864" s="113"/>
      <c r="L864" s="113"/>
    </row>
    <row r="865" customFormat="false" ht="12.75" hidden="false" customHeight="true" outlineLevel="0" collapsed="false">
      <c r="A865" s="121" t="str">
        <f aca="false">IF(B865="","",CONCATENATE(COUNTA($B$4:B865),"."))</f>
        <v/>
      </c>
      <c r="B865" s="112"/>
      <c r="C865" s="112"/>
      <c r="D865" s="81"/>
      <c r="E865" s="81"/>
      <c r="F865" s="81"/>
      <c r="G865" s="81"/>
      <c r="H865" s="81"/>
      <c r="I865" s="161"/>
      <c r="J865" s="154" t="str">
        <f aca="false">IF(H865="","",ROUNDUP(H865*35%,0))</f>
        <v/>
      </c>
      <c r="K865" s="113"/>
      <c r="L865" s="113"/>
    </row>
    <row r="866" customFormat="false" ht="12.75" hidden="false" customHeight="true" outlineLevel="0" collapsed="false">
      <c r="A866" s="121" t="str">
        <f aca="false">IF(B866="","",CONCATENATE(COUNTA($B$4:B866),"."))</f>
        <v/>
      </c>
      <c r="B866" s="112"/>
      <c r="C866" s="112"/>
      <c r="D866" s="81"/>
      <c r="E866" s="81"/>
      <c r="F866" s="81"/>
      <c r="G866" s="81"/>
      <c r="H866" s="81"/>
      <c r="I866" s="161"/>
      <c r="J866" s="154" t="str">
        <f aca="false">IF(H866="","",ROUNDUP(H866*35%,0))</f>
        <v/>
      </c>
      <c r="K866" s="113"/>
      <c r="L866" s="113"/>
    </row>
    <row r="867" customFormat="false" ht="12.75" hidden="false" customHeight="true" outlineLevel="0" collapsed="false">
      <c r="A867" s="121" t="str">
        <f aca="false">IF(B867="","",CONCATENATE(COUNTA($B$4:B867),"."))</f>
        <v/>
      </c>
      <c r="B867" s="112"/>
      <c r="C867" s="112"/>
      <c r="D867" s="81"/>
      <c r="E867" s="81"/>
      <c r="F867" s="81"/>
      <c r="G867" s="81"/>
      <c r="H867" s="81"/>
      <c r="I867" s="161"/>
      <c r="J867" s="154" t="str">
        <f aca="false">IF(H867="","",ROUNDUP(H867*35%,0))</f>
        <v/>
      </c>
      <c r="K867" s="113"/>
      <c r="L867" s="113"/>
    </row>
    <row r="868" customFormat="false" ht="12.75" hidden="false" customHeight="true" outlineLevel="0" collapsed="false">
      <c r="A868" s="121" t="str">
        <f aca="false">IF(B868="","",CONCATENATE(COUNTA($B$4:B868),"."))</f>
        <v/>
      </c>
      <c r="B868" s="112"/>
      <c r="C868" s="112"/>
      <c r="D868" s="81"/>
      <c r="E868" s="81"/>
      <c r="F868" s="81"/>
      <c r="G868" s="81"/>
      <c r="H868" s="81"/>
      <c r="I868" s="161"/>
      <c r="J868" s="154" t="str">
        <f aca="false">IF(H868="","",ROUNDUP(H868*35%,0))</f>
        <v/>
      </c>
      <c r="K868" s="113"/>
      <c r="L868" s="113"/>
    </row>
    <row r="869" customFormat="false" ht="12.75" hidden="false" customHeight="true" outlineLevel="0" collapsed="false">
      <c r="A869" s="121" t="str">
        <f aca="false">IF(B869="","",CONCATENATE(COUNTA($B$4:B869),"."))</f>
        <v/>
      </c>
      <c r="B869" s="112"/>
      <c r="C869" s="112"/>
      <c r="D869" s="81"/>
      <c r="E869" s="81"/>
      <c r="F869" s="81"/>
      <c r="G869" s="81"/>
      <c r="H869" s="81"/>
      <c r="I869" s="161"/>
      <c r="J869" s="154" t="str">
        <f aca="false">IF(H869="","",ROUNDUP(H869*35%,0))</f>
        <v/>
      </c>
      <c r="K869" s="113"/>
      <c r="L869" s="113"/>
    </row>
    <row r="870" customFormat="false" ht="12.75" hidden="false" customHeight="true" outlineLevel="0" collapsed="false">
      <c r="A870" s="121" t="str">
        <f aca="false">IF(B870="","",CONCATENATE(COUNTA($B$4:B870),"."))</f>
        <v/>
      </c>
      <c r="B870" s="112"/>
      <c r="C870" s="112"/>
      <c r="D870" s="81"/>
      <c r="E870" s="81"/>
      <c r="F870" s="81"/>
      <c r="G870" s="81"/>
      <c r="H870" s="81"/>
      <c r="I870" s="161"/>
      <c r="J870" s="154" t="str">
        <f aca="false">IF(H870="","",ROUNDUP(H870*35%,0))</f>
        <v/>
      </c>
      <c r="K870" s="113"/>
      <c r="L870" s="113"/>
    </row>
    <row r="871" customFormat="false" ht="12.75" hidden="false" customHeight="true" outlineLevel="0" collapsed="false">
      <c r="A871" s="121" t="str">
        <f aca="false">IF(B871="","",CONCATENATE(COUNTA($B$4:B871),"."))</f>
        <v/>
      </c>
      <c r="B871" s="112"/>
      <c r="C871" s="112"/>
      <c r="D871" s="81"/>
      <c r="E871" s="81"/>
      <c r="F871" s="81"/>
      <c r="G871" s="81"/>
      <c r="H871" s="81"/>
      <c r="I871" s="161"/>
      <c r="J871" s="154" t="str">
        <f aca="false">IF(H871="","",ROUNDUP(H871*35%,0))</f>
        <v/>
      </c>
      <c r="K871" s="113"/>
      <c r="L871" s="113"/>
    </row>
    <row r="872" customFormat="false" ht="12.75" hidden="false" customHeight="true" outlineLevel="0" collapsed="false">
      <c r="A872" s="121" t="str">
        <f aca="false">IF(B872="","",CONCATENATE(COUNTA($B$4:B872),"."))</f>
        <v/>
      </c>
      <c r="B872" s="112"/>
      <c r="C872" s="112"/>
      <c r="D872" s="81"/>
      <c r="E872" s="81"/>
      <c r="F872" s="81"/>
      <c r="G872" s="81"/>
      <c r="H872" s="81"/>
      <c r="I872" s="161"/>
      <c r="J872" s="154" t="str">
        <f aca="false">IF(H872="","",ROUNDUP(H872*35%,0))</f>
        <v/>
      </c>
      <c r="K872" s="113"/>
      <c r="L872" s="113"/>
    </row>
    <row r="873" customFormat="false" ht="12.75" hidden="false" customHeight="true" outlineLevel="0" collapsed="false">
      <c r="A873" s="121" t="str">
        <f aca="false">IF(B873="","",CONCATENATE(COUNTA($B$4:B873),"."))</f>
        <v/>
      </c>
      <c r="B873" s="112"/>
      <c r="C873" s="112"/>
      <c r="D873" s="81"/>
      <c r="E873" s="81"/>
      <c r="F873" s="81"/>
      <c r="G873" s="81"/>
      <c r="H873" s="81"/>
      <c r="I873" s="161"/>
      <c r="J873" s="154" t="str">
        <f aca="false">IF(H873="","",ROUNDUP(H873*35%,0))</f>
        <v/>
      </c>
      <c r="K873" s="113"/>
      <c r="L873" s="113"/>
    </row>
    <row r="874" customFormat="false" ht="12.75" hidden="false" customHeight="true" outlineLevel="0" collapsed="false">
      <c r="A874" s="121" t="str">
        <f aca="false">IF(B874="","",CONCATENATE(COUNTA($B$4:B874),"."))</f>
        <v/>
      </c>
      <c r="B874" s="112"/>
      <c r="C874" s="112"/>
      <c r="D874" s="81"/>
      <c r="E874" s="81"/>
      <c r="F874" s="81"/>
      <c r="G874" s="81"/>
      <c r="H874" s="81"/>
      <c r="I874" s="161"/>
      <c r="J874" s="154" t="str">
        <f aca="false">IF(H874="","",ROUNDUP(H874*35%,0))</f>
        <v/>
      </c>
      <c r="K874" s="113"/>
      <c r="L874" s="113"/>
    </row>
    <row r="875" customFormat="false" ht="12.75" hidden="false" customHeight="true" outlineLevel="0" collapsed="false">
      <c r="A875" s="121" t="str">
        <f aca="false">IF(B875="","",CONCATENATE(COUNTA($B$4:B875),"."))</f>
        <v/>
      </c>
      <c r="B875" s="112"/>
      <c r="C875" s="112"/>
      <c r="D875" s="81"/>
      <c r="E875" s="81"/>
      <c r="F875" s="81"/>
      <c r="G875" s="81"/>
      <c r="H875" s="81"/>
      <c r="I875" s="161"/>
      <c r="J875" s="154" t="str">
        <f aca="false">IF(H875="","",ROUNDUP(H875*35%,0))</f>
        <v/>
      </c>
      <c r="K875" s="113"/>
      <c r="L875" s="113"/>
    </row>
    <row r="876" customFormat="false" ht="12.75" hidden="false" customHeight="true" outlineLevel="0" collapsed="false">
      <c r="A876" s="121" t="str">
        <f aca="false">IF(B876="","",CONCATENATE(COUNTA($B$4:B876),"."))</f>
        <v/>
      </c>
      <c r="B876" s="112"/>
      <c r="C876" s="112"/>
      <c r="D876" s="81"/>
      <c r="E876" s="81"/>
      <c r="F876" s="81"/>
      <c r="G876" s="81"/>
      <c r="H876" s="81"/>
      <c r="I876" s="161"/>
      <c r="J876" s="154" t="str">
        <f aca="false">IF(H876="","",ROUNDUP(H876*35%,0))</f>
        <v/>
      </c>
      <c r="K876" s="113"/>
      <c r="L876" s="113"/>
    </row>
    <row r="877" customFormat="false" ht="12.75" hidden="false" customHeight="true" outlineLevel="0" collapsed="false">
      <c r="A877" s="121" t="str">
        <f aca="false">IF(B877="","",CONCATENATE(COUNTA($B$4:B877),"."))</f>
        <v/>
      </c>
      <c r="B877" s="112"/>
      <c r="C877" s="112"/>
      <c r="D877" s="81"/>
      <c r="E877" s="81"/>
      <c r="F877" s="81"/>
      <c r="G877" s="81"/>
      <c r="H877" s="81"/>
      <c r="I877" s="161"/>
      <c r="J877" s="154" t="str">
        <f aca="false">IF(H877="","",ROUNDUP(H877*35%,0))</f>
        <v/>
      </c>
      <c r="K877" s="113"/>
      <c r="L877" s="113"/>
    </row>
    <row r="878" customFormat="false" ht="12.75" hidden="false" customHeight="true" outlineLevel="0" collapsed="false">
      <c r="A878" s="121" t="str">
        <f aca="false">IF(B878="","",CONCATENATE(COUNTA($B$4:B878),"."))</f>
        <v/>
      </c>
      <c r="B878" s="112"/>
      <c r="C878" s="112"/>
      <c r="D878" s="81"/>
      <c r="E878" s="81"/>
      <c r="F878" s="81"/>
      <c r="G878" s="81"/>
      <c r="H878" s="81"/>
      <c r="I878" s="161"/>
      <c r="J878" s="154" t="str">
        <f aca="false">IF(H878="","",ROUNDUP(H878*35%,0))</f>
        <v/>
      </c>
      <c r="K878" s="113"/>
      <c r="L878" s="113"/>
    </row>
    <row r="879" customFormat="false" ht="12.75" hidden="false" customHeight="true" outlineLevel="0" collapsed="false">
      <c r="A879" s="121" t="str">
        <f aca="false">IF(B879="","",CONCATENATE(COUNTA($B$4:B879),"."))</f>
        <v/>
      </c>
      <c r="B879" s="112"/>
      <c r="C879" s="112"/>
      <c r="D879" s="81"/>
      <c r="E879" s="81"/>
      <c r="F879" s="81"/>
      <c r="G879" s="81"/>
      <c r="H879" s="81"/>
      <c r="I879" s="161"/>
      <c r="J879" s="154" t="str">
        <f aca="false">IF(H879="","",ROUNDUP(H879*35%,0))</f>
        <v/>
      </c>
      <c r="K879" s="113"/>
      <c r="L879" s="113"/>
    </row>
    <row r="880" customFormat="false" ht="12.75" hidden="false" customHeight="true" outlineLevel="0" collapsed="false">
      <c r="A880" s="121" t="str">
        <f aca="false">IF(B880="","",CONCATENATE(COUNTA($B$4:B880),"."))</f>
        <v/>
      </c>
      <c r="B880" s="112"/>
      <c r="C880" s="112"/>
      <c r="D880" s="81"/>
      <c r="E880" s="81"/>
      <c r="F880" s="81"/>
      <c r="G880" s="81"/>
      <c r="H880" s="81"/>
      <c r="I880" s="161"/>
      <c r="J880" s="154" t="str">
        <f aca="false">IF(H880="","",ROUNDUP(H880*35%,0))</f>
        <v/>
      </c>
      <c r="K880" s="113"/>
      <c r="L880" s="113"/>
    </row>
    <row r="881" customFormat="false" ht="12.75" hidden="false" customHeight="true" outlineLevel="0" collapsed="false">
      <c r="A881" s="121" t="str">
        <f aca="false">IF(B881="","",CONCATENATE(COUNTA($B$4:B881),"."))</f>
        <v/>
      </c>
      <c r="B881" s="112"/>
      <c r="C881" s="112"/>
      <c r="D881" s="81"/>
      <c r="E881" s="81"/>
      <c r="F881" s="81"/>
      <c r="G881" s="81"/>
      <c r="H881" s="81"/>
      <c r="I881" s="161"/>
      <c r="J881" s="154" t="str">
        <f aca="false">IF(H881="","",ROUNDUP(H881*35%,0))</f>
        <v/>
      </c>
      <c r="K881" s="113"/>
      <c r="L881" s="113"/>
    </row>
    <row r="882" customFormat="false" ht="12.75" hidden="false" customHeight="true" outlineLevel="0" collapsed="false">
      <c r="A882" s="121" t="str">
        <f aca="false">IF(B882="","",CONCATENATE(COUNTA($B$4:B882),"."))</f>
        <v/>
      </c>
      <c r="B882" s="112"/>
      <c r="C882" s="112"/>
      <c r="D882" s="81"/>
      <c r="E882" s="81"/>
      <c r="F882" s="81"/>
      <c r="G882" s="81"/>
      <c r="H882" s="81"/>
      <c r="I882" s="161"/>
      <c r="J882" s="154" t="str">
        <f aca="false">IF(H882="","",ROUNDUP(H882*35%,0))</f>
        <v/>
      </c>
      <c r="K882" s="113"/>
      <c r="L882" s="113"/>
    </row>
    <row r="883" customFormat="false" ht="12.75" hidden="false" customHeight="true" outlineLevel="0" collapsed="false">
      <c r="A883" s="121" t="str">
        <f aca="false">IF(B883="","",CONCATENATE(COUNTA($B$4:B883),"."))</f>
        <v/>
      </c>
      <c r="B883" s="112"/>
      <c r="C883" s="112"/>
      <c r="D883" s="81"/>
      <c r="E883" s="81"/>
      <c r="F883" s="81"/>
      <c r="G883" s="81"/>
      <c r="H883" s="81"/>
      <c r="I883" s="161"/>
      <c r="J883" s="154" t="str">
        <f aca="false">IF(H883="","",ROUNDUP(H883*35%,0))</f>
        <v/>
      </c>
      <c r="K883" s="113"/>
      <c r="L883" s="113"/>
    </row>
    <row r="884" customFormat="false" ht="12.75" hidden="false" customHeight="true" outlineLevel="0" collapsed="false">
      <c r="A884" s="121" t="str">
        <f aca="false">IF(B884="","",CONCATENATE(COUNTA($B$4:B884),"."))</f>
        <v/>
      </c>
      <c r="B884" s="112"/>
      <c r="C884" s="112"/>
      <c r="D884" s="81"/>
      <c r="E884" s="81"/>
      <c r="F884" s="81"/>
      <c r="G884" s="81"/>
      <c r="H884" s="81"/>
      <c r="I884" s="161"/>
      <c r="J884" s="154" t="str">
        <f aca="false">IF(H884="","",ROUNDUP(H884*35%,0))</f>
        <v/>
      </c>
      <c r="K884" s="113"/>
      <c r="L884" s="113"/>
    </row>
    <row r="885" customFormat="false" ht="12.75" hidden="false" customHeight="true" outlineLevel="0" collapsed="false">
      <c r="A885" s="121" t="str">
        <f aca="false">IF(B885="","",CONCATENATE(COUNTA($B$4:B885),"."))</f>
        <v/>
      </c>
      <c r="B885" s="112"/>
      <c r="C885" s="112"/>
      <c r="D885" s="81"/>
      <c r="E885" s="81"/>
      <c r="F885" s="81"/>
      <c r="G885" s="81"/>
      <c r="H885" s="81"/>
      <c r="I885" s="161"/>
      <c r="J885" s="154" t="str">
        <f aca="false">IF(H885="","",ROUNDUP(H885*35%,0))</f>
        <v/>
      </c>
      <c r="K885" s="113"/>
      <c r="L885" s="113"/>
    </row>
    <row r="886" customFormat="false" ht="12.75" hidden="false" customHeight="true" outlineLevel="0" collapsed="false">
      <c r="A886" s="121" t="str">
        <f aca="false">IF(B886="","",CONCATENATE(COUNTA($B$4:B886),"."))</f>
        <v/>
      </c>
      <c r="B886" s="112"/>
      <c r="C886" s="112"/>
      <c r="D886" s="81"/>
      <c r="E886" s="81"/>
      <c r="F886" s="81"/>
      <c r="G886" s="81"/>
      <c r="H886" s="81"/>
      <c r="I886" s="161"/>
      <c r="J886" s="154" t="str">
        <f aca="false">IF(H886="","",ROUNDUP(H886*35%,0))</f>
        <v/>
      </c>
      <c r="K886" s="113"/>
      <c r="L886" s="113"/>
    </row>
    <row r="887" customFormat="false" ht="12.75" hidden="false" customHeight="true" outlineLevel="0" collapsed="false">
      <c r="A887" s="121" t="str">
        <f aca="false">IF(B887="","",CONCATENATE(COUNTA($B$4:B887),"."))</f>
        <v/>
      </c>
      <c r="B887" s="112"/>
      <c r="C887" s="112"/>
      <c r="D887" s="81"/>
      <c r="E887" s="81"/>
      <c r="F887" s="81"/>
      <c r="G887" s="81"/>
      <c r="H887" s="81"/>
      <c r="I887" s="161"/>
      <c r="J887" s="154" t="str">
        <f aca="false">IF(H887="","",ROUNDUP(H887*35%,0))</f>
        <v/>
      </c>
      <c r="K887" s="113"/>
      <c r="L887" s="113"/>
    </row>
    <row r="888" customFormat="false" ht="12.75" hidden="false" customHeight="true" outlineLevel="0" collapsed="false">
      <c r="A888" s="121" t="str">
        <f aca="false">IF(B888="","",CONCATENATE(COUNTA($B$4:B888),"."))</f>
        <v/>
      </c>
      <c r="B888" s="112"/>
      <c r="C888" s="112"/>
      <c r="D888" s="81"/>
      <c r="E888" s="81"/>
      <c r="F888" s="81"/>
      <c r="G888" s="81"/>
      <c r="H888" s="81"/>
      <c r="I888" s="161"/>
      <c r="J888" s="154" t="str">
        <f aca="false">IF(H888="","",ROUNDUP(H888*35%,0))</f>
        <v/>
      </c>
      <c r="K888" s="113"/>
      <c r="L888" s="113"/>
    </row>
    <row r="889" customFormat="false" ht="12.75" hidden="false" customHeight="true" outlineLevel="0" collapsed="false">
      <c r="A889" s="121" t="str">
        <f aca="false">IF(B889="","",CONCATENATE(COUNTA($B$4:B889),"."))</f>
        <v/>
      </c>
      <c r="B889" s="112"/>
      <c r="C889" s="112"/>
      <c r="D889" s="81"/>
      <c r="E889" s="81"/>
      <c r="F889" s="81"/>
      <c r="G889" s="81"/>
      <c r="H889" s="81"/>
      <c r="I889" s="161"/>
      <c r="J889" s="154" t="str">
        <f aca="false">IF(H889="","",ROUNDUP(H889*35%,0))</f>
        <v/>
      </c>
      <c r="K889" s="113"/>
      <c r="L889" s="113"/>
    </row>
    <row r="890" customFormat="false" ht="12.75" hidden="false" customHeight="true" outlineLevel="0" collapsed="false">
      <c r="A890" s="121" t="str">
        <f aca="false">IF(B890="","",CONCATENATE(COUNTA($B$4:B890),"."))</f>
        <v/>
      </c>
      <c r="B890" s="112"/>
      <c r="C890" s="112"/>
      <c r="D890" s="81"/>
      <c r="E890" s="81"/>
      <c r="F890" s="81"/>
      <c r="G890" s="81"/>
      <c r="H890" s="81"/>
      <c r="I890" s="161"/>
      <c r="J890" s="154" t="str">
        <f aca="false">IF(H890="","",ROUNDUP(H890*35%,0))</f>
        <v/>
      </c>
      <c r="K890" s="113"/>
      <c r="L890" s="113"/>
    </row>
    <row r="891" customFormat="false" ht="12.75" hidden="false" customHeight="true" outlineLevel="0" collapsed="false">
      <c r="A891" s="121" t="str">
        <f aca="false">IF(B891="","",CONCATENATE(COUNTA($B$4:B891),"."))</f>
        <v/>
      </c>
      <c r="B891" s="112"/>
      <c r="C891" s="112"/>
      <c r="D891" s="81"/>
      <c r="E891" s="81"/>
      <c r="F891" s="81"/>
      <c r="G891" s="81"/>
      <c r="H891" s="81"/>
      <c r="I891" s="161"/>
      <c r="J891" s="154" t="str">
        <f aca="false">IF(H891="","",ROUNDUP(H891*35%,0))</f>
        <v/>
      </c>
      <c r="K891" s="113"/>
      <c r="L891" s="113"/>
    </row>
    <row r="892" customFormat="false" ht="12.75" hidden="false" customHeight="true" outlineLevel="0" collapsed="false">
      <c r="A892" s="121" t="str">
        <f aca="false">IF(B892="","",CONCATENATE(COUNTA($B$4:B892),"."))</f>
        <v/>
      </c>
      <c r="B892" s="112"/>
      <c r="C892" s="112"/>
      <c r="D892" s="81"/>
      <c r="E892" s="81"/>
      <c r="F892" s="81"/>
      <c r="G892" s="81"/>
      <c r="H892" s="81"/>
      <c r="I892" s="161"/>
      <c r="J892" s="154" t="str">
        <f aca="false">IF(H892="","",ROUNDUP(H892*35%,0))</f>
        <v/>
      </c>
      <c r="K892" s="113"/>
      <c r="L892" s="113"/>
    </row>
    <row r="893" customFormat="false" ht="12.75" hidden="false" customHeight="true" outlineLevel="0" collapsed="false">
      <c r="A893" s="121" t="str">
        <f aca="false">IF(B893="","",CONCATENATE(COUNTA($B$4:B893),"."))</f>
        <v/>
      </c>
      <c r="B893" s="112"/>
      <c r="C893" s="112"/>
      <c r="D893" s="81"/>
      <c r="E893" s="81"/>
      <c r="F893" s="81"/>
      <c r="G893" s="81"/>
      <c r="H893" s="81"/>
      <c r="I893" s="161"/>
      <c r="J893" s="154" t="str">
        <f aca="false">IF(H893="","",ROUNDUP(H893*35%,0))</f>
        <v/>
      </c>
      <c r="K893" s="113"/>
      <c r="L893" s="113"/>
    </row>
    <row r="894" customFormat="false" ht="12.75" hidden="false" customHeight="true" outlineLevel="0" collapsed="false">
      <c r="A894" s="121" t="str">
        <f aca="false">IF(B894="","",CONCATENATE(COUNTA($B$4:B894),"."))</f>
        <v/>
      </c>
      <c r="B894" s="112"/>
      <c r="C894" s="112"/>
      <c r="D894" s="81"/>
      <c r="E894" s="81"/>
      <c r="F894" s="81"/>
      <c r="G894" s="81"/>
      <c r="H894" s="81"/>
      <c r="I894" s="161"/>
      <c r="J894" s="154" t="str">
        <f aca="false">IF(H894="","",ROUNDUP(H894*35%,0))</f>
        <v/>
      </c>
      <c r="K894" s="113"/>
      <c r="L894" s="113"/>
    </row>
    <row r="895" customFormat="false" ht="12.75" hidden="false" customHeight="true" outlineLevel="0" collapsed="false">
      <c r="A895" s="121" t="str">
        <f aca="false">IF(B895="","",CONCATENATE(COUNTA($B$4:B895),"."))</f>
        <v/>
      </c>
      <c r="B895" s="112"/>
      <c r="C895" s="112"/>
      <c r="D895" s="81"/>
      <c r="E895" s="81"/>
      <c r="F895" s="81"/>
      <c r="G895" s="81"/>
      <c r="H895" s="81"/>
      <c r="I895" s="161"/>
      <c r="J895" s="154" t="str">
        <f aca="false">IF(H895="","",ROUNDUP(H895*35%,0))</f>
        <v/>
      </c>
      <c r="K895" s="113"/>
      <c r="L895" s="113"/>
    </row>
    <row r="896" customFormat="false" ht="12.75" hidden="false" customHeight="true" outlineLevel="0" collapsed="false">
      <c r="A896" s="121" t="str">
        <f aca="false">IF(B896="","",CONCATENATE(COUNTA($B$4:B896),"."))</f>
        <v/>
      </c>
      <c r="B896" s="112"/>
      <c r="C896" s="112"/>
      <c r="D896" s="81"/>
      <c r="E896" s="81"/>
      <c r="F896" s="81"/>
      <c r="G896" s="81"/>
      <c r="H896" s="81"/>
      <c r="I896" s="161"/>
      <c r="J896" s="154" t="str">
        <f aca="false">IF(H896="","",ROUNDUP(H896*35%,0))</f>
        <v/>
      </c>
      <c r="K896" s="113"/>
      <c r="L896" s="113"/>
    </row>
    <row r="897" customFormat="false" ht="12.75" hidden="false" customHeight="true" outlineLevel="0" collapsed="false">
      <c r="A897" s="121" t="str">
        <f aca="false">IF(B897="","",CONCATENATE(COUNTA($B$4:B897),"."))</f>
        <v/>
      </c>
      <c r="B897" s="112"/>
      <c r="C897" s="112"/>
      <c r="D897" s="81"/>
      <c r="E897" s="81"/>
      <c r="F897" s="81"/>
      <c r="G897" s="81"/>
      <c r="H897" s="81"/>
      <c r="I897" s="161"/>
      <c r="J897" s="154" t="str">
        <f aca="false">IF(H897="","",ROUNDUP(H897*35%,0))</f>
        <v/>
      </c>
      <c r="K897" s="113"/>
      <c r="L897" s="113"/>
    </row>
    <row r="898" customFormat="false" ht="12.75" hidden="false" customHeight="true" outlineLevel="0" collapsed="false">
      <c r="A898" s="121" t="str">
        <f aca="false">IF(B898="","",CONCATENATE(COUNTA($B$4:B898),"."))</f>
        <v/>
      </c>
      <c r="B898" s="112"/>
      <c r="C898" s="112"/>
      <c r="D898" s="81"/>
      <c r="E898" s="81"/>
      <c r="F898" s="81"/>
      <c r="G898" s="81"/>
      <c r="H898" s="81"/>
      <c r="I898" s="161"/>
      <c r="J898" s="154" t="str">
        <f aca="false">IF(H898="","",ROUNDUP(H898*35%,0))</f>
        <v/>
      </c>
      <c r="K898" s="113"/>
      <c r="L898" s="113"/>
    </row>
    <row r="899" customFormat="false" ht="12.75" hidden="false" customHeight="true" outlineLevel="0" collapsed="false">
      <c r="A899" s="121" t="str">
        <f aca="false">IF(B899="","",CONCATENATE(COUNTA($B$4:B899),"."))</f>
        <v/>
      </c>
      <c r="B899" s="112"/>
      <c r="C899" s="112"/>
      <c r="D899" s="81"/>
      <c r="E899" s="81"/>
      <c r="F899" s="81"/>
      <c r="G899" s="81"/>
      <c r="H899" s="81"/>
      <c r="I899" s="161"/>
      <c r="J899" s="154" t="str">
        <f aca="false">IF(H899="","",ROUNDUP(H899*35%,0))</f>
        <v/>
      </c>
      <c r="K899" s="113"/>
      <c r="L899" s="113"/>
    </row>
    <row r="900" customFormat="false" ht="12.75" hidden="false" customHeight="true" outlineLevel="0" collapsed="false">
      <c r="A900" s="121" t="str">
        <f aca="false">IF(B900="","",CONCATENATE(COUNTA($B$4:B900),"."))</f>
        <v/>
      </c>
      <c r="B900" s="112"/>
      <c r="C900" s="112"/>
      <c r="D900" s="81"/>
      <c r="E900" s="81"/>
      <c r="F900" s="81"/>
      <c r="G900" s="81"/>
      <c r="H900" s="81"/>
      <c r="I900" s="161"/>
      <c r="J900" s="154" t="str">
        <f aca="false">IF(H900="","",ROUNDUP(H900*35%,0))</f>
        <v/>
      </c>
      <c r="K900" s="113"/>
      <c r="L900" s="113"/>
    </row>
    <row r="901" customFormat="false" ht="12.75" hidden="false" customHeight="true" outlineLevel="0" collapsed="false">
      <c r="A901" s="121" t="str">
        <f aca="false">IF(B901="","",CONCATENATE(COUNTA($B$4:B901),"."))</f>
        <v/>
      </c>
      <c r="B901" s="112"/>
      <c r="C901" s="112"/>
      <c r="D901" s="81"/>
      <c r="E901" s="81"/>
      <c r="F901" s="81"/>
      <c r="G901" s="81"/>
      <c r="H901" s="81"/>
      <c r="I901" s="161"/>
      <c r="J901" s="154" t="str">
        <f aca="false">IF(H901="","",ROUNDUP(H901*35%,0))</f>
        <v/>
      </c>
      <c r="K901" s="113"/>
      <c r="L901" s="113"/>
    </row>
    <row r="902" customFormat="false" ht="12.75" hidden="false" customHeight="true" outlineLevel="0" collapsed="false">
      <c r="A902" s="121" t="str">
        <f aca="false">IF(B902="","",CONCATENATE(COUNTA($B$4:B902),"."))</f>
        <v/>
      </c>
      <c r="B902" s="112"/>
      <c r="C902" s="112"/>
      <c r="D902" s="81"/>
      <c r="E902" s="81"/>
      <c r="F902" s="81"/>
      <c r="G902" s="81"/>
      <c r="H902" s="81"/>
      <c r="I902" s="161"/>
      <c r="J902" s="154" t="str">
        <f aca="false">IF(H902="","",ROUNDUP(H902*35%,0))</f>
        <v/>
      </c>
      <c r="K902" s="113"/>
      <c r="L902" s="113"/>
    </row>
    <row r="903" customFormat="false" ht="12.75" hidden="false" customHeight="true" outlineLevel="0" collapsed="false">
      <c r="A903" s="121" t="str">
        <f aca="false">IF(B903="","",CONCATENATE(COUNTA($B$4:B903),"."))</f>
        <v/>
      </c>
      <c r="B903" s="112"/>
      <c r="C903" s="112"/>
      <c r="D903" s="81"/>
      <c r="E903" s="81"/>
      <c r="F903" s="81"/>
      <c r="G903" s="81"/>
      <c r="H903" s="81"/>
      <c r="I903" s="161"/>
      <c r="J903" s="154" t="str">
        <f aca="false">IF(H903="","",ROUNDUP(H903*35%,0))</f>
        <v/>
      </c>
      <c r="K903" s="113"/>
      <c r="L903" s="113"/>
    </row>
    <row r="904" customFormat="false" ht="12.75" hidden="false" customHeight="true" outlineLevel="0" collapsed="false">
      <c r="A904" s="121" t="str">
        <f aca="false">IF(B904="","",CONCATENATE(COUNTA($B$4:B904),"."))</f>
        <v/>
      </c>
      <c r="B904" s="112"/>
      <c r="C904" s="112"/>
      <c r="D904" s="81"/>
      <c r="E904" s="81"/>
      <c r="F904" s="81"/>
      <c r="G904" s="81"/>
      <c r="H904" s="81"/>
      <c r="I904" s="161"/>
      <c r="J904" s="154" t="str">
        <f aca="false">IF(H904="","",ROUNDUP(H904*35%,0))</f>
        <v/>
      </c>
      <c r="K904" s="113"/>
      <c r="L904" s="113"/>
    </row>
    <row r="905" customFormat="false" ht="12.75" hidden="false" customHeight="true" outlineLevel="0" collapsed="false">
      <c r="A905" s="121" t="str">
        <f aca="false">IF(B905="","",CONCATENATE(COUNTA($B$4:B905),"."))</f>
        <v/>
      </c>
      <c r="B905" s="112"/>
      <c r="C905" s="112"/>
      <c r="D905" s="81"/>
      <c r="E905" s="81"/>
      <c r="F905" s="81"/>
      <c r="G905" s="81"/>
      <c r="H905" s="81"/>
      <c r="I905" s="161"/>
      <c r="J905" s="154" t="str">
        <f aca="false">IF(H905="","",ROUNDUP(H905*35%,0))</f>
        <v/>
      </c>
      <c r="K905" s="113"/>
      <c r="L905" s="113"/>
    </row>
    <row r="906" customFormat="false" ht="12.75" hidden="false" customHeight="true" outlineLevel="0" collapsed="false">
      <c r="A906" s="121" t="str">
        <f aca="false">IF(B906="","",CONCATENATE(COUNTA($B$4:B906),"."))</f>
        <v/>
      </c>
      <c r="B906" s="112"/>
      <c r="C906" s="112"/>
      <c r="D906" s="81"/>
      <c r="E906" s="81"/>
      <c r="F906" s="81"/>
      <c r="G906" s="81"/>
      <c r="H906" s="81"/>
      <c r="I906" s="161"/>
      <c r="J906" s="154" t="str">
        <f aca="false">IF(H906="","",ROUNDUP(H906*35%,0))</f>
        <v/>
      </c>
      <c r="K906" s="113"/>
      <c r="L906" s="113"/>
    </row>
    <row r="907" customFormat="false" ht="12.75" hidden="false" customHeight="true" outlineLevel="0" collapsed="false">
      <c r="A907" s="121" t="str">
        <f aca="false">IF(B907="","",CONCATENATE(COUNTA($B$4:B907),"."))</f>
        <v/>
      </c>
      <c r="B907" s="112"/>
      <c r="C907" s="112"/>
      <c r="D907" s="81"/>
      <c r="E907" s="81"/>
      <c r="F907" s="81"/>
      <c r="G907" s="81"/>
      <c r="H907" s="81"/>
      <c r="I907" s="161"/>
      <c r="J907" s="154" t="str">
        <f aca="false">IF(H907="","",ROUNDUP(H907*35%,0))</f>
        <v/>
      </c>
      <c r="K907" s="113"/>
      <c r="L907" s="113"/>
    </row>
    <row r="908" customFormat="false" ht="12.75" hidden="false" customHeight="true" outlineLevel="0" collapsed="false">
      <c r="A908" s="121" t="str">
        <f aca="false">IF(B908="","",CONCATENATE(COUNTA($B$4:B908),"."))</f>
        <v/>
      </c>
      <c r="B908" s="112"/>
      <c r="C908" s="112"/>
      <c r="D908" s="81"/>
      <c r="E908" s="81"/>
      <c r="F908" s="81"/>
      <c r="G908" s="81"/>
      <c r="H908" s="81"/>
      <c r="I908" s="161"/>
      <c r="J908" s="154" t="str">
        <f aca="false">IF(H908="","",ROUNDUP(H908*35%,0))</f>
        <v/>
      </c>
      <c r="K908" s="113"/>
      <c r="L908" s="113"/>
    </row>
    <row r="909" customFormat="false" ht="12.75" hidden="false" customHeight="true" outlineLevel="0" collapsed="false">
      <c r="A909" s="121" t="str">
        <f aca="false">IF(B909="","",CONCATENATE(COUNTA($B$4:B909),"."))</f>
        <v/>
      </c>
      <c r="B909" s="112"/>
      <c r="C909" s="112"/>
      <c r="D909" s="81"/>
      <c r="E909" s="81"/>
      <c r="F909" s="81"/>
      <c r="G909" s="81"/>
      <c r="H909" s="81"/>
      <c r="I909" s="161"/>
      <c r="J909" s="154" t="str">
        <f aca="false">IF(H909="","",ROUNDUP(H909*35%,0))</f>
        <v/>
      </c>
      <c r="K909" s="113"/>
      <c r="L909" s="113"/>
    </row>
    <row r="910" customFormat="false" ht="12.75" hidden="false" customHeight="true" outlineLevel="0" collapsed="false">
      <c r="A910" s="121" t="str">
        <f aca="false">IF(B910="","",CONCATENATE(COUNTA($B$4:B910),"."))</f>
        <v/>
      </c>
      <c r="B910" s="112"/>
      <c r="C910" s="112"/>
      <c r="D910" s="81"/>
      <c r="E910" s="81"/>
      <c r="F910" s="81"/>
      <c r="G910" s="81"/>
      <c r="H910" s="81"/>
      <c r="I910" s="161"/>
      <c r="J910" s="154" t="str">
        <f aca="false">IF(H910="","",ROUNDUP(H910*35%,0))</f>
        <v/>
      </c>
      <c r="K910" s="113"/>
      <c r="L910" s="113"/>
    </row>
    <row r="911" customFormat="false" ht="12.75" hidden="false" customHeight="true" outlineLevel="0" collapsed="false">
      <c r="A911" s="121" t="str">
        <f aca="false">IF(B911="","",CONCATENATE(COUNTA($B$4:B911),"."))</f>
        <v/>
      </c>
      <c r="B911" s="112"/>
      <c r="C911" s="112"/>
      <c r="D911" s="81"/>
      <c r="E911" s="81"/>
      <c r="F911" s="81"/>
      <c r="G911" s="81"/>
      <c r="H911" s="81"/>
      <c r="I911" s="161"/>
      <c r="J911" s="154" t="str">
        <f aca="false">IF(H911="","",ROUNDUP(H911*35%,0))</f>
        <v/>
      </c>
      <c r="K911" s="113"/>
      <c r="L911" s="113"/>
    </row>
    <row r="912" customFormat="false" ht="12.75" hidden="false" customHeight="true" outlineLevel="0" collapsed="false">
      <c r="A912" s="121" t="str">
        <f aca="false">IF(B912="","",CONCATENATE(COUNTA($B$4:B912),"."))</f>
        <v/>
      </c>
      <c r="B912" s="112"/>
      <c r="C912" s="112"/>
      <c r="D912" s="81"/>
      <c r="E912" s="81"/>
      <c r="F912" s="81"/>
      <c r="G912" s="81"/>
      <c r="H912" s="81"/>
      <c r="I912" s="161"/>
      <c r="J912" s="154" t="str">
        <f aca="false">IF(H912="","",ROUNDUP(H912*35%,0))</f>
        <v/>
      </c>
      <c r="K912" s="113"/>
      <c r="L912" s="113"/>
    </row>
    <row r="913" customFormat="false" ht="12.75" hidden="false" customHeight="true" outlineLevel="0" collapsed="false">
      <c r="A913" s="121" t="str">
        <f aca="false">IF(B913="","",CONCATENATE(COUNTA($B$4:B913),"."))</f>
        <v/>
      </c>
      <c r="B913" s="112"/>
      <c r="C913" s="112"/>
      <c r="D913" s="81"/>
      <c r="E913" s="81"/>
      <c r="F913" s="81"/>
      <c r="G913" s="81"/>
      <c r="H913" s="81"/>
      <c r="I913" s="161"/>
      <c r="J913" s="154" t="str">
        <f aca="false">IF(H913="","",ROUNDUP(H913*35%,0))</f>
        <v/>
      </c>
      <c r="K913" s="113"/>
      <c r="L913" s="113"/>
    </row>
    <row r="914" customFormat="false" ht="12.75" hidden="false" customHeight="true" outlineLevel="0" collapsed="false">
      <c r="A914" s="121" t="str">
        <f aca="false">IF(B914="","",CONCATENATE(COUNTA($B$4:B914),"."))</f>
        <v/>
      </c>
      <c r="B914" s="112"/>
      <c r="C914" s="112"/>
      <c r="D914" s="81"/>
      <c r="E914" s="81"/>
      <c r="F914" s="81"/>
      <c r="G914" s="81"/>
      <c r="H914" s="81"/>
      <c r="I914" s="161"/>
      <c r="J914" s="154" t="str">
        <f aca="false">IF(H914="","",ROUNDUP(H914*35%,0))</f>
        <v/>
      </c>
      <c r="K914" s="113"/>
      <c r="L914" s="113"/>
    </row>
    <row r="915" customFormat="false" ht="12.75" hidden="false" customHeight="true" outlineLevel="0" collapsed="false">
      <c r="A915" s="121" t="str">
        <f aca="false">IF(B915="","",CONCATENATE(COUNTA($B$4:B915),"."))</f>
        <v/>
      </c>
      <c r="B915" s="112"/>
      <c r="C915" s="112"/>
      <c r="D915" s="81"/>
      <c r="E915" s="81"/>
      <c r="F915" s="81"/>
      <c r="G915" s="81"/>
      <c r="H915" s="81"/>
      <c r="I915" s="161"/>
      <c r="J915" s="154" t="str">
        <f aca="false">IF(H915="","",ROUNDUP(H915*35%,0))</f>
        <v/>
      </c>
      <c r="K915" s="113"/>
      <c r="L915" s="113"/>
    </row>
    <row r="916" customFormat="false" ht="12.75" hidden="false" customHeight="true" outlineLevel="0" collapsed="false">
      <c r="A916" s="121" t="str">
        <f aca="false">IF(B916="","",CONCATENATE(COUNTA($B$4:B916),"."))</f>
        <v/>
      </c>
      <c r="B916" s="112"/>
      <c r="C916" s="112"/>
      <c r="D916" s="81"/>
      <c r="E916" s="81"/>
      <c r="F916" s="81"/>
      <c r="G916" s="81"/>
      <c r="H916" s="81"/>
      <c r="I916" s="161"/>
      <c r="J916" s="154" t="str">
        <f aca="false">IF(H916="","",ROUNDUP(H916*35%,0))</f>
        <v/>
      </c>
      <c r="K916" s="113"/>
      <c r="L916" s="113"/>
    </row>
    <row r="917" customFormat="false" ht="12.75" hidden="false" customHeight="true" outlineLevel="0" collapsed="false">
      <c r="A917" s="121" t="str">
        <f aca="false">IF(B917="","",CONCATENATE(COUNTA($B$4:B917),"."))</f>
        <v/>
      </c>
      <c r="B917" s="112"/>
      <c r="C917" s="112"/>
      <c r="D917" s="81"/>
      <c r="E917" s="81"/>
      <c r="F917" s="81"/>
      <c r="G917" s="81"/>
      <c r="H917" s="81"/>
      <c r="I917" s="161"/>
      <c r="J917" s="154" t="str">
        <f aca="false">IF(H917="","",ROUNDUP(H917*35%,0))</f>
        <v/>
      </c>
      <c r="K917" s="113"/>
      <c r="L917" s="113"/>
    </row>
    <row r="918" customFormat="false" ht="12.75" hidden="false" customHeight="true" outlineLevel="0" collapsed="false">
      <c r="A918" s="121" t="str">
        <f aca="false">IF(B918="","",CONCATENATE(COUNTA($B$4:B918),"."))</f>
        <v/>
      </c>
      <c r="B918" s="112"/>
      <c r="C918" s="112"/>
      <c r="D918" s="81"/>
      <c r="E918" s="81"/>
      <c r="F918" s="81"/>
      <c r="G918" s="81"/>
      <c r="H918" s="81"/>
      <c r="I918" s="161"/>
      <c r="J918" s="154" t="str">
        <f aca="false">IF(H918="","",ROUNDUP(H918*35%,0))</f>
        <v/>
      </c>
      <c r="K918" s="113"/>
      <c r="L918" s="113"/>
    </row>
    <row r="919" customFormat="false" ht="12.75" hidden="false" customHeight="true" outlineLevel="0" collapsed="false">
      <c r="A919" s="121" t="str">
        <f aca="false">IF(B919="","",CONCATENATE(COUNTA($B$4:B919),"."))</f>
        <v/>
      </c>
      <c r="B919" s="112"/>
      <c r="C919" s="112"/>
      <c r="D919" s="81"/>
      <c r="E919" s="81"/>
      <c r="F919" s="81"/>
      <c r="G919" s="81"/>
      <c r="H919" s="81"/>
      <c r="I919" s="161"/>
      <c r="J919" s="154" t="str">
        <f aca="false">IF(H919="","",ROUNDUP(H919*35%,0))</f>
        <v/>
      </c>
      <c r="K919" s="113"/>
      <c r="L919" s="113"/>
    </row>
    <row r="920" customFormat="false" ht="12.75" hidden="false" customHeight="true" outlineLevel="0" collapsed="false">
      <c r="A920" s="121" t="str">
        <f aca="false">IF(B920="","",CONCATENATE(COUNTA($B$4:B920),"."))</f>
        <v/>
      </c>
      <c r="B920" s="112"/>
      <c r="C920" s="112"/>
      <c r="D920" s="81"/>
      <c r="E920" s="81"/>
      <c r="F920" s="81"/>
      <c r="G920" s="81"/>
      <c r="H920" s="81"/>
      <c r="I920" s="161"/>
      <c r="J920" s="154" t="str">
        <f aca="false">IF(H920="","",ROUNDUP(H920*35%,0))</f>
        <v/>
      </c>
      <c r="K920" s="113"/>
      <c r="L920" s="113"/>
    </row>
    <row r="921" customFormat="false" ht="12.75" hidden="false" customHeight="true" outlineLevel="0" collapsed="false">
      <c r="A921" s="121" t="str">
        <f aca="false">IF(B921="","",CONCATENATE(COUNTA($B$4:B921),"."))</f>
        <v/>
      </c>
      <c r="B921" s="112"/>
      <c r="C921" s="112"/>
      <c r="D921" s="81"/>
      <c r="E921" s="81"/>
      <c r="F921" s="81"/>
      <c r="G921" s="81"/>
      <c r="H921" s="81"/>
      <c r="I921" s="161"/>
      <c r="J921" s="154" t="str">
        <f aca="false">IF(H921="","",ROUNDUP(H921*35%,0))</f>
        <v/>
      </c>
      <c r="K921" s="113"/>
      <c r="L921" s="113"/>
    </row>
    <row r="922" customFormat="false" ht="12.75" hidden="false" customHeight="true" outlineLevel="0" collapsed="false">
      <c r="A922" s="121" t="str">
        <f aca="false">IF(B922="","",CONCATENATE(COUNTA($B$4:B922),"."))</f>
        <v/>
      </c>
      <c r="B922" s="112"/>
      <c r="C922" s="112"/>
      <c r="D922" s="81"/>
      <c r="E922" s="81"/>
      <c r="F922" s="81"/>
      <c r="G922" s="81"/>
      <c r="H922" s="81"/>
      <c r="I922" s="161"/>
      <c r="J922" s="154" t="str">
        <f aca="false">IF(H922="","",ROUNDUP(H922*35%,0))</f>
        <v/>
      </c>
      <c r="K922" s="113"/>
      <c r="L922" s="113"/>
    </row>
    <row r="923" customFormat="false" ht="12.75" hidden="false" customHeight="true" outlineLevel="0" collapsed="false">
      <c r="A923" s="121" t="str">
        <f aca="false">IF(B923="","",CONCATENATE(COUNTA($B$4:B923),"."))</f>
        <v/>
      </c>
      <c r="B923" s="112"/>
      <c r="C923" s="112"/>
      <c r="D923" s="81"/>
      <c r="E923" s="81"/>
      <c r="F923" s="81"/>
      <c r="G923" s="81"/>
      <c r="H923" s="81"/>
      <c r="I923" s="161"/>
      <c r="J923" s="154" t="str">
        <f aca="false">IF(H923="","",ROUNDUP(H923*35%,0))</f>
        <v/>
      </c>
      <c r="K923" s="113"/>
      <c r="L923" s="113"/>
    </row>
    <row r="924" customFormat="false" ht="12.75" hidden="false" customHeight="true" outlineLevel="0" collapsed="false">
      <c r="A924" s="121" t="str">
        <f aca="false">IF(B924="","",CONCATENATE(COUNTA($B$4:B924),"."))</f>
        <v/>
      </c>
      <c r="B924" s="112"/>
      <c r="C924" s="112"/>
      <c r="D924" s="81"/>
      <c r="E924" s="81"/>
      <c r="F924" s="81"/>
      <c r="G924" s="81"/>
      <c r="H924" s="81"/>
      <c r="I924" s="161"/>
      <c r="J924" s="154" t="str">
        <f aca="false">IF(H924="","",ROUNDUP(H924*35%,0))</f>
        <v/>
      </c>
      <c r="K924" s="113"/>
      <c r="L924" s="113"/>
    </row>
    <row r="925" customFormat="false" ht="12.75" hidden="false" customHeight="true" outlineLevel="0" collapsed="false">
      <c r="A925" s="121" t="str">
        <f aca="false">IF(B925="","",CONCATENATE(COUNTA($B$4:B925),"."))</f>
        <v/>
      </c>
      <c r="B925" s="112"/>
      <c r="C925" s="112"/>
      <c r="D925" s="81"/>
      <c r="E925" s="81"/>
      <c r="F925" s="81"/>
      <c r="G925" s="81"/>
      <c r="H925" s="81"/>
      <c r="I925" s="161"/>
      <c r="J925" s="154" t="str">
        <f aca="false">IF(H925="","",ROUNDUP(H925*35%,0))</f>
        <v/>
      </c>
      <c r="K925" s="113"/>
      <c r="L925" s="113"/>
    </row>
    <row r="926" customFormat="false" ht="12.75" hidden="false" customHeight="true" outlineLevel="0" collapsed="false">
      <c r="A926" s="121" t="str">
        <f aca="false">IF(B926="","",CONCATENATE(COUNTA($B$4:B926),"."))</f>
        <v/>
      </c>
      <c r="B926" s="112"/>
      <c r="C926" s="112"/>
      <c r="D926" s="81"/>
      <c r="E926" s="81"/>
      <c r="F926" s="81"/>
      <c r="G926" s="81"/>
      <c r="H926" s="81"/>
      <c r="I926" s="161"/>
      <c r="J926" s="154" t="str">
        <f aca="false">IF(H926="","",ROUNDUP(H926*35%,0))</f>
        <v/>
      </c>
      <c r="K926" s="113"/>
      <c r="L926" s="113"/>
    </row>
    <row r="927" customFormat="false" ht="12.75" hidden="false" customHeight="true" outlineLevel="0" collapsed="false">
      <c r="A927" s="121" t="str">
        <f aca="false">IF(B927="","",CONCATENATE(COUNTA($B$4:B927),"."))</f>
        <v/>
      </c>
      <c r="B927" s="112"/>
      <c r="C927" s="112"/>
      <c r="D927" s="81"/>
      <c r="E927" s="81"/>
      <c r="F927" s="81"/>
      <c r="G927" s="81"/>
      <c r="H927" s="81"/>
      <c r="I927" s="161"/>
      <c r="J927" s="154" t="str">
        <f aca="false">IF(H927="","",ROUNDUP(H927*35%,0))</f>
        <v/>
      </c>
      <c r="K927" s="113"/>
      <c r="L927" s="113"/>
    </row>
    <row r="928" customFormat="false" ht="12.75" hidden="false" customHeight="true" outlineLevel="0" collapsed="false">
      <c r="A928" s="121" t="str">
        <f aca="false">IF(B928="","",CONCATENATE(COUNTA($B$4:B928),"."))</f>
        <v/>
      </c>
      <c r="B928" s="112"/>
      <c r="C928" s="112"/>
      <c r="D928" s="81"/>
      <c r="E928" s="81"/>
      <c r="F928" s="81"/>
      <c r="G928" s="81"/>
      <c r="H928" s="81"/>
      <c r="I928" s="161"/>
      <c r="J928" s="154" t="str">
        <f aca="false">IF(H928="","",ROUNDUP(H928*35%,0))</f>
        <v/>
      </c>
      <c r="K928" s="113"/>
      <c r="L928" s="113"/>
    </row>
    <row r="929" customFormat="false" ht="12.75" hidden="false" customHeight="true" outlineLevel="0" collapsed="false">
      <c r="A929" s="121" t="str">
        <f aca="false">IF(B929="","",CONCATENATE(COUNTA($B$4:B929),"."))</f>
        <v/>
      </c>
      <c r="B929" s="112"/>
      <c r="C929" s="112"/>
      <c r="D929" s="81"/>
      <c r="E929" s="81"/>
      <c r="F929" s="81"/>
      <c r="G929" s="81"/>
      <c r="H929" s="81"/>
      <c r="I929" s="161"/>
      <c r="J929" s="154" t="str">
        <f aca="false">IF(H929="","",ROUNDUP(H929*35%,0))</f>
        <v/>
      </c>
      <c r="K929" s="113"/>
      <c r="L929" s="113"/>
    </row>
    <row r="930" customFormat="false" ht="12.75" hidden="false" customHeight="true" outlineLevel="0" collapsed="false">
      <c r="A930" s="121" t="str">
        <f aca="false">IF(B930="","",CONCATENATE(COUNTA($B$4:B930),"."))</f>
        <v/>
      </c>
      <c r="B930" s="112"/>
      <c r="C930" s="112"/>
      <c r="D930" s="81"/>
      <c r="E930" s="81"/>
      <c r="F930" s="81"/>
      <c r="G930" s="81"/>
      <c r="H930" s="81"/>
      <c r="I930" s="161"/>
      <c r="J930" s="154" t="str">
        <f aca="false">IF(H930="","",ROUNDUP(H930*35%,0))</f>
        <v/>
      </c>
      <c r="K930" s="113"/>
      <c r="L930" s="113"/>
    </row>
    <row r="931" customFormat="false" ht="12.75" hidden="false" customHeight="true" outlineLevel="0" collapsed="false">
      <c r="A931" s="121" t="str">
        <f aca="false">IF(B931="","",CONCATENATE(COUNTA($B$4:B931),"."))</f>
        <v/>
      </c>
      <c r="B931" s="112"/>
      <c r="C931" s="112"/>
      <c r="D931" s="81"/>
      <c r="E931" s="81"/>
      <c r="F931" s="81"/>
      <c r="G931" s="81"/>
      <c r="H931" s="81"/>
      <c r="I931" s="161"/>
      <c r="J931" s="154" t="str">
        <f aca="false">IF(H931="","",ROUNDUP(H931*35%,0))</f>
        <v/>
      </c>
      <c r="K931" s="113"/>
      <c r="L931" s="113"/>
    </row>
    <row r="932" customFormat="false" ht="12.75" hidden="false" customHeight="true" outlineLevel="0" collapsed="false">
      <c r="A932" s="121" t="str">
        <f aca="false">IF(B932="","",CONCATENATE(COUNTA($B$4:B932),"."))</f>
        <v/>
      </c>
      <c r="B932" s="112"/>
      <c r="C932" s="112"/>
      <c r="D932" s="81"/>
      <c r="E932" s="81"/>
      <c r="F932" s="81"/>
      <c r="G932" s="81"/>
      <c r="H932" s="81"/>
      <c r="I932" s="161"/>
      <c r="J932" s="154" t="str">
        <f aca="false">IF(H932="","",ROUNDUP(H932*35%,0))</f>
        <v/>
      </c>
      <c r="K932" s="113"/>
      <c r="L932" s="113"/>
    </row>
    <row r="933" customFormat="false" ht="12.75" hidden="false" customHeight="true" outlineLevel="0" collapsed="false">
      <c r="A933" s="121" t="str">
        <f aca="false">IF(B933="","",CONCATENATE(COUNTA($B$4:B933),"."))</f>
        <v/>
      </c>
      <c r="B933" s="112"/>
      <c r="C933" s="112"/>
      <c r="D933" s="81"/>
      <c r="E933" s="81"/>
      <c r="F933" s="81"/>
      <c r="G933" s="81"/>
      <c r="H933" s="81"/>
      <c r="I933" s="161"/>
      <c r="J933" s="154" t="str">
        <f aca="false">IF(H933="","",ROUNDUP(H933*35%,0))</f>
        <v/>
      </c>
      <c r="K933" s="113"/>
      <c r="L933" s="113"/>
    </row>
    <row r="934" customFormat="false" ht="12.75" hidden="false" customHeight="true" outlineLevel="0" collapsed="false">
      <c r="A934" s="121" t="str">
        <f aca="false">IF(B934="","",CONCATENATE(COUNTA($B$4:B934),"."))</f>
        <v/>
      </c>
      <c r="B934" s="112"/>
      <c r="C934" s="112"/>
      <c r="D934" s="81"/>
      <c r="E934" s="81"/>
      <c r="F934" s="81"/>
      <c r="G934" s="81"/>
      <c r="H934" s="81"/>
      <c r="I934" s="161"/>
      <c r="J934" s="154" t="str">
        <f aca="false">IF(H934="","",ROUNDUP(H934*35%,0))</f>
        <v/>
      </c>
      <c r="K934" s="113"/>
      <c r="L934" s="113"/>
    </row>
    <row r="935" customFormat="false" ht="12.75" hidden="false" customHeight="true" outlineLevel="0" collapsed="false">
      <c r="A935" s="121" t="str">
        <f aca="false">IF(B935="","",CONCATENATE(COUNTA($B$4:B935),"."))</f>
        <v/>
      </c>
      <c r="B935" s="112"/>
      <c r="C935" s="112"/>
      <c r="D935" s="81"/>
      <c r="E935" s="81"/>
      <c r="F935" s="81"/>
      <c r="G935" s="81"/>
      <c r="H935" s="81"/>
      <c r="I935" s="161"/>
      <c r="J935" s="154" t="str">
        <f aca="false">IF(H935="","",ROUNDUP(H935*35%,0))</f>
        <v/>
      </c>
      <c r="K935" s="113"/>
      <c r="L935" s="113"/>
    </row>
    <row r="936" customFormat="false" ht="12.75" hidden="false" customHeight="true" outlineLevel="0" collapsed="false">
      <c r="A936" s="121" t="str">
        <f aca="false">IF(B936="","",CONCATENATE(COUNTA($B$4:B936),"."))</f>
        <v/>
      </c>
      <c r="B936" s="112"/>
      <c r="C936" s="112"/>
      <c r="D936" s="81"/>
      <c r="E936" s="81"/>
      <c r="F936" s="81"/>
      <c r="G936" s="81"/>
      <c r="H936" s="81"/>
      <c r="I936" s="161"/>
      <c r="J936" s="154" t="str">
        <f aca="false">IF(H936="","",ROUNDUP(H936*35%,0))</f>
        <v/>
      </c>
      <c r="K936" s="113"/>
      <c r="L936" s="113"/>
    </row>
    <row r="937" customFormat="false" ht="12.75" hidden="false" customHeight="true" outlineLevel="0" collapsed="false">
      <c r="A937" s="121" t="str">
        <f aca="false">IF(B937="","",CONCATENATE(COUNTA($B$4:B937),"."))</f>
        <v/>
      </c>
      <c r="B937" s="112"/>
      <c r="C937" s="112"/>
      <c r="D937" s="81"/>
      <c r="E937" s="81"/>
      <c r="F937" s="81"/>
      <c r="G937" s="81"/>
      <c r="H937" s="81"/>
      <c r="I937" s="161"/>
      <c r="J937" s="154" t="str">
        <f aca="false">IF(H937="","",ROUNDUP(H937*35%,0))</f>
        <v/>
      </c>
      <c r="K937" s="113"/>
      <c r="L937" s="113"/>
    </row>
    <row r="938" customFormat="false" ht="12.75" hidden="false" customHeight="true" outlineLevel="0" collapsed="false">
      <c r="A938" s="121" t="str">
        <f aca="false">IF(B938="","",CONCATENATE(COUNTA($B$4:B938),"."))</f>
        <v/>
      </c>
      <c r="B938" s="112"/>
      <c r="C938" s="112"/>
      <c r="D938" s="81"/>
      <c r="E938" s="81"/>
      <c r="F938" s="81"/>
      <c r="G938" s="81"/>
      <c r="H938" s="81"/>
      <c r="I938" s="161"/>
      <c r="J938" s="154" t="str">
        <f aca="false">IF(H938="","",ROUNDUP(H938*35%,0))</f>
        <v/>
      </c>
      <c r="K938" s="113"/>
      <c r="L938" s="113"/>
    </row>
    <row r="939" customFormat="false" ht="12.75" hidden="false" customHeight="true" outlineLevel="0" collapsed="false">
      <c r="A939" s="121" t="str">
        <f aca="false">IF(B939="","",CONCATENATE(COUNTA($B$4:B939),"."))</f>
        <v/>
      </c>
      <c r="B939" s="112"/>
      <c r="C939" s="112"/>
      <c r="D939" s="81"/>
      <c r="E939" s="81"/>
      <c r="F939" s="81"/>
      <c r="G939" s="81"/>
      <c r="H939" s="81"/>
      <c r="I939" s="161"/>
      <c r="J939" s="154" t="str">
        <f aca="false">IF(H939="","",ROUNDUP(H939*35%,0))</f>
        <v/>
      </c>
      <c r="K939" s="113"/>
      <c r="L939" s="113"/>
    </row>
    <row r="940" customFormat="false" ht="12.75" hidden="false" customHeight="true" outlineLevel="0" collapsed="false">
      <c r="A940" s="121" t="str">
        <f aca="false">IF(B940="","",CONCATENATE(COUNTA($B$4:B940),"."))</f>
        <v/>
      </c>
      <c r="B940" s="112"/>
      <c r="C940" s="112"/>
      <c r="D940" s="81"/>
      <c r="E940" s="81"/>
      <c r="F940" s="81"/>
      <c r="G940" s="81"/>
      <c r="H940" s="81"/>
      <c r="I940" s="161"/>
      <c r="J940" s="154" t="str">
        <f aca="false">IF(H940="","",ROUNDUP(H940*35%,0))</f>
        <v/>
      </c>
      <c r="K940" s="113"/>
      <c r="L940" s="113"/>
    </row>
    <row r="941" customFormat="false" ht="12.75" hidden="false" customHeight="true" outlineLevel="0" collapsed="false">
      <c r="A941" s="121" t="str">
        <f aca="false">IF(B941="","",CONCATENATE(COUNTA($B$4:B941),"."))</f>
        <v/>
      </c>
      <c r="B941" s="112"/>
      <c r="C941" s="112"/>
      <c r="D941" s="81"/>
      <c r="E941" s="81"/>
      <c r="F941" s="81"/>
      <c r="G941" s="81"/>
      <c r="H941" s="81"/>
      <c r="I941" s="161"/>
      <c r="J941" s="154" t="str">
        <f aca="false">IF(H941="","",ROUNDUP(H941*35%,0))</f>
        <v/>
      </c>
      <c r="K941" s="113"/>
      <c r="L941" s="113"/>
    </row>
    <row r="942" customFormat="false" ht="12.75" hidden="false" customHeight="true" outlineLevel="0" collapsed="false">
      <c r="A942" s="121" t="str">
        <f aca="false">IF(B942="","",CONCATENATE(COUNTA($B$4:B942),"."))</f>
        <v/>
      </c>
      <c r="B942" s="112"/>
      <c r="C942" s="112"/>
      <c r="D942" s="81"/>
      <c r="E942" s="81"/>
      <c r="F942" s="81"/>
      <c r="G942" s="81"/>
      <c r="H942" s="81"/>
      <c r="I942" s="161"/>
      <c r="J942" s="154" t="str">
        <f aca="false">IF(H942="","",ROUNDUP(H942*35%,0))</f>
        <v/>
      </c>
      <c r="K942" s="113"/>
      <c r="L942" s="113"/>
    </row>
    <row r="943" customFormat="false" ht="12.75" hidden="false" customHeight="true" outlineLevel="0" collapsed="false">
      <c r="A943" s="121" t="str">
        <f aca="false">IF(B943="","",CONCATENATE(COUNTA($B$4:B943),"."))</f>
        <v/>
      </c>
      <c r="B943" s="112"/>
      <c r="C943" s="112"/>
      <c r="D943" s="81"/>
      <c r="E943" s="81"/>
      <c r="F943" s="81"/>
      <c r="G943" s="81"/>
      <c r="H943" s="81"/>
      <c r="I943" s="161"/>
      <c r="J943" s="154" t="str">
        <f aca="false">IF(H943="","",ROUNDUP(H943*35%,0))</f>
        <v/>
      </c>
      <c r="K943" s="113"/>
      <c r="L943" s="113"/>
    </row>
    <row r="944" customFormat="false" ht="12.75" hidden="false" customHeight="true" outlineLevel="0" collapsed="false">
      <c r="A944" s="121" t="str">
        <f aca="false">IF(B944="","",CONCATENATE(COUNTA($B$4:B944),"."))</f>
        <v/>
      </c>
      <c r="B944" s="112"/>
      <c r="C944" s="112"/>
      <c r="D944" s="81"/>
      <c r="E944" s="81"/>
      <c r="F944" s="81"/>
      <c r="G944" s="81"/>
      <c r="H944" s="81"/>
      <c r="I944" s="161"/>
      <c r="J944" s="154" t="str">
        <f aca="false">IF(H944="","",ROUNDUP(H944*35%,0))</f>
        <v/>
      </c>
      <c r="K944" s="113"/>
      <c r="L944" s="113"/>
    </row>
    <row r="945" customFormat="false" ht="12.75" hidden="false" customHeight="true" outlineLevel="0" collapsed="false">
      <c r="A945" s="121" t="str">
        <f aca="false">IF(B945="","",CONCATENATE(COUNTA($B$4:B945),"."))</f>
        <v/>
      </c>
      <c r="B945" s="112"/>
      <c r="C945" s="112"/>
      <c r="D945" s="81"/>
      <c r="E945" s="81"/>
      <c r="F945" s="81"/>
      <c r="G945" s="81"/>
      <c r="H945" s="81"/>
      <c r="I945" s="161"/>
      <c r="J945" s="154" t="str">
        <f aca="false">IF(H945="","",ROUNDUP(H945*35%,0))</f>
        <v/>
      </c>
      <c r="K945" s="113"/>
      <c r="L945" s="113"/>
    </row>
    <row r="946" customFormat="false" ht="12.75" hidden="false" customHeight="true" outlineLevel="0" collapsed="false">
      <c r="A946" s="121" t="str">
        <f aca="false">IF(B946="","",CONCATENATE(COUNTA($B$4:B946),"."))</f>
        <v/>
      </c>
      <c r="B946" s="112"/>
      <c r="C946" s="112"/>
      <c r="D946" s="81"/>
      <c r="E946" s="81"/>
      <c r="F946" s="81"/>
      <c r="G946" s="81"/>
      <c r="H946" s="81"/>
      <c r="I946" s="161"/>
      <c r="J946" s="154" t="str">
        <f aca="false">IF(H946="","",ROUNDUP(H946*35%,0))</f>
        <v/>
      </c>
      <c r="K946" s="113"/>
      <c r="L946" s="113"/>
    </row>
    <row r="947" customFormat="false" ht="12.75" hidden="false" customHeight="true" outlineLevel="0" collapsed="false">
      <c r="A947" s="121" t="str">
        <f aca="false">IF(B947="","",CONCATENATE(COUNTA($B$4:B947),"."))</f>
        <v/>
      </c>
      <c r="B947" s="112"/>
      <c r="C947" s="112"/>
      <c r="D947" s="81"/>
      <c r="E947" s="81"/>
      <c r="F947" s="81"/>
      <c r="G947" s="81"/>
      <c r="H947" s="81"/>
      <c r="I947" s="161"/>
      <c r="J947" s="154" t="str">
        <f aca="false">IF(H947="","",ROUNDUP(H947*35%,0))</f>
        <v/>
      </c>
      <c r="K947" s="113"/>
      <c r="L947" s="113"/>
    </row>
    <row r="948" customFormat="false" ht="12.75" hidden="false" customHeight="true" outlineLevel="0" collapsed="false">
      <c r="A948" s="121" t="str">
        <f aca="false">IF(B948="","",CONCATENATE(COUNTA($B$4:B948),"."))</f>
        <v/>
      </c>
      <c r="B948" s="112"/>
      <c r="C948" s="112"/>
      <c r="D948" s="81"/>
      <c r="E948" s="81"/>
      <c r="F948" s="81"/>
      <c r="G948" s="81"/>
      <c r="H948" s="81"/>
      <c r="I948" s="161"/>
      <c r="J948" s="154" t="str">
        <f aca="false">IF(H948="","",ROUNDUP(H948*35%,0))</f>
        <v/>
      </c>
      <c r="K948" s="113"/>
      <c r="L948" s="113"/>
    </row>
    <row r="949" customFormat="false" ht="12.75" hidden="false" customHeight="true" outlineLevel="0" collapsed="false">
      <c r="A949" s="121" t="str">
        <f aca="false">IF(B949="","",CONCATENATE(COUNTA($B$4:B949),"."))</f>
        <v/>
      </c>
      <c r="B949" s="112"/>
      <c r="C949" s="112"/>
      <c r="D949" s="81"/>
      <c r="E949" s="81"/>
      <c r="F949" s="81"/>
      <c r="G949" s="81"/>
      <c r="H949" s="81"/>
      <c r="I949" s="161"/>
      <c r="J949" s="154" t="str">
        <f aca="false">IF(H949="","",ROUNDUP(H949*35%,0))</f>
        <v/>
      </c>
      <c r="K949" s="113"/>
      <c r="L949" s="113"/>
    </row>
    <row r="950" customFormat="false" ht="12.75" hidden="false" customHeight="true" outlineLevel="0" collapsed="false">
      <c r="A950" s="121" t="str">
        <f aca="false">IF(B950="","",CONCATENATE(COUNTA($B$4:B950),"."))</f>
        <v/>
      </c>
      <c r="B950" s="112"/>
      <c r="C950" s="112"/>
      <c r="D950" s="81"/>
      <c r="E950" s="81"/>
      <c r="F950" s="81"/>
      <c r="G950" s="81"/>
      <c r="H950" s="81"/>
      <c r="I950" s="161"/>
      <c r="J950" s="154" t="str">
        <f aca="false">IF(H950="","",ROUNDUP(H950*35%,0))</f>
        <v/>
      </c>
      <c r="K950" s="113"/>
      <c r="L950" s="113"/>
    </row>
    <row r="951" customFormat="false" ht="12.75" hidden="false" customHeight="true" outlineLevel="0" collapsed="false">
      <c r="A951" s="121" t="str">
        <f aca="false">IF(B951="","",CONCATENATE(COUNTA($B$4:B951),"."))</f>
        <v/>
      </c>
      <c r="B951" s="112"/>
      <c r="C951" s="112"/>
      <c r="D951" s="81"/>
      <c r="E951" s="81"/>
      <c r="F951" s="81"/>
      <c r="G951" s="81"/>
      <c r="H951" s="81"/>
      <c r="I951" s="161"/>
      <c r="J951" s="154" t="str">
        <f aca="false">IF(H951="","",ROUNDUP(H951*35%,0))</f>
        <v/>
      </c>
      <c r="K951" s="113"/>
      <c r="L951" s="113"/>
    </row>
    <row r="952" customFormat="false" ht="12.75" hidden="false" customHeight="true" outlineLevel="0" collapsed="false">
      <c r="A952" s="121" t="str">
        <f aca="false">IF(B952="","",CONCATENATE(COUNTA($B$4:B952),"."))</f>
        <v/>
      </c>
      <c r="B952" s="112"/>
      <c r="C952" s="112"/>
      <c r="D952" s="81"/>
      <c r="E952" s="81"/>
      <c r="F952" s="81"/>
      <c r="G952" s="81"/>
      <c r="H952" s="81"/>
      <c r="I952" s="161"/>
      <c r="J952" s="154" t="str">
        <f aca="false">IF(H952="","",ROUNDUP(H952*35%,0))</f>
        <v/>
      </c>
      <c r="K952" s="113"/>
      <c r="L952" s="113"/>
    </row>
    <row r="953" customFormat="false" ht="12.75" hidden="false" customHeight="true" outlineLevel="0" collapsed="false">
      <c r="A953" s="121" t="str">
        <f aca="false">IF(B953="","",CONCATENATE(COUNTA($B$4:B953),"."))</f>
        <v/>
      </c>
      <c r="B953" s="112"/>
      <c r="C953" s="112"/>
      <c r="D953" s="81"/>
      <c r="E953" s="81"/>
      <c r="F953" s="81"/>
      <c r="G953" s="81"/>
      <c r="H953" s="81"/>
      <c r="I953" s="161"/>
      <c r="J953" s="154" t="str">
        <f aca="false">IF(H953="","",ROUNDUP(H953*35%,0))</f>
        <v/>
      </c>
      <c r="K953" s="113"/>
      <c r="L953" s="113"/>
    </row>
    <row r="954" customFormat="false" ht="12.75" hidden="false" customHeight="true" outlineLevel="0" collapsed="false">
      <c r="A954" s="121" t="str">
        <f aca="false">IF(B954="","",CONCATENATE(COUNTA($B$4:B954),"."))</f>
        <v/>
      </c>
      <c r="B954" s="112"/>
      <c r="C954" s="112"/>
      <c r="D954" s="81"/>
      <c r="E954" s="81"/>
      <c r="F954" s="81"/>
      <c r="G954" s="81"/>
      <c r="H954" s="81"/>
      <c r="I954" s="161"/>
      <c r="J954" s="154" t="str">
        <f aca="false">IF(H954="","",ROUNDUP(H954*35%,0))</f>
        <v/>
      </c>
      <c r="K954" s="113"/>
      <c r="L954" s="113"/>
    </row>
    <row r="955" customFormat="false" ht="12.75" hidden="false" customHeight="true" outlineLevel="0" collapsed="false">
      <c r="A955" s="121" t="str">
        <f aca="false">IF(B955="","",CONCATENATE(COUNTA($B$4:B955),"."))</f>
        <v/>
      </c>
      <c r="B955" s="112"/>
      <c r="C955" s="112"/>
      <c r="D955" s="81"/>
      <c r="E955" s="81"/>
      <c r="F955" s="81"/>
      <c r="G955" s="81"/>
      <c r="H955" s="81"/>
      <c r="I955" s="161"/>
      <c r="J955" s="154" t="str">
        <f aca="false">IF(H955="","",ROUNDUP(H955*35%,0))</f>
        <v/>
      </c>
      <c r="K955" s="113"/>
      <c r="L955" s="113"/>
    </row>
    <row r="956" customFormat="false" ht="12.75" hidden="false" customHeight="true" outlineLevel="0" collapsed="false">
      <c r="A956" s="121" t="str">
        <f aca="false">IF(B956="","",CONCATENATE(COUNTA($B$4:B956),"."))</f>
        <v/>
      </c>
      <c r="B956" s="112"/>
      <c r="C956" s="112"/>
      <c r="D956" s="81"/>
      <c r="E956" s="81"/>
      <c r="F956" s="81"/>
      <c r="G956" s="81"/>
      <c r="H956" s="81"/>
      <c r="I956" s="161"/>
      <c r="J956" s="154" t="str">
        <f aca="false">IF(H956="","",ROUNDUP(H956*35%,0))</f>
        <v/>
      </c>
      <c r="K956" s="113"/>
      <c r="L956" s="113"/>
    </row>
    <row r="957" customFormat="false" ht="12.75" hidden="false" customHeight="true" outlineLevel="0" collapsed="false">
      <c r="A957" s="121" t="str">
        <f aca="false">IF(B957="","",CONCATENATE(COUNTA($B$4:B957),"."))</f>
        <v/>
      </c>
      <c r="B957" s="112"/>
      <c r="C957" s="112"/>
      <c r="D957" s="81"/>
      <c r="E957" s="81"/>
      <c r="F957" s="81"/>
      <c r="G957" s="81"/>
      <c r="H957" s="81"/>
      <c r="I957" s="161"/>
      <c r="J957" s="154" t="str">
        <f aca="false">IF(H957="","",ROUNDUP(H957*35%,0))</f>
        <v/>
      </c>
      <c r="K957" s="113"/>
      <c r="L957" s="113"/>
    </row>
    <row r="958" customFormat="false" ht="12.75" hidden="false" customHeight="true" outlineLevel="0" collapsed="false">
      <c r="A958" s="121" t="str">
        <f aca="false">IF(B958="","",CONCATENATE(COUNTA($B$4:B958),"."))</f>
        <v/>
      </c>
      <c r="B958" s="112"/>
      <c r="C958" s="112"/>
      <c r="D958" s="81"/>
      <c r="E958" s="81"/>
      <c r="F958" s="81"/>
      <c r="G958" s="81"/>
      <c r="H958" s="81"/>
      <c r="I958" s="161"/>
      <c r="J958" s="154" t="str">
        <f aca="false">IF(H958="","",ROUNDUP(H958*35%,0))</f>
        <v/>
      </c>
      <c r="K958" s="113"/>
      <c r="L958" s="113"/>
    </row>
    <row r="959" customFormat="false" ht="12.75" hidden="false" customHeight="true" outlineLevel="0" collapsed="false">
      <c r="A959" s="121" t="str">
        <f aca="false">IF(B959="","",CONCATENATE(COUNTA($B$4:B959),"."))</f>
        <v/>
      </c>
      <c r="B959" s="112"/>
      <c r="C959" s="112"/>
      <c r="D959" s="81"/>
      <c r="E959" s="81"/>
      <c r="F959" s="81"/>
      <c r="G959" s="81"/>
      <c r="H959" s="81"/>
      <c r="I959" s="161"/>
      <c r="J959" s="154" t="str">
        <f aca="false">IF(H959="","",ROUNDUP(H959*35%,0))</f>
        <v/>
      </c>
      <c r="K959" s="113"/>
      <c r="L959" s="113"/>
    </row>
    <row r="960" customFormat="false" ht="12.75" hidden="false" customHeight="true" outlineLevel="0" collapsed="false">
      <c r="A960" s="121" t="str">
        <f aca="false">IF(B960="","",CONCATENATE(COUNTA($B$4:B960),"."))</f>
        <v/>
      </c>
      <c r="B960" s="112"/>
      <c r="C960" s="112"/>
      <c r="D960" s="81"/>
      <c r="E960" s="81"/>
      <c r="F960" s="81"/>
      <c r="G960" s="81"/>
      <c r="H960" s="81"/>
      <c r="I960" s="161"/>
      <c r="J960" s="154" t="str">
        <f aca="false">IF(H960="","",ROUNDUP(H960*35%,0))</f>
        <v/>
      </c>
      <c r="K960" s="113"/>
      <c r="L960" s="113"/>
    </row>
    <row r="961" customFormat="false" ht="12.75" hidden="false" customHeight="true" outlineLevel="0" collapsed="false">
      <c r="A961" s="121" t="str">
        <f aca="false">IF(B961="","",CONCATENATE(COUNTA($B$4:B961),"."))</f>
        <v/>
      </c>
      <c r="B961" s="112"/>
      <c r="C961" s="112"/>
      <c r="D961" s="81"/>
      <c r="E961" s="81"/>
      <c r="F961" s="81"/>
      <c r="G961" s="81"/>
      <c r="H961" s="81"/>
      <c r="I961" s="161"/>
      <c r="J961" s="154" t="str">
        <f aca="false">IF(H961="","",ROUNDUP(H961*35%,0))</f>
        <v/>
      </c>
      <c r="K961" s="113"/>
      <c r="L961" s="113"/>
    </row>
    <row r="962" customFormat="false" ht="12.75" hidden="false" customHeight="true" outlineLevel="0" collapsed="false">
      <c r="A962" s="121" t="str">
        <f aca="false">IF(B962="","",CONCATENATE(COUNTA($B$4:B962),"."))</f>
        <v/>
      </c>
      <c r="B962" s="112"/>
      <c r="C962" s="112"/>
      <c r="D962" s="81"/>
      <c r="E962" s="81"/>
      <c r="F962" s="81"/>
      <c r="G962" s="81"/>
      <c r="H962" s="81"/>
      <c r="I962" s="161"/>
      <c r="J962" s="154" t="str">
        <f aca="false">IF(H962="","",ROUNDUP(H962*35%,0))</f>
        <v/>
      </c>
      <c r="K962" s="113"/>
      <c r="L962" s="113"/>
    </row>
    <row r="963" customFormat="false" ht="12.75" hidden="false" customHeight="true" outlineLevel="0" collapsed="false">
      <c r="A963" s="121" t="str">
        <f aca="false">IF(B963="","",CONCATENATE(COUNTA($B$4:B963),"."))</f>
        <v/>
      </c>
      <c r="B963" s="112"/>
      <c r="C963" s="112"/>
      <c r="D963" s="81"/>
      <c r="E963" s="81"/>
      <c r="F963" s="81"/>
      <c r="G963" s="81"/>
      <c r="H963" s="81"/>
      <c r="I963" s="161"/>
      <c r="J963" s="154" t="str">
        <f aca="false">IF(H963="","",ROUNDUP(H963*35%,0))</f>
        <v/>
      </c>
      <c r="K963" s="113"/>
      <c r="L963" s="113"/>
    </row>
    <row r="964" customFormat="false" ht="12.75" hidden="false" customHeight="true" outlineLevel="0" collapsed="false">
      <c r="A964" s="121" t="str">
        <f aca="false">IF(B964="","",CONCATENATE(COUNTA($B$4:B964),"."))</f>
        <v/>
      </c>
      <c r="B964" s="112"/>
      <c r="C964" s="112"/>
      <c r="D964" s="81"/>
      <c r="E964" s="81"/>
      <c r="F964" s="81"/>
      <c r="G964" s="81"/>
      <c r="H964" s="81"/>
      <c r="I964" s="161"/>
      <c r="J964" s="154" t="str">
        <f aca="false">IF(H964="","",ROUNDUP(H964*35%,0))</f>
        <v/>
      </c>
      <c r="K964" s="113"/>
      <c r="L964" s="113"/>
    </row>
    <row r="965" customFormat="false" ht="12.75" hidden="false" customHeight="true" outlineLevel="0" collapsed="false">
      <c r="A965" s="121" t="str">
        <f aca="false">IF(B965="","",CONCATENATE(COUNTA($B$4:B965),"."))</f>
        <v/>
      </c>
      <c r="B965" s="112"/>
      <c r="C965" s="112"/>
      <c r="D965" s="81"/>
      <c r="E965" s="81"/>
      <c r="F965" s="81"/>
      <c r="G965" s="81"/>
      <c r="H965" s="81"/>
      <c r="I965" s="161"/>
      <c r="J965" s="154" t="str">
        <f aca="false">IF(H965="","",ROUNDUP(H965*35%,0))</f>
        <v/>
      </c>
      <c r="K965" s="113"/>
      <c r="L965" s="113"/>
    </row>
    <row r="966" customFormat="false" ht="12.75" hidden="false" customHeight="true" outlineLevel="0" collapsed="false">
      <c r="A966" s="121" t="str">
        <f aca="false">IF(B966="","",CONCATENATE(COUNTA($B$4:B966),"."))</f>
        <v/>
      </c>
      <c r="B966" s="112"/>
      <c r="C966" s="112"/>
      <c r="D966" s="81"/>
      <c r="E966" s="81"/>
      <c r="F966" s="81"/>
      <c r="G966" s="81"/>
      <c r="H966" s="81"/>
      <c r="I966" s="161"/>
      <c r="J966" s="154" t="str">
        <f aca="false">IF(H966="","",ROUNDUP(H966*35%,0))</f>
        <v/>
      </c>
      <c r="K966" s="113"/>
      <c r="L966" s="113"/>
    </row>
    <row r="967" customFormat="false" ht="12.75" hidden="false" customHeight="true" outlineLevel="0" collapsed="false">
      <c r="A967" s="121" t="str">
        <f aca="false">IF(B967="","",CONCATENATE(COUNTA($B$4:B967),"."))</f>
        <v/>
      </c>
      <c r="B967" s="112"/>
      <c r="C967" s="112"/>
      <c r="D967" s="81"/>
      <c r="E967" s="81"/>
      <c r="F967" s="81"/>
      <c r="G967" s="81"/>
      <c r="H967" s="81"/>
      <c r="I967" s="161"/>
      <c r="J967" s="154" t="str">
        <f aca="false">IF(H967="","",ROUNDUP(H967*35%,0))</f>
        <v/>
      </c>
      <c r="K967" s="113"/>
      <c r="L967" s="113"/>
    </row>
    <row r="968" customFormat="false" ht="12.75" hidden="false" customHeight="true" outlineLevel="0" collapsed="false">
      <c r="A968" s="121" t="str">
        <f aca="false">IF(B968="","",CONCATENATE(COUNTA($B$4:B968),"."))</f>
        <v/>
      </c>
      <c r="B968" s="112"/>
      <c r="C968" s="112"/>
      <c r="D968" s="81"/>
      <c r="E968" s="81"/>
      <c r="F968" s="81"/>
      <c r="G968" s="81"/>
      <c r="H968" s="81"/>
      <c r="I968" s="161"/>
      <c r="J968" s="154" t="str">
        <f aca="false">IF(H968="","",ROUNDUP(H968*35%,0))</f>
        <v/>
      </c>
      <c r="K968" s="113"/>
      <c r="L968" s="113"/>
    </row>
    <row r="969" customFormat="false" ht="12.75" hidden="false" customHeight="true" outlineLevel="0" collapsed="false">
      <c r="A969" s="121" t="str">
        <f aca="false">IF(B969="","",CONCATENATE(COUNTA($B$4:B969),"."))</f>
        <v/>
      </c>
      <c r="B969" s="112"/>
      <c r="C969" s="112"/>
      <c r="D969" s="81"/>
      <c r="E969" s="81"/>
      <c r="F969" s="81"/>
      <c r="G969" s="81"/>
      <c r="H969" s="81"/>
      <c r="I969" s="161"/>
      <c r="J969" s="154" t="str">
        <f aca="false">IF(H969="","",ROUNDUP(H969*35%,0))</f>
        <v/>
      </c>
      <c r="K969" s="113"/>
      <c r="L969" s="113"/>
    </row>
    <row r="970" customFormat="false" ht="12.75" hidden="false" customHeight="true" outlineLevel="0" collapsed="false">
      <c r="A970" s="121" t="str">
        <f aca="false">IF(B970="","",CONCATENATE(COUNTA($B$4:B970),"."))</f>
        <v/>
      </c>
      <c r="B970" s="112"/>
      <c r="C970" s="112"/>
      <c r="D970" s="81"/>
      <c r="E970" s="81"/>
      <c r="F970" s="81"/>
      <c r="G970" s="81"/>
      <c r="H970" s="81"/>
      <c r="I970" s="161"/>
      <c r="J970" s="154" t="str">
        <f aca="false">IF(H970="","",ROUNDUP(H970*35%,0))</f>
        <v/>
      </c>
      <c r="K970" s="113"/>
      <c r="L970" s="113"/>
    </row>
    <row r="971" customFormat="false" ht="12.75" hidden="false" customHeight="true" outlineLevel="0" collapsed="false">
      <c r="A971" s="121" t="str">
        <f aca="false">IF(B971="","",CONCATENATE(COUNTA($B$4:B971),"."))</f>
        <v/>
      </c>
      <c r="B971" s="112"/>
      <c r="C971" s="112"/>
      <c r="D971" s="81"/>
      <c r="E971" s="81"/>
      <c r="F971" s="81"/>
      <c r="G971" s="81"/>
      <c r="H971" s="81"/>
      <c r="I971" s="161"/>
      <c r="J971" s="154" t="str">
        <f aca="false">IF(H971="","",ROUNDUP(H971*35%,0))</f>
        <v/>
      </c>
      <c r="K971" s="113"/>
      <c r="L971" s="113"/>
    </row>
    <row r="972" customFormat="false" ht="12.75" hidden="false" customHeight="true" outlineLevel="0" collapsed="false">
      <c r="A972" s="121" t="str">
        <f aca="false">IF(B972="","",CONCATENATE(COUNTA($B$4:B972),"."))</f>
        <v/>
      </c>
      <c r="B972" s="112"/>
      <c r="C972" s="112"/>
      <c r="D972" s="81"/>
      <c r="E972" s="81"/>
      <c r="F972" s="81"/>
      <c r="G972" s="81"/>
      <c r="H972" s="81"/>
      <c r="I972" s="161"/>
      <c r="J972" s="154" t="str">
        <f aca="false">IF(H972="","",ROUNDUP(H972*35%,0))</f>
        <v/>
      </c>
      <c r="K972" s="113"/>
      <c r="L972" s="113"/>
    </row>
    <row r="973" customFormat="false" ht="12.75" hidden="false" customHeight="true" outlineLevel="0" collapsed="false">
      <c r="A973" s="121" t="str">
        <f aca="false">IF(B973="","",CONCATENATE(COUNTA($B$4:B973),"."))</f>
        <v/>
      </c>
      <c r="B973" s="112"/>
      <c r="C973" s="112"/>
      <c r="D973" s="81"/>
      <c r="E973" s="81"/>
      <c r="F973" s="81"/>
      <c r="G973" s="81"/>
      <c r="H973" s="81"/>
      <c r="I973" s="161"/>
      <c r="J973" s="154" t="str">
        <f aca="false">IF(H973="","",ROUNDUP(H973*35%,0))</f>
        <v/>
      </c>
      <c r="K973" s="113"/>
      <c r="L973" s="113"/>
    </row>
    <row r="974" customFormat="false" ht="12.75" hidden="false" customHeight="true" outlineLevel="0" collapsed="false">
      <c r="A974" s="121" t="str">
        <f aca="false">IF(B974="","",CONCATENATE(COUNTA($B$4:B974),"."))</f>
        <v/>
      </c>
      <c r="B974" s="112"/>
      <c r="C974" s="112"/>
      <c r="D974" s="81"/>
      <c r="E974" s="81"/>
      <c r="F974" s="81"/>
      <c r="G974" s="81"/>
      <c r="H974" s="81"/>
      <c r="I974" s="161"/>
      <c r="J974" s="154" t="str">
        <f aca="false">IF(H974="","",ROUNDUP(H974*35%,0))</f>
        <v/>
      </c>
      <c r="K974" s="113"/>
      <c r="L974" s="113"/>
    </row>
    <row r="975" customFormat="false" ht="12.75" hidden="false" customHeight="true" outlineLevel="0" collapsed="false">
      <c r="A975" s="121" t="str">
        <f aca="false">IF(B975="","",CONCATENATE(COUNTA($B$4:B975),"."))</f>
        <v/>
      </c>
      <c r="B975" s="112"/>
      <c r="C975" s="112"/>
      <c r="D975" s="81"/>
      <c r="E975" s="81"/>
      <c r="F975" s="81"/>
      <c r="G975" s="81"/>
      <c r="H975" s="81"/>
      <c r="I975" s="161"/>
      <c r="J975" s="154" t="str">
        <f aca="false">IF(H975="","",ROUNDUP(H975*35%,0))</f>
        <v/>
      </c>
      <c r="K975" s="113"/>
      <c r="L975" s="113"/>
    </row>
    <row r="976" customFormat="false" ht="12.75" hidden="false" customHeight="true" outlineLevel="0" collapsed="false">
      <c r="A976" s="121" t="str">
        <f aca="false">IF(B976="","",CONCATENATE(COUNTA($B$4:B976),"."))</f>
        <v/>
      </c>
      <c r="B976" s="112"/>
      <c r="C976" s="112"/>
      <c r="D976" s="81"/>
      <c r="E976" s="81"/>
      <c r="F976" s="81"/>
      <c r="G976" s="81"/>
      <c r="H976" s="81"/>
      <c r="I976" s="161"/>
      <c r="J976" s="154" t="str">
        <f aca="false">IF(H976="","",ROUNDUP(H976*35%,0))</f>
        <v/>
      </c>
      <c r="K976" s="113"/>
      <c r="L976" s="113"/>
    </row>
    <row r="977" customFormat="false" ht="12.75" hidden="false" customHeight="true" outlineLevel="0" collapsed="false">
      <c r="A977" s="121" t="str">
        <f aca="false">IF(B977="","",CONCATENATE(COUNTA($B$4:B977),"."))</f>
        <v/>
      </c>
      <c r="B977" s="112"/>
      <c r="C977" s="112"/>
      <c r="D977" s="81"/>
      <c r="E977" s="81"/>
      <c r="F977" s="81"/>
      <c r="G977" s="81"/>
      <c r="H977" s="81"/>
      <c r="I977" s="161"/>
      <c r="J977" s="154" t="str">
        <f aca="false">IF(H977="","",ROUNDUP(H977*35%,0))</f>
        <v/>
      </c>
      <c r="K977" s="113"/>
      <c r="L977" s="113"/>
    </row>
    <row r="978" customFormat="false" ht="12.75" hidden="false" customHeight="true" outlineLevel="0" collapsed="false">
      <c r="A978" s="121" t="str">
        <f aca="false">IF(B978="","",CONCATENATE(COUNTA($B$4:B978),"."))</f>
        <v/>
      </c>
      <c r="B978" s="112"/>
      <c r="C978" s="112"/>
      <c r="D978" s="81"/>
      <c r="E978" s="81"/>
      <c r="F978" s="81"/>
      <c r="G978" s="81"/>
      <c r="H978" s="81"/>
      <c r="I978" s="161"/>
      <c r="J978" s="154" t="str">
        <f aca="false">IF(H978="","",ROUNDUP(H978*35%,0))</f>
        <v/>
      </c>
      <c r="K978" s="113"/>
      <c r="L978" s="113"/>
    </row>
    <row r="979" customFormat="false" ht="12.75" hidden="false" customHeight="true" outlineLevel="0" collapsed="false">
      <c r="A979" s="121" t="str">
        <f aca="false">IF(B979="","",CONCATENATE(COUNTA($B$4:B979),"."))</f>
        <v/>
      </c>
      <c r="B979" s="112"/>
      <c r="C979" s="112"/>
      <c r="D979" s="81"/>
      <c r="E979" s="81"/>
      <c r="F979" s="81"/>
      <c r="G979" s="81"/>
      <c r="H979" s="81"/>
      <c r="I979" s="161"/>
      <c r="J979" s="154" t="str">
        <f aca="false">IF(H979="","",ROUNDUP(H979*35%,0))</f>
        <v/>
      </c>
      <c r="K979" s="113"/>
      <c r="L979" s="113"/>
    </row>
    <row r="980" customFormat="false" ht="12.75" hidden="false" customHeight="true" outlineLevel="0" collapsed="false">
      <c r="A980" s="121" t="str">
        <f aca="false">IF(B980="","",CONCATENATE(COUNTA($B$4:B980),"."))</f>
        <v/>
      </c>
      <c r="B980" s="112"/>
      <c r="C980" s="112"/>
      <c r="D980" s="81"/>
      <c r="E980" s="81"/>
      <c r="F980" s="81"/>
      <c r="G980" s="81"/>
      <c r="H980" s="81"/>
      <c r="I980" s="161"/>
      <c r="J980" s="154" t="str">
        <f aca="false">IF(H980="","",ROUNDUP(H980*35%,0))</f>
        <v/>
      </c>
      <c r="K980" s="113"/>
      <c r="L980" s="113"/>
    </row>
    <row r="981" customFormat="false" ht="12.75" hidden="false" customHeight="true" outlineLevel="0" collapsed="false">
      <c r="A981" s="121" t="str">
        <f aca="false">IF(B981="","",CONCATENATE(COUNTA($B$4:B981),"."))</f>
        <v/>
      </c>
      <c r="B981" s="112"/>
      <c r="C981" s="112"/>
      <c r="D981" s="81"/>
      <c r="E981" s="81"/>
      <c r="F981" s="81"/>
      <c r="G981" s="81"/>
      <c r="H981" s="81"/>
      <c r="I981" s="161"/>
      <c r="J981" s="154" t="str">
        <f aca="false">IF(H981="","",ROUNDUP(H981*35%,0))</f>
        <v/>
      </c>
      <c r="K981" s="113"/>
      <c r="L981" s="113"/>
    </row>
    <row r="982" customFormat="false" ht="12.75" hidden="false" customHeight="true" outlineLevel="0" collapsed="false">
      <c r="A982" s="121" t="str">
        <f aca="false">IF(B982="","",CONCATENATE(COUNTA($B$4:B982),"."))</f>
        <v/>
      </c>
      <c r="B982" s="112"/>
      <c r="C982" s="112"/>
      <c r="D982" s="81"/>
      <c r="E982" s="81"/>
      <c r="F982" s="81"/>
      <c r="G982" s="81"/>
      <c r="H982" s="81"/>
      <c r="I982" s="161"/>
      <c r="J982" s="154" t="str">
        <f aca="false">IF(H982="","",ROUNDUP(H982*35%,0))</f>
        <v/>
      </c>
      <c r="K982" s="113"/>
      <c r="L982" s="113"/>
    </row>
    <row r="983" customFormat="false" ht="12.75" hidden="false" customHeight="true" outlineLevel="0" collapsed="false">
      <c r="A983" s="121" t="str">
        <f aca="false">IF(B983="","",CONCATENATE(COUNTA($B$4:B983),"."))</f>
        <v/>
      </c>
      <c r="B983" s="112"/>
      <c r="C983" s="112"/>
      <c r="D983" s="81"/>
      <c r="E983" s="81"/>
      <c r="F983" s="81"/>
      <c r="G983" s="81"/>
      <c r="H983" s="81"/>
      <c r="I983" s="161"/>
      <c r="J983" s="154" t="str">
        <f aca="false">IF(H983="","",ROUNDUP(H983*35%,0))</f>
        <v/>
      </c>
      <c r="K983" s="113"/>
      <c r="L983" s="113"/>
    </row>
    <row r="984" customFormat="false" ht="12.75" hidden="false" customHeight="true" outlineLevel="0" collapsed="false">
      <c r="A984" s="121" t="str">
        <f aca="false">IF(B984="","",CONCATENATE(COUNTA($B$4:B984),"."))</f>
        <v/>
      </c>
      <c r="B984" s="112"/>
      <c r="C984" s="112"/>
      <c r="D984" s="81"/>
      <c r="E984" s="81"/>
      <c r="F984" s="81"/>
      <c r="G984" s="81"/>
      <c r="H984" s="81"/>
      <c r="I984" s="161"/>
      <c r="J984" s="154" t="str">
        <f aca="false">IF(H984="","",ROUNDUP(H984*35%,0))</f>
        <v/>
      </c>
      <c r="K984" s="113"/>
      <c r="L984" s="113"/>
    </row>
    <row r="985" customFormat="false" ht="12.75" hidden="false" customHeight="true" outlineLevel="0" collapsed="false">
      <c r="A985" s="121" t="str">
        <f aca="false">IF(B985="","",CONCATENATE(COUNTA($B$4:B985),"."))</f>
        <v/>
      </c>
      <c r="B985" s="112"/>
      <c r="C985" s="112"/>
      <c r="D985" s="81"/>
      <c r="E985" s="81"/>
      <c r="F985" s="81"/>
      <c r="G985" s="81"/>
      <c r="H985" s="81"/>
      <c r="I985" s="161"/>
      <c r="J985" s="154" t="str">
        <f aca="false">IF(H985="","",ROUNDUP(H985*35%,0))</f>
        <v/>
      </c>
      <c r="K985" s="113"/>
      <c r="L985" s="113"/>
    </row>
    <row r="986" customFormat="false" ht="12.75" hidden="false" customHeight="true" outlineLevel="0" collapsed="false">
      <c r="A986" s="121" t="str">
        <f aca="false">IF(B986="","",CONCATENATE(COUNTA($B$4:B986),"."))</f>
        <v/>
      </c>
      <c r="B986" s="112"/>
      <c r="C986" s="112"/>
      <c r="D986" s="81"/>
      <c r="E986" s="81"/>
      <c r="F986" s="81"/>
      <c r="G986" s="81"/>
      <c r="H986" s="81"/>
      <c r="I986" s="161"/>
      <c r="J986" s="154" t="str">
        <f aca="false">IF(H986="","",ROUNDUP(H986*35%,0))</f>
        <v/>
      </c>
      <c r="K986" s="113"/>
      <c r="L986" s="113"/>
    </row>
    <row r="987" customFormat="false" ht="12.75" hidden="false" customHeight="true" outlineLevel="0" collapsed="false">
      <c r="A987" s="121" t="str">
        <f aca="false">IF(B987="","",CONCATENATE(COUNTA($B$4:B987),"."))</f>
        <v/>
      </c>
      <c r="B987" s="112"/>
      <c r="C987" s="112"/>
      <c r="D987" s="81"/>
      <c r="E987" s="81"/>
      <c r="F987" s="81"/>
      <c r="G987" s="81"/>
      <c r="H987" s="81"/>
      <c r="I987" s="161"/>
      <c r="J987" s="154" t="str">
        <f aca="false">IF(H987="","",ROUNDUP(H987*35%,0))</f>
        <v/>
      </c>
      <c r="K987" s="113"/>
      <c r="L987" s="113"/>
    </row>
    <row r="988" customFormat="false" ht="12.75" hidden="false" customHeight="true" outlineLevel="0" collapsed="false">
      <c r="A988" s="121" t="str">
        <f aca="false">IF(B988="","",CONCATENATE(COUNTA($B$4:B988),"."))</f>
        <v/>
      </c>
      <c r="B988" s="112"/>
      <c r="C988" s="112"/>
      <c r="D988" s="81"/>
      <c r="E988" s="81"/>
      <c r="F988" s="81"/>
      <c r="G988" s="81"/>
      <c r="H988" s="81"/>
      <c r="I988" s="161"/>
      <c r="J988" s="154" t="str">
        <f aca="false">IF(H988="","",ROUNDUP(H988*35%,0))</f>
        <v/>
      </c>
      <c r="K988" s="113"/>
      <c r="L988" s="113"/>
    </row>
    <row r="989" customFormat="false" ht="12.75" hidden="false" customHeight="true" outlineLevel="0" collapsed="false">
      <c r="A989" s="121" t="str">
        <f aca="false">IF(B989="","",CONCATENATE(COUNTA($B$4:B989),"."))</f>
        <v/>
      </c>
      <c r="B989" s="112"/>
      <c r="C989" s="112"/>
      <c r="D989" s="81"/>
      <c r="E989" s="81"/>
      <c r="F989" s="81"/>
      <c r="G989" s="81"/>
      <c r="H989" s="81"/>
      <c r="I989" s="161"/>
      <c r="J989" s="154" t="str">
        <f aca="false">IF(H989="","",ROUNDUP(H989*35%,0))</f>
        <v/>
      </c>
      <c r="K989" s="113"/>
      <c r="L989" s="113"/>
    </row>
    <row r="990" customFormat="false" ht="12.75" hidden="false" customHeight="true" outlineLevel="0" collapsed="false">
      <c r="A990" s="121" t="str">
        <f aca="false">IF(B990="","",CONCATENATE(COUNTA($B$4:B990),"."))</f>
        <v/>
      </c>
      <c r="B990" s="112"/>
      <c r="C990" s="112"/>
      <c r="D990" s="81"/>
      <c r="E990" s="81"/>
      <c r="F990" s="81"/>
      <c r="G990" s="81"/>
      <c r="H990" s="81"/>
      <c r="I990" s="161"/>
      <c r="J990" s="154" t="str">
        <f aca="false">IF(H990="","",ROUNDUP(H990*35%,0))</f>
        <v/>
      </c>
      <c r="K990" s="113"/>
      <c r="L990" s="113"/>
    </row>
    <row r="991" customFormat="false" ht="12.75" hidden="false" customHeight="true" outlineLevel="0" collapsed="false">
      <c r="A991" s="121" t="str">
        <f aca="false">IF(B991="","",CONCATENATE(COUNTA($B$4:B991),"."))</f>
        <v/>
      </c>
      <c r="B991" s="112"/>
      <c r="C991" s="112"/>
      <c r="D991" s="81"/>
      <c r="E991" s="81"/>
      <c r="F991" s="81"/>
      <c r="G991" s="81"/>
      <c r="H991" s="81"/>
      <c r="I991" s="161"/>
      <c r="J991" s="154" t="str">
        <f aca="false">IF(H991="","",ROUNDUP(H991*35%,0))</f>
        <v/>
      </c>
      <c r="K991" s="113"/>
      <c r="L991" s="113"/>
    </row>
    <row r="992" customFormat="false" ht="12.75" hidden="false" customHeight="true" outlineLevel="0" collapsed="false">
      <c r="A992" s="121" t="str">
        <f aca="false">IF(B992="","",CONCATENATE(COUNTA($B$4:B992),"."))</f>
        <v/>
      </c>
      <c r="B992" s="112"/>
      <c r="C992" s="112"/>
      <c r="D992" s="81"/>
      <c r="E992" s="81"/>
      <c r="F992" s="81"/>
      <c r="G992" s="81"/>
      <c r="H992" s="81"/>
      <c r="I992" s="161"/>
      <c r="J992" s="154" t="str">
        <f aca="false">IF(H992="","",ROUNDUP(H992*35%,0))</f>
        <v/>
      </c>
      <c r="K992" s="113"/>
      <c r="L992" s="113"/>
    </row>
    <row r="993" customFormat="false" ht="12.75" hidden="false" customHeight="true" outlineLevel="0" collapsed="false">
      <c r="A993" s="121" t="str">
        <f aca="false">IF(B993="","",CONCATENATE(COUNTA($B$4:B993),"."))</f>
        <v/>
      </c>
      <c r="B993" s="112"/>
      <c r="C993" s="112"/>
      <c r="D993" s="81"/>
      <c r="E993" s="81"/>
      <c r="F993" s="81"/>
      <c r="G993" s="81"/>
      <c r="H993" s="81"/>
      <c r="I993" s="161"/>
      <c r="J993" s="154" t="str">
        <f aca="false">IF(H993="","",ROUNDUP(H993*35%,0))</f>
        <v/>
      </c>
      <c r="K993" s="113"/>
      <c r="L993" s="113"/>
    </row>
    <row r="994" customFormat="false" ht="12.75" hidden="false" customHeight="true" outlineLevel="0" collapsed="false">
      <c r="A994" s="121" t="str">
        <f aca="false">IF(B994="","",CONCATENATE(COUNTA($B$4:B994),"."))</f>
        <v/>
      </c>
      <c r="B994" s="112"/>
      <c r="C994" s="112"/>
      <c r="D994" s="81"/>
      <c r="E994" s="81"/>
      <c r="F994" s="81"/>
      <c r="G994" s="81"/>
      <c r="H994" s="81"/>
      <c r="I994" s="161"/>
      <c r="J994" s="154" t="str">
        <f aca="false">IF(H994="","",ROUNDUP(H994*35%,0))</f>
        <v/>
      </c>
      <c r="K994" s="113"/>
      <c r="L994" s="113"/>
    </row>
    <row r="995" customFormat="false" ht="12.75" hidden="false" customHeight="true" outlineLevel="0" collapsed="false">
      <c r="A995" s="121" t="str">
        <f aca="false">IF(B995="","",CONCATENATE(COUNTA($B$4:B995),"."))</f>
        <v/>
      </c>
      <c r="B995" s="112"/>
      <c r="C995" s="112"/>
      <c r="D995" s="81"/>
      <c r="E995" s="81"/>
      <c r="F995" s="81"/>
      <c r="G995" s="81"/>
      <c r="H995" s="81"/>
      <c r="I995" s="161"/>
      <c r="J995" s="154" t="str">
        <f aca="false">IF(H995="","",ROUNDUP(H995*35%,0))</f>
        <v/>
      </c>
      <c r="K995" s="113"/>
      <c r="L995" s="113"/>
    </row>
    <row r="996" customFormat="false" ht="12.75" hidden="false" customHeight="true" outlineLevel="0" collapsed="false">
      <c r="A996" s="121" t="str">
        <f aca="false">IF(B996="","",CONCATENATE(COUNTA($B$4:B996),"."))</f>
        <v/>
      </c>
      <c r="B996" s="112"/>
      <c r="C996" s="112"/>
      <c r="D996" s="81"/>
      <c r="E996" s="81"/>
      <c r="F996" s="81"/>
      <c r="G996" s="81"/>
      <c r="H996" s="81"/>
      <c r="I996" s="161"/>
      <c r="J996" s="154" t="str">
        <f aca="false">IF(H996="","",ROUNDUP(H996*35%,0))</f>
        <v/>
      </c>
      <c r="K996" s="113"/>
      <c r="L996" s="113"/>
    </row>
    <row r="997" customFormat="false" ht="12.75" hidden="false" customHeight="true" outlineLevel="0" collapsed="false">
      <c r="A997" s="121" t="str">
        <f aca="false">IF(B997="","",CONCATENATE(COUNTA($B$4:B997),"."))</f>
        <v/>
      </c>
      <c r="B997" s="112"/>
      <c r="C997" s="112"/>
      <c r="D997" s="81"/>
      <c r="E997" s="81"/>
      <c r="F997" s="81"/>
      <c r="G997" s="81"/>
      <c r="H997" s="81"/>
      <c r="I997" s="161"/>
      <c r="J997" s="154" t="str">
        <f aca="false">IF(H997="","",ROUNDUP(H997*35%,0))</f>
        <v/>
      </c>
      <c r="K997" s="113"/>
      <c r="L997" s="113"/>
    </row>
    <row r="998" customFormat="false" ht="12.75" hidden="false" customHeight="true" outlineLevel="0" collapsed="false">
      <c r="A998" s="121" t="str">
        <f aca="false">IF(B998="","",CONCATENATE(COUNTA($B$4:B998),"."))</f>
        <v/>
      </c>
      <c r="B998" s="112"/>
      <c r="C998" s="112"/>
      <c r="D998" s="81"/>
      <c r="E998" s="81"/>
      <c r="F998" s="81"/>
      <c r="G998" s="81"/>
      <c r="H998" s="81"/>
      <c r="I998" s="161"/>
      <c r="J998" s="154" t="str">
        <f aca="false">IF(H998="","",ROUNDUP(H998*35%,0))</f>
        <v/>
      </c>
      <c r="K998" s="113"/>
      <c r="L998" s="113"/>
    </row>
    <row r="999" customFormat="false" ht="12.75" hidden="false" customHeight="true" outlineLevel="0" collapsed="false">
      <c r="A999" s="121" t="str">
        <f aca="false">IF(B999="","",CONCATENATE(COUNTA($B$4:B999),"."))</f>
        <v/>
      </c>
      <c r="B999" s="112"/>
      <c r="C999" s="112"/>
      <c r="D999" s="81"/>
      <c r="E999" s="81"/>
      <c r="F999" s="81"/>
      <c r="G999" s="81"/>
      <c r="H999" s="81"/>
      <c r="I999" s="161"/>
      <c r="J999" s="154" t="str">
        <f aca="false">IF(H999="","",ROUNDUP(H999*35%,0))</f>
        <v/>
      </c>
      <c r="K999" s="113"/>
      <c r="L999" s="113"/>
    </row>
    <row r="1000" customFormat="false" ht="12.75" hidden="false" customHeight="true" outlineLevel="0" collapsed="false">
      <c r="A1000" s="121" t="str">
        <f aca="false">IF(B1000="","",CONCATENATE(COUNTA($B$4:B1000),"."))</f>
        <v/>
      </c>
      <c r="B1000" s="112"/>
      <c r="C1000" s="112"/>
      <c r="D1000" s="81"/>
      <c r="E1000" s="81"/>
      <c r="F1000" s="81"/>
      <c r="G1000" s="81"/>
      <c r="H1000" s="81"/>
      <c r="I1000" s="161"/>
      <c r="J1000" s="154" t="str">
        <f aca="false">IF(H1000="","",ROUNDUP(H1000*35%,0))</f>
        <v/>
      </c>
      <c r="K1000" s="113"/>
      <c r="L1000" s="113"/>
    </row>
    <row r="1001" customFormat="false" ht="12.75" hidden="false" customHeight="true" outlineLevel="0" collapsed="false">
      <c r="A1001" s="121" t="str">
        <f aca="false">IF(B1001="","",CONCATENATE(COUNTA($B$4:B1001),"."))</f>
        <v/>
      </c>
      <c r="B1001" s="112"/>
      <c r="C1001" s="112"/>
      <c r="D1001" s="81"/>
      <c r="E1001" s="81"/>
      <c r="F1001" s="81"/>
      <c r="G1001" s="81"/>
      <c r="H1001" s="81"/>
      <c r="I1001" s="161"/>
      <c r="J1001" s="154" t="str">
        <f aca="false">IF(H1001="","",ROUNDUP(H1001*35%,0))</f>
        <v/>
      </c>
      <c r="K1001" s="113"/>
      <c r="L1001" s="113"/>
    </row>
    <row r="1002" customFormat="false" ht="12.75" hidden="false" customHeight="true" outlineLevel="0" collapsed="false">
      <c r="A1002" s="121" t="str">
        <f aca="false">IF(B1002="","",CONCATENATE(COUNTA($B$4:B1002),"."))</f>
        <v/>
      </c>
      <c r="B1002" s="112"/>
      <c r="C1002" s="112"/>
      <c r="D1002" s="81"/>
      <c r="E1002" s="81"/>
      <c r="F1002" s="81"/>
      <c r="G1002" s="81"/>
      <c r="H1002" s="81"/>
      <c r="I1002" s="161"/>
      <c r="J1002" s="154" t="str">
        <f aca="false">IF(H1002="","",ROUNDUP(H1002*35%,0))</f>
        <v/>
      </c>
      <c r="K1002" s="113"/>
      <c r="L1002" s="113"/>
    </row>
    <row r="1003" customFormat="false" ht="12.75" hidden="false" customHeight="true" outlineLevel="0" collapsed="false">
      <c r="A1003" s="121" t="str">
        <f aca="false">IF(B1003="","",CONCATENATE(COUNTA($B$4:B1003),"."))</f>
        <v/>
      </c>
      <c r="B1003" s="112"/>
      <c r="C1003" s="112"/>
      <c r="D1003" s="81"/>
      <c r="E1003" s="81"/>
      <c r="F1003" s="81"/>
      <c r="G1003" s="81"/>
      <c r="H1003" s="81"/>
      <c r="I1003" s="161"/>
      <c r="J1003" s="154" t="str">
        <f aca="false">IF(H1003="","",ROUNDUP(H1003*35%,0))</f>
        <v/>
      </c>
      <c r="K1003" s="113"/>
      <c r="L1003" s="113"/>
    </row>
    <row r="1004" customFormat="false" ht="12.75" hidden="false" customHeight="true" outlineLevel="0" collapsed="false">
      <c r="A1004" s="121" t="str">
        <f aca="false">IF(B1004="","",CONCATENATE(COUNTA($B$4:B1004),"."))</f>
        <v/>
      </c>
      <c r="B1004" s="112"/>
      <c r="C1004" s="112"/>
      <c r="D1004" s="81"/>
      <c r="E1004" s="81"/>
      <c r="F1004" s="81"/>
      <c r="G1004" s="81"/>
      <c r="H1004" s="81"/>
      <c r="I1004" s="161"/>
      <c r="J1004" s="154" t="str">
        <f aca="false">IF(H1004="","",ROUNDUP(H1004*35%,0))</f>
        <v/>
      </c>
      <c r="K1004" s="113"/>
      <c r="L1004" s="113"/>
    </row>
    <row r="1005" customFormat="false" ht="12.75" hidden="false" customHeight="true" outlineLevel="0" collapsed="false">
      <c r="A1005" s="121" t="str">
        <f aca="false">IF(B1005="","",CONCATENATE(COUNTA($B$4:B1005),"."))</f>
        <v/>
      </c>
      <c r="B1005" s="112"/>
      <c r="C1005" s="112"/>
      <c r="D1005" s="81"/>
      <c r="E1005" s="81"/>
      <c r="F1005" s="81"/>
      <c r="G1005" s="81"/>
      <c r="H1005" s="81"/>
      <c r="I1005" s="161"/>
      <c r="J1005" s="154" t="str">
        <f aca="false">IF(H1005="","",ROUNDUP(H1005*35%,0))</f>
        <v/>
      </c>
      <c r="K1005" s="113"/>
      <c r="L1005" s="113"/>
    </row>
    <row r="1006" customFormat="false" ht="12.75" hidden="false" customHeight="true" outlineLevel="0" collapsed="false">
      <c r="A1006" s="121" t="str">
        <f aca="false">IF(B1006="","",CONCATENATE(COUNTA($B$4:B1006),"."))</f>
        <v/>
      </c>
      <c r="B1006" s="112"/>
      <c r="C1006" s="112"/>
      <c r="D1006" s="81"/>
      <c r="E1006" s="81"/>
      <c r="F1006" s="81"/>
      <c r="G1006" s="81"/>
      <c r="H1006" s="81"/>
      <c r="I1006" s="161"/>
      <c r="J1006" s="154" t="str">
        <f aca="false">IF(H1006="","",ROUNDUP(H1006*35%,0))</f>
        <v/>
      </c>
      <c r="K1006" s="113"/>
      <c r="L1006" s="113"/>
    </row>
    <row r="1007" customFormat="false" ht="12.75" hidden="false" customHeight="true" outlineLevel="0" collapsed="false">
      <c r="A1007" s="121" t="str">
        <f aca="false">IF(B1007="","",CONCATENATE(COUNTA($B$4:B1007),"."))</f>
        <v/>
      </c>
      <c r="B1007" s="112"/>
      <c r="C1007" s="112"/>
      <c r="D1007" s="81"/>
      <c r="E1007" s="81"/>
      <c r="F1007" s="81"/>
      <c r="G1007" s="81"/>
      <c r="H1007" s="81"/>
      <c r="I1007" s="161"/>
      <c r="J1007" s="154" t="str">
        <f aca="false">IF(H1007="","",ROUNDUP(H1007*35%,0))</f>
        <v/>
      </c>
      <c r="K1007" s="113"/>
      <c r="L1007" s="113"/>
    </row>
    <row r="1008" customFormat="false" ht="12.75" hidden="false" customHeight="true" outlineLevel="0" collapsed="false">
      <c r="A1008" s="121" t="str">
        <f aca="false">IF(B1008="","",CONCATENATE(COUNTA($B$4:B1008),"."))</f>
        <v/>
      </c>
      <c r="B1008" s="112"/>
      <c r="C1008" s="112"/>
      <c r="D1008" s="81"/>
      <c r="E1008" s="81"/>
      <c r="F1008" s="81"/>
      <c r="G1008" s="81"/>
      <c r="H1008" s="81"/>
      <c r="I1008" s="161"/>
      <c r="J1008" s="154" t="str">
        <f aca="false">IF(H1008="","",ROUNDUP(H1008*35%,0))</f>
        <v/>
      </c>
      <c r="K1008" s="113"/>
      <c r="L1008" s="113"/>
    </row>
    <row r="1009" customFormat="false" ht="12.75" hidden="false" customHeight="true" outlineLevel="0" collapsed="false">
      <c r="A1009" s="121" t="str">
        <f aca="false">IF(B1009="","",CONCATENATE(COUNTA($B$4:B1009),"."))</f>
        <v/>
      </c>
      <c r="B1009" s="112"/>
      <c r="C1009" s="112"/>
      <c r="D1009" s="81"/>
      <c r="E1009" s="81"/>
      <c r="F1009" s="81"/>
      <c r="G1009" s="81"/>
      <c r="H1009" s="81"/>
      <c r="I1009" s="161"/>
      <c r="J1009" s="154" t="str">
        <f aca="false">IF(H1009="","",ROUNDUP(H1009*35%,0))</f>
        <v/>
      </c>
      <c r="K1009" s="113"/>
      <c r="L1009" s="113"/>
    </row>
    <row r="1010" customFormat="false" ht="12.75" hidden="false" customHeight="true" outlineLevel="0" collapsed="false">
      <c r="A1010" s="121" t="str">
        <f aca="false">IF(B1010="","",CONCATENATE(COUNTA($B$4:B1010),"."))</f>
        <v/>
      </c>
      <c r="B1010" s="112"/>
      <c r="C1010" s="112"/>
      <c r="D1010" s="81"/>
      <c r="E1010" s="81"/>
      <c r="F1010" s="81"/>
      <c r="G1010" s="81"/>
      <c r="H1010" s="81"/>
      <c r="I1010" s="161"/>
      <c r="J1010" s="154" t="str">
        <f aca="false">IF(H1010="","",ROUNDUP(H1010*35%,0))</f>
        <v/>
      </c>
      <c r="K1010" s="113"/>
      <c r="L1010" s="113"/>
    </row>
    <row r="1011" customFormat="false" ht="12.75" hidden="false" customHeight="true" outlineLevel="0" collapsed="false">
      <c r="A1011" s="121" t="str">
        <f aca="false">IF(B1011="","",CONCATENATE(COUNTA($B$4:B1011),"."))</f>
        <v/>
      </c>
      <c r="B1011" s="112"/>
      <c r="C1011" s="112"/>
      <c r="D1011" s="81"/>
      <c r="E1011" s="81"/>
      <c r="F1011" s="81"/>
      <c r="G1011" s="81"/>
      <c r="H1011" s="81"/>
      <c r="I1011" s="161"/>
      <c r="J1011" s="154" t="str">
        <f aca="false">IF(H1011="","",ROUNDUP(H1011*35%,0))</f>
        <v/>
      </c>
      <c r="K1011" s="113"/>
      <c r="L1011" s="113"/>
    </row>
    <row r="1012" customFormat="false" ht="12.75" hidden="false" customHeight="true" outlineLevel="0" collapsed="false">
      <c r="A1012" s="121" t="str">
        <f aca="false">IF(B1012="","",CONCATENATE(COUNTA($B$4:B1012),"."))</f>
        <v/>
      </c>
      <c r="B1012" s="112"/>
      <c r="C1012" s="112"/>
      <c r="D1012" s="81"/>
      <c r="E1012" s="81"/>
      <c r="F1012" s="81"/>
      <c r="G1012" s="81"/>
      <c r="H1012" s="81"/>
      <c r="I1012" s="161"/>
      <c r="J1012" s="154" t="str">
        <f aca="false">IF(H1012="","",ROUNDUP(H1012*35%,0))</f>
        <v/>
      </c>
      <c r="K1012" s="113"/>
      <c r="L1012" s="113"/>
    </row>
    <row r="1013" customFormat="false" ht="12.75" hidden="false" customHeight="true" outlineLevel="0" collapsed="false">
      <c r="A1013" s="121" t="str">
        <f aca="false">IF(B1013="","",CONCATENATE(COUNTA($B$4:B1013),"."))</f>
        <v/>
      </c>
      <c r="B1013" s="112"/>
      <c r="C1013" s="112"/>
      <c r="D1013" s="81"/>
      <c r="E1013" s="81"/>
      <c r="F1013" s="81"/>
      <c r="G1013" s="81"/>
      <c r="H1013" s="81"/>
      <c r="I1013" s="161"/>
      <c r="J1013" s="154" t="str">
        <f aca="false">IF(H1013="","",ROUNDUP(H1013*35%,0))</f>
        <v/>
      </c>
      <c r="K1013" s="113"/>
      <c r="L1013" s="113"/>
    </row>
    <row r="1014" customFormat="false" ht="12.75" hidden="false" customHeight="true" outlineLevel="0" collapsed="false">
      <c r="A1014" s="121" t="str">
        <f aca="false">IF(B1014="","",CONCATENATE(COUNTA($B$4:B1014),"."))</f>
        <v/>
      </c>
      <c r="B1014" s="112"/>
      <c r="C1014" s="112"/>
      <c r="D1014" s="81"/>
      <c r="E1014" s="81"/>
      <c r="F1014" s="81"/>
      <c r="G1014" s="81"/>
      <c r="H1014" s="81"/>
      <c r="I1014" s="161"/>
      <c r="J1014" s="154" t="str">
        <f aca="false">IF(H1014="","",ROUNDUP(H1014*35%,0))</f>
        <v/>
      </c>
      <c r="K1014" s="113"/>
      <c r="L1014" s="113"/>
    </row>
    <row r="1015" customFormat="false" ht="12.75" hidden="false" customHeight="true" outlineLevel="0" collapsed="false">
      <c r="A1015" s="121" t="str">
        <f aca="false">IF(B1015="","",CONCATENATE(COUNTA($B$4:B1015),"."))</f>
        <v/>
      </c>
      <c r="B1015" s="112"/>
      <c r="C1015" s="112"/>
      <c r="D1015" s="81"/>
      <c r="E1015" s="81"/>
      <c r="F1015" s="81"/>
      <c r="G1015" s="81"/>
      <c r="H1015" s="81"/>
      <c r="I1015" s="161"/>
      <c r="J1015" s="154" t="str">
        <f aca="false">IF(H1015="","",ROUNDUP(H1015*35%,0))</f>
        <v/>
      </c>
      <c r="K1015" s="113"/>
      <c r="L1015" s="113"/>
    </row>
    <row r="1016" customFormat="false" ht="12.75" hidden="false" customHeight="true" outlineLevel="0" collapsed="false">
      <c r="A1016" s="121" t="str">
        <f aca="false">IF(B1016="","",CONCATENATE(COUNTA($B$4:B1016),"."))</f>
        <v/>
      </c>
      <c r="B1016" s="112"/>
      <c r="C1016" s="112"/>
      <c r="D1016" s="81"/>
      <c r="E1016" s="81"/>
      <c r="F1016" s="81"/>
      <c r="G1016" s="81"/>
      <c r="H1016" s="81"/>
      <c r="I1016" s="161"/>
      <c r="J1016" s="154" t="str">
        <f aca="false">IF(H1016="","",ROUNDUP(H1016*35%,0))</f>
        <v/>
      </c>
      <c r="K1016" s="113"/>
      <c r="L1016" s="113"/>
    </row>
    <row r="1017" customFormat="false" ht="12.75" hidden="false" customHeight="true" outlineLevel="0" collapsed="false">
      <c r="A1017" s="121" t="str">
        <f aca="false">IF(B1017="","",CONCATENATE(COUNTA($B$4:B1017),"."))</f>
        <v/>
      </c>
      <c r="B1017" s="112"/>
      <c r="C1017" s="112"/>
      <c r="D1017" s="81"/>
      <c r="E1017" s="81"/>
      <c r="F1017" s="81"/>
      <c r="G1017" s="81"/>
      <c r="H1017" s="81"/>
      <c r="I1017" s="161"/>
      <c r="J1017" s="154" t="str">
        <f aca="false">IF(H1017="","",ROUNDUP(H1017*35%,0))</f>
        <v/>
      </c>
      <c r="K1017" s="113"/>
      <c r="L1017" s="113"/>
    </row>
    <row r="1018" customFormat="false" ht="12.75" hidden="false" customHeight="true" outlineLevel="0" collapsed="false">
      <c r="A1018" s="121" t="str">
        <f aca="false">IF(B1018="","",CONCATENATE(COUNTA($B$4:B1018),"."))</f>
        <v/>
      </c>
      <c r="B1018" s="112"/>
      <c r="C1018" s="112"/>
      <c r="D1018" s="81"/>
      <c r="E1018" s="81"/>
      <c r="F1018" s="81"/>
      <c r="G1018" s="81"/>
      <c r="H1018" s="81"/>
      <c r="I1018" s="161"/>
      <c r="J1018" s="154" t="str">
        <f aca="false">IF(H1018="","",ROUNDUP(H1018*35%,0))</f>
        <v/>
      </c>
      <c r="K1018" s="113"/>
      <c r="L1018" s="113"/>
    </row>
    <row r="1019" customFormat="false" ht="12.75" hidden="false" customHeight="true" outlineLevel="0" collapsed="false">
      <c r="A1019" s="121" t="str">
        <f aca="false">IF(B1019="","",CONCATENATE(COUNTA($B$4:B1019),"."))</f>
        <v/>
      </c>
      <c r="B1019" s="112"/>
      <c r="C1019" s="112"/>
      <c r="D1019" s="81"/>
      <c r="E1019" s="81"/>
      <c r="F1019" s="81"/>
      <c r="G1019" s="81"/>
      <c r="H1019" s="81"/>
      <c r="I1019" s="161"/>
      <c r="J1019" s="154" t="str">
        <f aca="false">IF(H1019="","",ROUNDUP(H1019*35%,0))</f>
        <v/>
      </c>
      <c r="K1019" s="113"/>
      <c r="L1019" s="113"/>
    </row>
    <row r="1020" customFormat="false" ht="12.75" hidden="false" customHeight="true" outlineLevel="0" collapsed="false">
      <c r="A1020" s="121" t="str">
        <f aca="false">IF(B1020="","",CONCATENATE(COUNTA($B$4:B1020),"."))</f>
        <v/>
      </c>
      <c r="B1020" s="112"/>
      <c r="C1020" s="112"/>
      <c r="D1020" s="81"/>
      <c r="E1020" s="81"/>
      <c r="F1020" s="81"/>
      <c r="G1020" s="81"/>
      <c r="H1020" s="81"/>
      <c r="I1020" s="161"/>
      <c r="J1020" s="154" t="str">
        <f aca="false">IF(H1020="","",ROUNDUP(H1020*35%,0))</f>
        <v/>
      </c>
      <c r="K1020" s="113"/>
      <c r="L1020" s="113"/>
    </row>
    <row r="1021" customFormat="false" ht="12.75" hidden="false" customHeight="true" outlineLevel="0" collapsed="false">
      <c r="A1021" s="121" t="str">
        <f aca="false">IF(B1021="","",CONCATENATE(COUNTA($B$4:B1021),"."))</f>
        <v/>
      </c>
      <c r="B1021" s="112"/>
      <c r="C1021" s="112"/>
      <c r="D1021" s="81"/>
      <c r="E1021" s="81"/>
      <c r="F1021" s="81"/>
      <c r="G1021" s="81"/>
      <c r="H1021" s="81"/>
      <c r="I1021" s="161"/>
      <c r="J1021" s="154" t="str">
        <f aca="false">IF(H1021="","",ROUNDUP(H1021*35%,0))</f>
        <v/>
      </c>
      <c r="K1021" s="113"/>
      <c r="L1021" s="113"/>
    </row>
    <row r="1022" customFormat="false" ht="12.75" hidden="false" customHeight="true" outlineLevel="0" collapsed="false">
      <c r="A1022" s="121" t="str">
        <f aca="false">IF(B1022="","",CONCATENATE(COUNTA($B$4:B1022),"."))</f>
        <v/>
      </c>
      <c r="B1022" s="112"/>
      <c r="C1022" s="112"/>
      <c r="D1022" s="81"/>
      <c r="E1022" s="81"/>
      <c r="F1022" s="81"/>
      <c r="G1022" s="81"/>
      <c r="H1022" s="81"/>
      <c r="I1022" s="161"/>
      <c r="J1022" s="154" t="str">
        <f aca="false">IF(H1022="","",ROUNDUP(H1022*35%,0))</f>
        <v/>
      </c>
      <c r="K1022" s="113"/>
      <c r="L1022" s="113"/>
    </row>
    <row r="1023" customFormat="false" ht="12.75" hidden="false" customHeight="true" outlineLevel="0" collapsed="false">
      <c r="A1023" s="121" t="str">
        <f aca="false">IF(B1023="","",CONCATENATE(COUNTA($B$4:B1023),"."))</f>
        <v/>
      </c>
      <c r="B1023" s="112"/>
      <c r="C1023" s="112"/>
      <c r="D1023" s="81"/>
      <c r="E1023" s="81"/>
      <c r="F1023" s="81"/>
      <c r="G1023" s="81"/>
      <c r="H1023" s="81"/>
      <c r="I1023" s="161"/>
      <c r="J1023" s="154" t="str">
        <f aca="false">IF(H1023="","",ROUNDUP(H1023*35%,0))</f>
        <v/>
      </c>
      <c r="K1023" s="113"/>
      <c r="L1023" s="113"/>
    </row>
    <row r="1024" customFormat="false" ht="12.75" hidden="false" customHeight="true" outlineLevel="0" collapsed="false">
      <c r="A1024" s="121" t="str">
        <f aca="false">IF(B1024="","",CONCATENATE(COUNTA($B$4:B1024),"."))</f>
        <v/>
      </c>
      <c r="B1024" s="112"/>
      <c r="C1024" s="112"/>
      <c r="D1024" s="81"/>
      <c r="E1024" s="81"/>
      <c r="F1024" s="81"/>
      <c r="G1024" s="81"/>
      <c r="H1024" s="81"/>
      <c r="I1024" s="161"/>
      <c r="J1024" s="154" t="str">
        <f aca="false">IF(H1024="","",ROUNDUP(H1024*35%,0))</f>
        <v/>
      </c>
      <c r="K1024" s="113"/>
      <c r="L1024" s="113"/>
    </row>
    <row r="1025" customFormat="false" ht="12.75" hidden="false" customHeight="true" outlineLevel="0" collapsed="false">
      <c r="A1025" s="121" t="str">
        <f aca="false">IF(B1025="","",CONCATENATE(COUNTA($B$4:B1025),"."))</f>
        <v/>
      </c>
      <c r="B1025" s="112"/>
      <c r="C1025" s="112"/>
      <c r="D1025" s="81"/>
      <c r="E1025" s="81"/>
      <c r="F1025" s="81"/>
      <c r="G1025" s="81"/>
      <c r="H1025" s="81"/>
      <c r="I1025" s="161"/>
      <c r="J1025" s="154" t="str">
        <f aca="false">IF(H1025="","",ROUNDUP(H1025*35%,0))</f>
        <v/>
      </c>
      <c r="K1025" s="113"/>
      <c r="L1025" s="113"/>
    </row>
    <row r="1026" customFormat="false" ht="12.75" hidden="false" customHeight="true" outlineLevel="0" collapsed="false">
      <c r="A1026" s="121" t="str">
        <f aca="false">IF(B1026="","",CONCATENATE(COUNTA($B$4:B1026),"."))</f>
        <v/>
      </c>
      <c r="B1026" s="112"/>
      <c r="C1026" s="112"/>
      <c r="D1026" s="81"/>
      <c r="E1026" s="81"/>
      <c r="F1026" s="81"/>
      <c r="G1026" s="81"/>
      <c r="H1026" s="81"/>
      <c r="I1026" s="161"/>
      <c r="J1026" s="154" t="str">
        <f aca="false">IF(H1026="","",ROUNDUP(H1026*35%,0))</f>
        <v/>
      </c>
      <c r="K1026" s="113"/>
      <c r="L1026" s="113"/>
    </row>
    <row r="1027" customFormat="false" ht="12.75" hidden="false" customHeight="true" outlineLevel="0" collapsed="false">
      <c r="A1027" s="121" t="str">
        <f aca="false">IF(B1027="","",CONCATENATE(COUNTA($B$4:B1027),"."))</f>
        <v/>
      </c>
      <c r="B1027" s="112"/>
      <c r="C1027" s="112"/>
      <c r="D1027" s="81"/>
      <c r="E1027" s="81"/>
      <c r="F1027" s="81"/>
      <c r="G1027" s="81"/>
      <c r="H1027" s="81"/>
      <c r="I1027" s="161"/>
      <c r="J1027" s="154" t="str">
        <f aca="false">IF(H1027="","",ROUNDUP(H1027*35%,0))</f>
        <v/>
      </c>
      <c r="K1027" s="113"/>
      <c r="L1027" s="113"/>
    </row>
    <row r="1028" customFormat="false" ht="12.75" hidden="false" customHeight="true" outlineLevel="0" collapsed="false">
      <c r="A1028" s="121" t="str">
        <f aca="false">IF(B1028="","",CONCATENATE(COUNTA($B$4:B1028),"."))</f>
        <v/>
      </c>
      <c r="B1028" s="112"/>
      <c r="C1028" s="112"/>
      <c r="D1028" s="81"/>
      <c r="E1028" s="81"/>
      <c r="F1028" s="81"/>
      <c r="G1028" s="81"/>
      <c r="H1028" s="81"/>
      <c r="I1028" s="161"/>
      <c r="J1028" s="154" t="str">
        <f aca="false">IF(H1028="","",ROUNDUP(H1028*35%,0))</f>
        <v/>
      </c>
      <c r="K1028" s="113"/>
      <c r="L1028" s="113"/>
    </row>
    <row r="1029" customFormat="false" ht="12.75" hidden="false" customHeight="true" outlineLevel="0" collapsed="false">
      <c r="A1029" s="121" t="str">
        <f aca="false">IF(B1029="","",CONCATENATE(COUNTA($B$4:B1029),"."))</f>
        <v/>
      </c>
      <c r="B1029" s="112"/>
      <c r="C1029" s="112"/>
      <c r="D1029" s="81"/>
      <c r="E1029" s="81"/>
      <c r="F1029" s="81"/>
      <c r="G1029" s="81"/>
      <c r="H1029" s="81"/>
      <c r="I1029" s="161"/>
      <c r="J1029" s="154" t="str">
        <f aca="false">IF(H1029="","",ROUNDUP(H1029*35%,0))</f>
        <v/>
      </c>
      <c r="K1029" s="113"/>
      <c r="L1029" s="113"/>
    </row>
    <row r="1030" customFormat="false" ht="12.75" hidden="false" customHeight="true" outlineLevel="0" collapsed="false">
      <c r="A1030" s="121" t="str">
        <f aca="false">IF(B1030="","",CONCATENATE(COUNTA($B$4:B1030),"."))</f>
        <v/>
      </c>
      <c r="B1030" s="112"/>
      <c r="C1030" s="112"/>
      <c r="D1030" s="81"/>
      <c r="E1030" s="81"/>
      <c r="F1030" s="81"/>
      <c r="G1030" s="81"/>
      <c r="H1030" s="81"/>
      <c r="I1030" s="161"/>
      <c r="J1030" s="154" t="str">
        <f aca="false">IF(H1030="","",ROUNDUP(H1030*35%,0))</f>
        <v/>
      </c>
      <c r="K1030" s="113"/>
      <c r="L1030" s="113"/>
    </row>
    <row r="1031" customFormat="false" ht="12.75" hidden="false" customHeight="true" outlineLevel="0" collapsed="false">
      <c r="A1031" s="121" t="str">
        <f aca="false">IF(B1031="","",CONCATENATE(COUNTA($B$4:B1031),"."))</f>
        <v/>
      </c>
      <c r="B1031" s="112"/>
      <c r="C1031" s="112"/>
      <c r="D1031" s="81"/>
      <c r="E1031" s="81"/>
      <c r="F1031" s="81"/>
      <c r="G1031" s="81"/>
      <c r="H1031" s="81"/>
      <c r="I1031" s="161"/>
      <c r="J1031" s="154" t="str">
        <f aca="false">IF(H1031="","",ROUNDUP(H1031*35%,0))</f>
        <v/>
      </c>
      <c r="K1031" s="113"/>
      <c r="L1031" s="113"/>
    </row>
    <row r="1032" customFormat="false" ht="12.75" hidden="false" customHeight="true" outlineLevel="0" collapsed="false">
      <c r="A1032" s="121" t="str">
        <f aca="false">IF(B1032="","",CONCATENATE(COUNTA($B$4:B1032),"."))</f>
        <v/>
      </c>
      <c r="B1032" s="112"/>
      <c r="C1032" s="112"/>
      <c r="D1032" s="81"/>
      <c r="E1032" s="81"/>
      <c r="F1032" s="81"/>
      <c r="G1032" s="81"/>
      <c r="H1032" s="81"/>
      <c r="I1032" s="161"/>
      <c r="J1032" s="154" t="str">
        <f aca="false">IF(H1032="","",ROUNDUP(H1032*35%,0))</f>
        <v/>
      </c>
      <c r="K1032" s="113"/>
      <c r="L1032" s="113"/>
    </row>
    <row r="1033" customFormat="false" ht="12.75" hidden="false" customHeight="true" outlineLevel="0" collapsed="false">
      <c r="A1033" s="121" t="str">
        <f aca="false">IF(B1033="","",CONCATENATE(COUNTA($B$4:B1033),"."))</f>
        <v/>
      </c>
      <c r="B1033" s="112"/>
      <c r="C1033" s="112"/>
      <c r="D1033" s="81"/>
      <c r="E1033" s="81"/>
      <c r="F1033" s="81"/>
      <c r="G1033" s="81"/>
      <c r="H1033" s="81"/>
      <c r="I1033" s="161"/>
      <c r="J1033" s="154" t="str">
        <f aca="false">IF(H1033="","",ROUNDUP(H1033*35%,0))</f>
        <v/>
      </c>
      <c r="K1033" s="113"/>
      <c r="L1033" s="113"/>
    </row>
    <row r="1034" customFormat="false" ht="12.75" hidden="false" customHeight="true" outlineLevel="0" collapsed="false">
      <c r="A1034" s="121" t="str">
        <f aca="false">IF(B1034="","",CONCATENATE(COUNTA($B$4:B1034),"."))</f>
        <v/>
      </c>
      <c r="B1034" s="112"/>
      <c r="C1034" s="112"/>
      <c r="D1034" s="81"/>
      <c r="E1034" s="81"/>
      <c r="F1034" s="81"/>
      <c r="G1034" s="81"/>
      <c r="H1034" s="81"/>
      <c r="I1034" s="161"/>
      <c r="J1034" s="154" t="str">
        <f aca="false">IF(H1034="","",ROUNDUP(H1034*35%,0))</f>
        <v/>
      </c>
      <c r="K1034" s="113"/>
      <c r="L1034" s="113"/>
    </row>
    <row r="1035" customFormat="false" ht="12.75" hidden="false" customHeight="true" outlineLevel="0" collapsed="false">
      <c r="A1035" s="121" t="str">
        <f aca="false">IF(B1035="","",CONCATENATE(COUNTA($B$4:B1035),"."))</f>
        <v/>
      </c>
      <c r="B1035" s="112"/>
      <c r="C1035" s="112"/>
      <c r="D1035" s="81"/>
      <c r="E1035" s="81"/>
      <c r="F1035" s="81"/>
      <c r="G1035" s="81"/>
      <c r="H1035" s="81"/>
      <c r="I1035" s="161"/>
      <c r="J1035" s="154" t="str">
        <f aca="false">IF(H1035="","",ROUNDUP(H1035*35%,0))</f>
        <v/>
      </c>
      <c r="K1035" s="113"/>
      <c r="L1035" s="113"/>
    </row>
    <row r="1036" customFormat="false" ht="12.75" hidden="false" customHeight="true" outlineLevel="0" collapsed="false">
      <c r="A1036" s="121" t="str">
        <f aca="false">IF(B1036="","",CONCATENATE(COUNTA($B$4:B1036),"."))</f>
        <v/>
      </c>
      <c r="B1036" s="112"/>
      <c r="C1036" s="112"/>
      <c r="D1036" s="81"/>
      <c r="E1036" s="81"/>
      <c r="F1036" s="81"/>
      <c r="G1036" s="81"/>
      <c r="H1036" s="81"/>
      <c r="I1036" s="161"/>
      <c r="J1036" s="154" t="str">
        <f aca="false">IF(H1036="","",ROUNDUP(H1036*35%,0))</f>
        <v/>
      </c>
      <c r="K1036" s="113"/>
      <c r="L1036" s="113"/>
    </row>
    <row r="1037" customFormat="false" ht="12.75" hidden="false" customHeight="true" outlineLevel="0" collapsed="false">
      <c r="A1037" s="121" t="str">
        <f aca="false">IF(B1037="","",CONCATENATE(COUNTA($B$4:B1037),"."))</f>
        <v/>
      </c>
      <c r="B1037" s="112"/>
      <c r="C1037" s="112"/>
      <c r="D1037" s="81"/>
      <c r="E1037" s="81"/>
      <c r="F1037" s="81"/>
      <c r="G1037" s="81"/>
      <c r="H1037" s="81"/>
      <c r="I1037" s="161"/>
      <c r="J1037" s="154" t="str">
        <f aca="false">IF(H1037="","",ROUNDUP(H1037*35%,0))</f>
        <v/>
      </c>
      <c r="K1037" s="113"/>
      <c r="L1037" s="113"/>
    </row>
    <row r="1038" customFormat="false" ht="12.75" hidden="false" customHeight="true" outlineLevel="0" collapsed="false">
      <c r="A1038" s="121" t="str">
        <f aca="false">IF(B1038="","",CONCATENATE(COUNTA($B$4:B1038),"."))</f>
        <v/>
      </c>
      <c r="B1038" s="112"/>
      <c r="C1038" s="112"/>
      <c r="D1038" s="81"/>
      <c r="E1038" s="81"/>
      <c r="F1038" s="81"/>
      <c r="G1038" s="81"/>
      <c r="H1038" s="81"/>
      <c r="I1038" s="161"/>
      <c r="J1038" s="154" t="str">
        <f aca="false">IF(H1038="","",ROUNDUP(H1038*35%,0))</f>
        <v/>
      </c>
      <c r="K1038" s="113"/>
      <c r="L1038" s="113"/>
    </row>
    <row r="1039" customFormat="false" ht="12.75" hidden="false" customHeight="true" outlineLevel="0" collapsed="false">
      <c r="A1039" s="121" t="str">
        <f aca="false">IF(B1039="","",CONCATENATE(COUNTA($B$4:B1039),"."))</f>
        <v/>
      </c>
      <c r="B1039" s="112"/>
      <c r="C1039" s="112"/>
      <c r="D1039" s="81"/>
      <c r="E1039" s="81"/>
      <c r="F1039" s="81"/>
      <c r="G1039" s="81"/>
      <c r="H1039" s="81"/>
      <c r="I1039" s="161"/>
      <c r="J1039" s="154" t="str">
        <f aca="false">IF(H1039="","",ROUNDUP(H1039*35%,0))</f>
        <v/>
      </c>
      <c r="K1039" s="113"/>
      <c r="L1039" s="113"/>
    </row>
    <row r="1040" customFormat="false" ht="12.75" hidden="false" customHeight="true" outlineLevel="0" collapsed="false">
      <c r="A1040" s="121" t="str">
        <f aca="false">IF(B1040="","",CONCATENATE(COUNTA($B$4:B1040),"."))</f>
        <v/>
      </c>
      <c r="B1040" s="112"/>
      <c r="C1040" s="112"/>
      <c r="D1040" s="81"/>
      <c r="E1040" s="81"/>
      <c r="F1040" s="81"/>
      <c r="G1040" s="81"/>
      <c r="H1040" s="81"/>
      <c r="I1040" s="161"/>
      <c r="J1040" s="154" t="str">
        <f aca="false">IF(H1040="","",ROUNDUP(H1040*35%,0))</f>
        <v/>
      </c>
      <c r="K1040" s="113"/>
      <c r="L1040" s="113"/>
    </row>
    <row r="1041" customFormat="false" ht="12.75" hidden="false" customHeight="true" outlineLevel="0" collapsed="false">
      <c r="A1041" s="121" t="str">
        <f aca="false">IF(B1041="","",CONCATENATE(COUNTA($B$4:B1041),"."))</f>
        <v/>
      </c>
      <c r="B1041" s="112"/>
      <c r="C1041" s="112"/>
      <c r="D1041" s="81"/>
      <c r="E1041" s="81"/>
      <c r="F1041" s="81"/>
      <c r="G1041" s="81"/>
      <c r="H1041" s="81"/>
      <c r="I1041" s="161"/>
      <c r="J1041" s="154" t="str">
        <f aca="false">IF(H1041="","",ROUNDUP(H1041*35%,0))</f>
        <v/>
      </c>
      <c r="K1041" s="113"/>
      <c r="L1041" s="113"/>
    </row>
    <row r="1042" customFormat="false" ht="12.75" hidden="false" customHeight="true" outlineLevel="0" collapsed="false">
      <c r="A1042" s="121" t="str">
        <f aca="false">IF(B1042="","",CONCATENATE(COUNTA($B$4:B1042),"."))</f>
        <v/>
      </c>
      <c r="B1042" s="112"/>
      <c r="C1042" s="112"/>
      <c r="D1042" s="81"/>
      <c r="E1042" s="81"/>
      <c r="F1042" s="81"/>
      <c r="G1042" s="81"/>
      <c r="H1042" s="81"/>
      <c r="I1042" s="161"/>
      <c r="J1042" s="154" t="str">
        <f aca="false">IF(H1042="","",ROUNDUP(H1042*35%,0))</f>
        <v/>
      </c>
      <c r="K1042" s="113"/>
      <c r="L1042" s="113"/>
    </row>
    <row r="1043" customFormat="false" ht="12.75" hidden="false" customHeight="true" outlineLevel="0" collapsed="false">
      <c r="A1043" s="121" t="str">
        <f aca="false">IF(B1043="","",CONCATENATE(COUNTA($B$4:B1043),"."))</f>
        <v/>
      </c>
      <c r="B1043" s="112"/>
      <c r="C1043" s="112"/>
      <c r="D1043" s="81"/>
      <c r="E1043" s="81"/>
      <c r="F1043" s="81"/>
      <c r="G1043" s="81"/>
      <c r="H1043" s="81"/>
      <c r="I1043" s="161"/>
      <c r="J1043" s="154" t="str">
        <f aca="false">IF(H1043="","",ROUNDUP(H1043*35%,0))</f>
        <v/>
      </c>
      <c r="K1043" s="113"/>
      <c r="L1043" s="113"/>
    </row>
    <row r="1044" customFormat="false" ht="12.75" hidden="false" customHeight="true" outlineLevel="0" collapsed="false">
      <c r="A1044" s="121" t="str">
        <f aca="false">IF(B1044="","",CONCATENATE(COUNTA($B$4:B1044),"."))</f>
        <v/>
      </c>
      <c r="B1044" s="112"/>
      <c r="C1044" s="112"/>
      <c r="D1044" s="81"/>
      <c r="E1044" s="81"/>
      <c r="F1044" s="81"/>
      <c r="G1044" s="81"/>
      <c r="H1044" s="81"/>
      <c r="I1044" s="161"/>
      <c r="J1044" s="154" t="str">
        <f aca="false">IF(H1044="","",ROUNDUP(H1044*35%,0))</f>
        <v/>
      </c>
      <c r="K1044" s="113"/>
      <c r="L1044" s="113"/>
    </row>
    <row r="1045" customFormat="false" ht="12.75" hidden="false" customHeight="true" outlineLevel="0" collapsed="false">
      <c r="A1045" s="121" t="str">
        <f aca="false">IF(B1045="","",CONCATENATE(COUNTA($B$4:B1045),"."))</f>
        <v/>
      </c>
      <c r="B1045" s="112"/>
      <c r="C1045" s="112"/>
      <c r="D1045" s="81"/>
      <c r="E1045" s="81"/>
      <c r="F1045" s="81"/>
      <c r="G1045" s="81"/>
      <c r="H1045" s="81"/>
      <c r="I1045" s="161"/>
      <c r="J1045" s="154" t="str">
        <f aca="false">IF(H1045="","",ROUNDUP(H1045*35%,0))</f>
        <v/>
      </c>
      <c r="K1045" s="113"/>
      <c r="L1045" s="113"/>
    </row>
    <row r="1046" customFormat="false" ht="12.75" hidden="false" customHeight="true" outlineLevel="0" collapsed="false">
      <c r="A1046" s="121" t="str">
        <f aca="false">IF(B1046="","",CONCATENATE(COUNTA($B$4:B1046),"."))</f>
        <v/>
      </c>
      <c r="B1046" s="112"/>
      <c r="C1046" s="112"/>
      <c r="D1046" s="81"/>
      <c r="E1046" s="81"/>
      <c r="F1046" s="81"/>
      <c r="G1046" s="81"/>
      <c r="H1046" s="81"/>
      <c r="I1046" s="161"/>
      <c r="J1046" s="154" t="str">
        <f aca="false">IF(H1046="","",ROUNDUP(H1046*35%,0))</f>
        <v/>
      </c>
      <c r="K1046" s="113"/>
      <c r="L1046" s="113"/>
    </row>
    <row r="1047" customFormat="false" ht="12.75" hidden="false" customHeight="true" outlineLevel="0" collapsed="false">
      <c r="A1047" s="121" t="str">
        <f aca="false">IF(B1047="","",CONCATENATE(COUNTA($B$4:B1047),"."))</f>
        <v/>
      </c>
      <c r="B1047" s="112"/>
      <c r="C1047" s="112"/>
      <c r="D1047" s="81"/>
      <c r="E1047" s="81"/>
      <c r="F1047" s="81"/>
      <c r="G1047" s="81"/>
      <c r="H1047" s="81"/>
      <c r="I1047" s="161"/>
      <c r="J1047" s="154" t="str">
        <f aca="false">IF(H1047="","",ROUNDUP(H1047*35%,0))</f>
        <v/>
      </c>
      <c r="K1047" s="113"/>
      <c r="L1047" s="113"/>
    </row>
    <row r="1048" customFormat="false" ht="12.75" hidden="false" customHeight="true" outlineLevel="0" collapsed="false">
      <c r="A1048" s="121" t="str">
        <f aca="false">IF(B1048="","",CONCATENATE(COUNTA($B$4:B1048),"."))</f>
        <v/>
      </c>
      <c r="B1048" s="112"/>
      <c r="C1048" s="112"/>
      <c r="D1048" s="81"/>
      <c r="E1048" s="81"/>
      <c r="F1048" s="81"/>
      <c r="G1048" s="81"/>
      <c r="H1048" s="81"/>
      <c r="I1048" s="161"/>
      <c r="J1048" s="154" t="str">
        <f aca="false">IF(H1048="","",ROUNDUP(H1048*35%,0))</f>
        <v/>
      </c>
      <c r="K1048" s="113"/>
      <c r="L1048" s="113"/>
    </row>
    <row r="1049" customFormat="false" ht="12.75" hidden="false" customHeight="true" outlineLevel="0" collapsed="false">
      <c r="A1049" s="121" t="str">
        <f aca="false">IF(B1049="","",CONCATENATE(COUNTA($B$4:B1049),"."))</f>
        <v/>
      </c>
      <c r="B1049" s="112"/>
      <c r="C1049" s="112"/>
      <c r="D1049" s="81"/>
      <c r="E1049" s="81"/>
      <c r="F1049" s="81"/>
      <c r="G1049" s="81"/>
      <c r="H1049" s="81"/>
      <c r="I1049" s="161"/>
      <c r="J1049" s="154" t="str">
        <f aca="false">IF(H1049="","",ROUNDUP(H1049*35%,0))</f>
        <v/>
      </c>
      <c r="K1049" s="113"/>
      <c r="L1049" s="113"/>
    </row>
    <row r="1050" customFormat="false" ht="12.75" hidden="false" customHeight="true" outlineLevel="0" collapsed="false">
      <c r="A1050" s="121" t="str">
        <f aca="false">IF(B1050="","",CONCATENATE(COUNTA($B$4:B1050),"."))</f>
        <v/>
      </c>
      <c r="B1050" s="112"/>
      <c r="C1050" s="112"/>
      <c r="D1050" s="81"/>
      <c r="E1050" s="81"/>
      <c r="F1050" s="81"/>
      <c r="G1050" s="81"/>
      <c r="H1050" s="81"/>
      <c r="I1050" s="161"/>
      <c r="J1050" s="154" t="str">
        <f aca="false">IF(H1050="","",ROUNDUP(H1050*35%,0))</f>
        <v/>
      </c>
      <c r="K1050" s="113"/>
      <c r="L1050" s="113"/>
    </row>
    <row r="1051" customFormat="false" ht="12.75" hidden="false" customHeight="true" outlineLevel="0" collapsed="false">
      <c r="A1051" s="121" t="str">
        <f aca="false">IF(B1051="","",CONCATENATE(COUNTA($B$4:B1051),"."))</f>
        <v/>
      </c>
      <c r="B1051" s="112"/>
      <c r="C1051" s="112"/>
      <c r="D1051" s="81"/>
      <c r="E1051" s="81"/>
      <c r="F1051" s="81"/>
      <c r="G1051" s="81"/>
      <c r="H1051" s="81"/>
      <c r="I1051" s="161"/>
      <c r="J1051" s="154" t="str">
        <f aca="false">IF(H1051="","",ROUNDUP(H1051*35%,0))</f>
        <v/>
      </c>
      <c r="K1051" s="113"/>
      <c r="L1051" s="113"/>
    </row>
    <row r="1052" customFormat="false" ht="12.75" hidden="false" customHeight="true" outlineLevel="0" collapsed="false">
      <c r="A1052" s="121" t="str">
        <f aca="false">IF(B1052="","",CONCATENATE(COUNTA($B$4:B1052),"."))</f>
        <v/>
      </c>
      <c r="B1052" s="112"/>
      <c r="C1052" s="112"/>
      <c r="D1052" s="81"/>
      <c r="E1052" s="81"/>
      <c r="F1052" s="81"/>
      <c r="G1052" s="81"/>
      <c r="H1052" s="81"/>
      <c r="I1052" s="161"/>
      <c r="J1052" s="154" t="str">
        <f aca="false">IF(H1052="","",ROUNDUP(H1052*35%,0))</f>
        <v/>
      </c>
      <c r="K1052" s="113"/>
      <c r="L1052" s="113"/>
    </row>
    <row r="1053" customFormat="false" ht="12.75" hidden="false" customHeight="true" outlineLevel="0" collapsed="false">
      <c r="A1053" s="121" t="str">
        <f aca="false">IF(B1053="","",CONCATENATE(COUNTA($B$4:B1053),"."))</f>
        <v/>
      </c>
      <c r="B1053" s="112"/>
      <c r="C1053" s="112"/>
      <c r="D1053" s="81"/>
      <c r="E1053" s="81"/>
      <c r="F1053" s="81"/>
      <c r="G1053" s="81"/>
      <c r="H1053" s="81"/>
      <c r="I1053" s="161"/>
      <c r="J1053" s="154" t="str">
        <f aca="false">IF(H1053="","",ROUNDUP(H1053*35%,0))</f>
        <v/>
      </c>
      <c r="K1053" s="113"/>
      <c r="L1053" s="113"/>
    </row>
    <row r="1054" customFormat="false" ht="12.75" hidden="false" customHeight="true" outlineLevel="0" collapsed="false">
      <c r="A1054" s="121" t="str">
        <f aca="false">IF(B1054="","",CONCATENATE(COUNTA($B$4:B1054),"."))</f>
        <v/>
      </c>
      <c r="B1054" s="112"/>
      <c r="C1054" s="112"/>
      <c r="D1054" s="81"/>
      <c r="E1054" s="81"/>
      <c r="F1054" s="81"/>
      <c r="G1054" s="81"/>
      <c r="H1054" s="81"/>
      <c r="I1054" s="161"/>
      <c r="J1054" s="154" t="str">
        <f aca="false">IF(H1054="","",ROUNDUP(H1054*35%,0))</f>
        <v/>
      </c>
      <c r="K1054" s="113"/>
      <c r="L1054" s="113"/>
    </row>
    <row r="1055" customFormat="false" ht="12.75" hidden="false" customHeight="true" outlineLevel="0" collapsed="false">
      <c r="A1055" s="121" t="str">
        <f aca="false">IF(B1055="","",CONCATENATE(COUNTA($B$4:B1055),"."))</f>
        <v/>
      </c>
      <c r="B1055" s="112"/>
      <c r="C1055" s="112"/>
      <c r="D1055" s="81"/>
      <c r="E1055" s="81"/>
      <c r="F1055" s="81"/>
      <c r="G1055" s="81"/>
      <c r="H1055" s="81"/>
      <c r="I1055" s="161"/>
      <c r="J1055" s="154" t="str">
        <f aca="false">IF(H1055="","",ROUNDUP(H1055*35%,0))</f>
        <v/>
      </c>
      <c r="K1055" s="113"/>
      <c r="L1055" s="113"/>
    </row>
    <row r="1056" customFormat="false" ht="12.75" hidden="false" customHeight="true" outlineLevel="0" collapsed="false">
      <c r="A1056" s="121" t="str">
        <f aca="false">IF(B1056="","",CONCATENATE(COUNTA($B$4:B1056),"."))</f>
        <v/>
      </c>
      <c r="B1056" s="112"/>
      <c r="C1056" s="112"/>
      <c r="D1056" s="81"/>
      <c r="E1056" s="81"/>
      <c r="F1056" s="81"/>
      <c r="G1056" s="81"/>
      <c r="H1056" s="81"/>
      <c r="I1056" s="161"/>
      <c r="J1056" s="154" t="str">
        <f aca="false">IF(H1056="","",ROUNDUP(H1056*35%,0))</f>
        <v/>
      </c>
      <c r="K1056" s="113"/>
      <c r="L1056" s="113"/>
    </row>
    <row r="1057" customFormat="false" ht="12.75" hidden="false" customHeight="true" outlineLevel="0" collapsed="false">
      <c r="A1057" s="121" t="str">
        <f aca="false">IF(B1057="","",CONCATENATE(COUNTA($B$4:B1057),"."))</f>
        <v/>
      </c>
      <c r="B1057" s="112"/>
      <c r="C1057" s="112"/>
      <c r="D1057" s="81"/>
      <c r="E1057" s="81"/>
      <c r="F1057" s="81"/>
      <c r="G1057" s="81"/>
      <c r="H1057" s="81"/>
      <c r="I1057" s="161"/>
      <c r="J1057" s="154" t="str">
        <f aca="false">IF(H1057="","",ROUNDUP(H1057*35%,0))</f>
        <v/>
      </c>
      <c r="K1057" s="113"/>
      <c r="L1057" s="113"/>
    </row>
    <row r="1058" customFormat="false" ht="12.75" hidden="false" customHeight="true" outlineLevel="0" collapsed="false">
      <c r="A1058" s="121" t="str">
        <f aca="false">IF(B1058="","",CONCATENATE(COUNTA($B$4:B1058),"."))</f>
        <v/>
      </c>
      <c r="B1058" s="112"/>
      <c r="C1058" s="112"/>
      <c r="D1058" s="81"/>
      <c r="E1058" s="81"/>
      <c r="F1058" s="81"/>
      <c r="G1058" s="81"/>
      <c r="H1058" s="81"/>
      <c r="I1058" s="161"/>
      <c r="J1058" s="154" t="str">
        <f aca="false">IF(H1058="","",ROUNDUP(H1058*35%,0))</f>
        <v/>
      </c>
      <c r="K1058" s="113"/>
      <c r="L1058" s="113"/>
    </row>
    <row r="1059" customFormat="false" ht="12.75" hidden="false" customHeight="true" outlineLevel="0" collapsed="false">
      <c r="A1059" s="121" t="str">
        <f aca="false">IF(B1059="","",CONCATENATE(COUNTA($B$4:B1059),"."))</f>
        <v/>
      </c>
      <c r="B1059" s="112"/>
      <c r="C1059" s="112"/>
      <c r="D1059" s="81"/>
      <c r="E1059" s="81"/>
      <c r="F1059" s="81"/>
      <c r="G1059" s="81"/>
      <c r="H1059" s="81"/>
      <c r="I1059" s="161"/>
      <c r="J1059" s="154" t="str">
        <f aca="false">IF(H1059="","",ROUNDUP(H1059*35%,0))</f>
        <v/>
      </c>
      <c r="K1059" s="113"/>
      <c r="L1059" s="113"/>
    </row>
    <row r="1060" customFormat="false" ht="12.75" hidden="false" customHeight="true" outlineLevel="0" collapsed="false">
      <c r="A1060" s="121" t="str">
        <f aca="false">IF(B1060="","",CONCATENATE(COUNTA($B$4:B1060),"."))</f>
        <v/>
      </c>
      <c r="B1060" s="112"/>
      <c r="C1060" s="112"/>
      <c r="D1060" s="81"/>
      <c r="E1060" s="81"/>
      <c r="F1060" s="81"/>
      <c r="G1060" s="81"/>
      <c r="H1060" s="81"/>
      <c r="I1060" s="161"/>
      <c r="J1060" s="154" t="str">
        <f aca="false">IF(H1060="","",ROUNDUP(H1060*35%,0))</f>
        <v/>
      </c>
      <c r="K1060" s="113"/>
      <c r="L1060" s="113"/>
    </row>
    <row r="1061" customFormat="false" ht="12.75" hidden="false" customHeight="true" outlineLevel="0" collapsed="false">
      <c r="A1061" s="121" t="str">
        <f aca="false">IF(B1061="","",CONCATENATE(COUNTA($B$4:B1061),"."))</f>
        <v/>
      </c>
      <c r="B1061" s="112"/>
      <c r="C1061" s="112"/>
      <c r="D1061" s="81"/>
      <c r="E1061" s="81"/>
      <c r="F1061" s="81"/>
      <c r="G1061" s="81"/>
      <c r="H1061" s="81"/>
      <c r="I1061" s="161"/>
      <c r="J1061" s="154" t="str">
        <f aca="false">IF(H1061="","",ROUNDUP(H1061*35%,0))</f>
        <v/>
      </c>
      <c r="K1061" s="113"/>
      <c r="L1061" s="113"/>
    </row>
    <row r="1062" customFormat="false" ht="12.75" hidden="false" customHeight="true" outlineLevel="0" collapsed="false">
      <c r="A1062" s="121" t="str">
        <f aca="false">IF(B1062="","",CONCATENATE(COUNTA($B$4:B1062),"."))</f>
        <v/>
      </c>
      <c r="B1062" s="112"/>
      <c r="C1062" s="112"/>
      <c r="D1062" s="81"/>
      <c r="E1062" s="81"/>
      <c r="F1062" s="81"/>
      <c r="G1062" s="81"/>
      <c r="H1062" s="81"/>
      <c r="I1062" s="161"/>
      <c r="J1062" s="154" t="str">
        <f aca="false">IF(H1062="","",ROUNDUP(H1062*35%,0))</f>
        <v/>
      </c>
      <c r="K1062" s="113"/>
      <c r="L1062" s="113"/>
    </row>
    <row r="1063" customFormat="false" ht="12.75" hidden="false" customHeight="true" outlineLevel="0" collapsed="false">
      <c r="A1063" s="121" t="str">
        <f aca="false">IF(B1063="","",CONCATENATE(COUNTA($B$4:B1063),"."))</f>
        <v/>
      </c>
      <c r="B1063" s="112"/>
      <c r="C1063" s="112"/>
      <c r="D1063" s="81"/>
      <c r="E1063" s="81"/>
      <c r="F1063" s="81"/>
      <c r="G1063" s="81"/>
      <c r="H1063" s="81"/>
      <c r="I1063" s="161"/>
      <c r="J1063" s="154" t="str">
        <f aca="false">IF(H1063="","",ROUNDUP(H1063*35%,0))</f>
        <v/>
      </c>
      <c r="K1063" s="113"/>
      <c r="L1063" s="113"/>
    </row>
    <row r="1064" customFormat="false" ht="12.75" hidden="false" customHeight="true" outlineLevel="0" collapsed="false">
      <c r="A1064" s="121" t="str">
        <f aca="false">IF(B1064="","",CONCATENATE(COUNTA($B$4:B1064),"."))</f>
        <v/>
      </c>
      <c r="B1064" s="112"/>
      <c r="C1064" s="112"/>
      <c r="D1064" s="81"/>
      <c r="E1064" s="81"/>
      <c r="F1064" s="81"/>
      <c r="G1064" s="81"/>
      <c r="H1064" s="81"/>
      <c r="I1064" s="161"/>
      <c r="J1064" s="154" t="str">
        <f aca="false">IF(H1064="","",ROUNDUP(H1064*35%,0))</f>
        <v/>
      </c>
      <c r="K1064" s="113"/>
      <c r="L1064" s="113"/>
    </row>
    <row r="1065" customFormat="false" ht="12.75" hidden="false" customHeight="true" outlineLevel="0" collapsed="false">
      <c r="A1065" s="121" t="str">
        <f aca="false">IF(B1065="","",CONCATENATE(COUNTA($B$4:B1065),"."))</f>
        <v/>
      </c>
      <c r="B1065" s="112"/>
      <c r="C1065" s="112"/>
      <c r="D1065" s="81"/>
      <c r="E1065" s="81"/>
      <c r="F1065" s="81"/>
      <c r="G1065" s="81"/>
      <c r="H1065" s="81"/>
      <c r="I1065" s="161"/>
      <c r="J1065" s="154" t="str">
        <f aca="false">IF(H1065="","",ROUNDUP(H1065*35%,0))</f>
        <v/>
      </c>
      <c r="K1065" s="113"/>
      <c r="L1065" s="113"/>
    </row>
    <row r="1066" customFormat="false" ht="12.75" hidden="false" customHeight="true" outlineLevel="0" collapsed="false">
      <c r="A1066" s="121" t="str">
        <f aca="false">IF(B1066="","",CONCATENATE(COUNTA($B$4:B1066),"."))</f>
        <v/>
      </c>
      <c r="B1066" s="112"/>
      <c r="C1066" s="112"/>
      <c r="D1066" s="81"/>
      <c r="E1066" s="81"/>
      <c r="F1066" s="81"/>
      <c r="G1066" s="81"/>
      <c r="H1066" s="81"/>
      <c r="I1066" s="161"/>
      <c r="J1066" s="154" t="str">
        <f aca="false">IF(H1066="","",ROUNDUP(H1066*35%,0))</f>
        <v/>
      </c>
      <c r="K1066" s="113"/>
      <c r="L1066" s="113"/>
    </row>
    <row r="1067" customFormat="false" ht="12.75" hidden="false" customHeight="true" outlineLevel="0" collapsed="false">
      <c r="A1067" s="121" t="str">
        <f aca="false">IF(B1067="","",CONCATENATE(COUNTA($B$4:B1067),"."))</f>
        <v/>
      </c>
      <c r="B1067" s="112"/>
      <c r="C1067" s="112"/>
      <c r="D1067" s="81"/>
      <c r="E1067" s="81"/>
      <c r="F1067" s="81"/>
      <c r="G1067" s="81"/>
      <c r="H1067" s="81"/>
      <c r="I1067" s="161"/>
      <c r="J1067" s="154" t="str">
        <f aca="false">IF(H1067="","",ROUNDUP(H1067*35%,0))</f>
        <v/>
      </c>
      <c r="K1067" s="113"/>
      <c r="L1067" s="113"/>
    </row>
    <row r="1068" customFormat="false" ht="12.75" hidden="false" customHeight="true" outlineLevel="0" collapsed="false">
      <c r="A1068" s="121" t="str">
        <f aca="false">IF(B1068="","",CONCATENATE(COUNTA($B$4:B1068),"."))</f>
        <v/>
      </c>
      <c r="B1068" s="112"/>
      <c r="C1068" s="112"/>
      <c r="D1068" s="81"/>
      <c r="E1068" s="81"/>
      <c r="F1068" s="81"/>
      <c r="G1068" s="81"/>
      <c r="H1068" s="81"/>
      <c r="I1068" s="161"/>
      <c r="J1068" s="154" t="str">
        <f aca="false">IF(H1068="","",ROUNDUP(H1068*35%,0))</f>
        <v/>
      </c>
      <c r="K1068" s="113"/>
      <c r="L1068" s="113"/>
    </row>
    <row r="1069" customFormat="false" ht="12.75" hidden="false" customHeight="true" outlineLevel="0" collapsed="false">
      <c r="A1069" s="121" t="str">
        <f aca="false">IF(B1069="","",CONCATENATE(COUNTA($B$4:B1069),"."))</f>
        <v/>
      </c>
      <c r="B1069" s="112"/>
      <c r="C1069" s="112"/>
      <c r="D1069" s="81"/>
      <c r="E1069" s="81"/>
      <c r="F1069" s="81"/>
      <c r="G1069" s="81"/>
      <c r="H1069" s="81"/>
      <c r="I1069" s="161"/>
      <c r="J1069" s="154" t="str">
        <f aca="false">IF(H1069="","",ROUNDUP(H1069*35%,0))</f>
        <v/>
      </c>
      <c r="K1069" s="113"/>
      <c r="L1069" s="113"/>
    </row>
    <row r="1070" customFormat="false" ht="12.75" hidden="false" customHeight="true" outlineLevel="0" collapsed="false">
      <c r="A1070" s="121" t="str">
        <f aca="false">IF(B1070="","",CONCATENATE(COUNTA($B$4:B1070),"."))</f>
        <v/>
      </c>
      <c r="B1070" s="112"/>
      <c r="C1070" s="112"/>
      <c r="D1070" s="81"/>
      <c r="E1070" s="81"/>
      <c r="F1070" s="81"/>
      <c r="G1070" s="81"/>
      <c r="H1070" s="81"/>
      <c r="I1070" s="161"/>
      <c r="J1070" s="154" t="str">
        <f aca="false">IF(H1070="","",ROUNDUP(H1070*35%,0))</f>
        <v/>
      </c>
      <c r="K1070" s="113"/>
      <c r="L1070" s="113"/>
    </row>
    <row r="1071" customFormat="false" ht="12.75" hidden="false" customHeight="true" outlineLevel="0" collapsed="false">
      <c r="A1071" s="121" t="str">
        <f aca="false">IF(B1071="","",CONCATENATE(COUNTA($B$4:B1071),"."))</f>
        <v/>
      </c>
      <c r="B1071" s="112"/>
      <c r="C1071" s="112"/>
      <c r="D1071" s="81"/>
      <c r="E1071" s="81"/>
      <c r="F1071" s="81"/>
      <c r="G1071" s="81"/>
      <c r="H1071" s="81"/>
      <c r="I1071" s="161"/>
      <c r="J1071" s="154" t="str">
        <f aca="false">IF(H1071="","",ROUNDUP(H1071*35%,0))</f>
        <v/>
      </c>
      <c r="K1071" s="113"/>
      <c r="L1071" s="113"/>
    </row>
    <row r="1072" customFormat="false" ht="12.75" hidden="false" customHeight="true" outlineLevel="0" collapsed="false">
      <c r="A1072" s="121" t="str">
        <f aca="false">IF(B1072="","",CONCATENATE(COUNTA($B$4:B1072),"."))</f>
        <v/>
      </c>
      <c r="B1072" s="112"/>
      <c r="C1072" s="112"/>
      <c r="D1072" s="81"/>
      <c r="E1072" s="81"/>
      <c r="F1072" s="81"/>
      <c r="G1072" s="81"/>
      <c r="H1072" s="81"/>
      <c r="I1072" s="161"/>
      <c r="J1072" s="154" t="str">
        <f aca="false">IF(H1072="","",ROUNDUP(H1072*35%,0))</f>
        <v/>
      </c>
      <c r="K1072" s="113"/>
      <c r="L1072" s="113"/>
    </row>
    <row r="1073" customFormat="false" ht="12.75" hidden="false" customHeight="true" outlineLevel="0" collapsed="false">
      <c r="A1073" s="121" t="str">
        <f aca="false">IF(B1073="","",CONCATENATE(COUNTA($B$4:B1073),"."))</f>
        <v/>
      </c>
      <c r="B1073" s="112"/>
      <c r="C1073" s="112"/>
      <c r="D1073" s="81"/>
      <c r="E1073" s="81"/>
      <c r="F1073" s="81"/>
      <c r="G1073" s="81"/>
      <c r="H1073" s="81"/>
      <c r="I1073" s="161"/>
      <c r="J1073" s="154" t="str">
        <f aca="false">IF(H1073="","",ROUNDUP(H1073*35%,0))</f>
        <v/>
      </c>
      <c r="K1073" s="113"/>
      <c r="L1073" s="113"/>
    </row>
    <row r="1074" customFormat="false" ht="12.75" hidden="false" customHeight="true" outlineLevel="0" collapsed="false">
      <c r="A1074" s="121" t="str">
        <f aca="false">IF(B1074="","",CONCATENATE(COUNTA($B$4:B1074),"."))</f>
        <v/>
      </c>
      <c r="B1074" s="112"/>
      <c r="C1074" s="112"/>
      <c r="D1074" s="81"/>
      <c r="E1074" s="81"/>
      <c r="F1074" s="81"/>
      <c r="G1074" s="81"/>
      <c r="H1074" s="81"/>
      <c r="I1074" s="161"/>
      <c r="J1074" s="154" t="str">
        <f aca="false">IF(H1074="","",ROUNDUP(H1074*35%,0))</f>
        <v/>
      </c>
      <c r="K1074" s="113"/>
      <c r="L1074" s="113"/>
    </row>
    <row r="1075" customFormat="false" ht="12.75" hidden="false" customHeight="true" outlineLevel="0" collapsed="false">
      <c r="A1075" s="121" t="str">
        <f aca="false">IF(B1075="","",CONCATENATE(COUNTA($B$4:B1075),"."))</f>
        <v/>
      </c>
      <c r="B1075" s="112"/>
      <c r="C1075" s="112"/>
      <c r="D1075" s="81"/>
      <c r="E1075" s="81"/>
      <c r="F1075" s="81"/>
      <c r="G1075" s="81"/>
      <c r="H1075" s="81"/>
      <c r="I1075" s="161"/>
      <c r="J1075" s="154" t="str">
        <f aca="false">IF(H1075="","",ROUNDUP(H1075*35%,0))</f>
        <v/>
      </c>
      <c r="K1075" s="113"/>
      <c r="L1075" s="113"/>
    </row>
    <row r="1076" customFormat="false" ht="12.75" hidden="false" customHeight="true" outlineLevel="0" collapsed="false">
      <c r="A1076" s="121" t="str">
        <f aca="false">IF(B1076="","",CONCATENATE(COUNTA($B$4:B1076),"."))</f>
        <v/>
      </c>
      <c r="B1076" s="112"/>
      <c r="C1076" s="112"/>
      <c r="D1076" s="81"/>
      <c r="E1076" s="81"/>
      <c r="F1076" s="81"/>
      <c r="G1076" s="81"/>
      <c r="H1076" s="81"/>
      <c r="I1076" s="161"/>
      <c r="J1076" s="154" t="str">
        <f aca="false">IF(H1076="","",ROUNDUP(H1076*35%,0))</f>
        <v/>
      </c>
      <c r="K1076" s="113"/>
      <c r="L1076" s="113"/>
    </row>
    <row r="1077" customFormat="false" ht="12.75" hidden="false" customHeight="true" outlineLevel="0" collapsed="false">
      <c r="A1077" s="121" t="str">
        <f aca="false">IF(B1077="","",CONCATENATE(COUNTA($B$4:B1077),"."))</f>
        <v/>
      </c>
      <c r="B1077" s="112"/>
      <c r="C1077" s="112"/>
      <c r="D1077" s="81"/>
      <c r="E1077" s="81"/>
      <c r="F1077" s="81"/>
      <c r="G1077" s="81"/>
      <c r="H1077" s="81"/>
      <c r="I1077" s="161"/>
      <c r="J1077" s="154" t="str">
        <f aca="false">IF(H1077="","",ROUNDUP(H1077*35%,0))</f>
        <v/>
      </c>
      <c r="K1077" s="113"/>
      <c r="L1077" s="113"/>
    </row>
    <row r="1078" customFormat="false" ht="12.75" hidden="false" customHeight="true" outlineLevel="0" collapsed="false">
      <c r="A1078" s="121" t="str">
        <f aca="false">IF(B1078="","",CONCATENATE(COUNTA($B$4:B1078),"."))</f>
        <v/>
      </c>
      <c r="B1078" s="112"/>
      <c r="C1078" s="112"/>
      <c r="D1078" s="81"/>
      <c r="E1078" s="81"/>
      <c r="F1078" s="81"/>
      <c r="G1078" s="81"/>
      <c r="H1078" s="81"/>
      <c r="I1078" s="161"/>
      <c r="J1078" s="154" t="str">
        <f aca="false">IF(H1078="","",ROUNDUP(H1078*35%,0))</f>
        <v/>
      </c>
      <c r="K1078" s="113"/>
      <c r="L1078" s="113"/>
    </row>
    <row r="1079" customFormat="false" ht="12.75" hidden="false" customHeight="true" outlineLevel="0" collapsed="false">
      <c r="A1079" s="121" t="str">
        <f aca="false">IF(B1079="","",CONCATENATE(COUNTA($B$4:B1079),"."))</f>
        <v/>
      </c>
      <c r="B1079" s="112"/>
      <c r="C1079" s="112"/>
      <c r="D1079" s="81"/>
      <c r="E1079" s="81"/>
      <c r="F1079" s="81"/>
      <c r="G1079" s="81"/>
      <c r="H1079" s="81"/>
      <c r="I1079" s="161"/>
      <c r="J1079" s="154" t="str">
        <f aca="false">IF(H1079="","",ROUNDUP(H1079*35%,0))</f>
        <v/>
      </c>
      <c r="K1079" s="113"/>
      <c r="L1079" s="113"/>
    </row>
    <row r="1080" customFormat="false" ht="12.75" hidden="false" customHeight="true" outlineLevel="0" collapsed="false">
      <c r="A1080" s="121" t="str">
        <f aca="false">IF(B1080="","",CONCATENATE(COUNTA($B$4:B1080),"."))</f>
        <v/>
      </c>
      <c r="B1080" s="112"/>
      <c r="C1080" s="112"/>
      <c r="D1080" s="81"/>
      <c r="E1080" s="81"/>
      <c r="F1080" s="81"/>
      <c r="G1080" s="81"/>
      <c r="H1080" s="81"/>
      <c r="I1080" s="161"/>
      <c r="J1080" s="154" t="str">
        <f aca="false">IF(H1080="","",ROUNDUP(H1080*35%,0))</f>
        <v/>
      </c>
      <c r="K1080" s="113"/>
      <c r="L1080" s="113"/>
    </row>
    <row r="1081" customFormat="false" ht="12.75" hidden="false" customHeight="true" outlineLevel="0" collapsed="false">
      <c r="A1081" s="121" t="str">
        <f aca="false">IF(B1081="","",CONCATENATE(COUNTA($B$4:B1081),"."))</f>
        <v/>
      </c>
      <c r="B1081" s="112"/>
      <c r="C1081" s="112"/>
      <c r="D1081" s="81"/>
      <c r="E1081" s="81"/>
      <c r="F1081" s="81"/>
      <c r="G1081" s="81"/>
      <c r="H1081" s="81"/>
      <c r="I1081" s="161"/>
      <c r="J1081" s="154" t="str">
        <f aca="false">IF(H1081="","",ROUNDUP(H1081*35%,0))</f>
        <v/>
      </c>
      <c r="K1081" s="113"/>
      <c r="L1081" s="113"/>
    </row>
    <row r="1082" customFormat="false" ht="12.75" hidden="false" customHeight="true" outlineLevel="0" collapsed="false">
      <c r="A1082" s="121" t="str">
        <f aca="false">IF(B1082="","",CONCATENATE(COUNTA($B$4:B1082),"."))</f>
        <v/>
      </c>
      <c r="B1082" s="112"/>
      <c r="C1082" s="112"/>
      <c r="D1082" s="81"/>
      <c r="E1082" s="81"/>
      <c r="F1082" s="81"/>
      <c r="G1082" s="81"/>
      <c r="H1082" s="81"/>
      <c r="I1082" s="161"/>
      <c r="J1082" s="154" t="str">
        <f aca="false">IF(H1082="","",ROUNDUP(H1082*35%,0))</f>
        <v/>
      </c>
      <c r="K1082" s="113"/>
      <c r="L1082" s="113"/>
    </row>
    <row r="1083" customFormat="false" ht="12.75" hidden="false" customHeight="true" outlineLevel="0" collapsed="false">
      <c r="A1083" s="121" t="str">
        <f aca="false">IF(B1083="","",CONCATENATE(COUNTA($B$4:B1083),"."))</f>
        <v/>
      </c>
      <c r="B1083" s="112"/>
      <c r="C1083" s="112"/>
      <c r="D1083" s="81"/>
      <c r="E1083" s="81"/>
      <c r="F1083" s="81"/>
      <c r="G1083" s="81"/>
      <c r="H1083" s="81"/>
      <c r="I1083" s="161"/>
      <c r="J1083" s="154" t="str">
        <f aca="false">IF(H1083="","",ROUNDUP(H1083*35%,0))</f>
        <v/>
      </c>
      <c r="K1083" s="113"/>
      <c r="L1083" s="113"/>
    </row>
    <row r="1084" customFormat="false" ht="12.75" hidden="false" customHeight="true" outlineLevel="0" collapsed="false">
      <c r="A1084" s="121" t="str">
        <f aca="false">IF(B1084="","",CONCATENATE(COUNTA($B$4:B1084),"."))</f>
        <v/>
      </c>
      <c r="B1084" s="112"/>
      <c r="C1084" s="112"/>
      <c r="D1084" s="81"/>
      <c r="E1084" s="81"/>
      <c r="F1084" s="81"/>
      <c r="G1084" s="81"/>
      <c r="H1084" s="81"/>
      <c r="I1084" s="161"/>
      <c r="J1084" s="154" t="str">
        <f aca="false">IF(H1084="","",ROUNDUP(H1084*35%,0))</f>
        <v/>
      </c>
      <c r="K1084" s="113"/>
      <c r="L1084" s="113"/>
    </row>
    <row r="1085" customFormat="false" ht="12.75" hidden="false" customHeight="true" outlineLevel="0" collapsed="false">
      <c r="A1085" s="121" t="str">
        <f aca="false">IF(B1085="","",CONCATENATE(COUNTA($B$4:B1085),"."))</f>
        <v/>
      </c>
      <c r="B1085" s="112"/>
      <c r="C1085" s="112"/>
      <c r="D1085" s="81"/>
      <c r="E1085" s="81"/>
      <c r="F1085" s="81"/>
      <c r="G1085" s="81"/>
      <c r="H1085" s="81"/>
      <c r="I1085" s="161"/>
      <c r="J1085" s="154" t="str">
        <f aca="false">IF(H1085="","",ROUNDUP(H1085*35%,0))</f>
        <v/>
      </c>
      <c r="K1085" s="113"/>
      <c r="L1085" s="113"/>
    </row>
    <row r="1086" customFormat="false" ht="12.75" hidden="false" customHeight="true" outlineLevel="0" collapsed="false">
      <c r="A1086" s="121" t="str">
        <f aca="false">IF(B1086="","",CONCATENATE(COUNTA($B$4:B1086),"."))</f>
        <v/>
      </c>
      <c r="B1086" s="112"/>
      <c r="C1086" s="112"/>
      <c r="D1086" s="81"/>
      <c r="E1086" s="81"/>
      <c r="F1086" s="81"/>
      <c r="G1086" s="81"/>
      <c r="H1086" s="81"/>
      <c r="I1086" s="161"/>
      <c r="J1086" s="154" t="str">
        <f aca="false">IF(H1086="","",ROUNDUP(H1086*35%,0))</f>
        <v/>
      </c>
      <c r="K1086" s="113"/>
      <c r="L1086" s="113"/>
    </row>
    <row r="1087" customFormat="false" ht="12.75" hidden="false" customHeight="true" outlineLevel="0" collapsed="false">
      <c r="A1087" s="121" t="str">
        <f aca="false">IF(B1087="","",CONCATENATE(COUNTA($B$4:B1087),"."))</f>
        <v/>
      </c>
      <c r="B1087" s="112"/>
      <c r="C1087" s="112"/>
      <c r="D1087" s="81"/>
      <c r="E1087" s="81"/>
      <c r="F1087" s="81"/>
      <c r="G1087" s="81"/>
      <c r="H1087" s="81"/>
      <c r="I1087" s="161"/>
      <c r="J1087" s="154" t="str">
        <f aca="false">IF(H1087="","",ROUNDUP(H1087*35%,0))</f>
        <v/>
      </c>
      <c r="K1087" s="113"/>
      <c r="L1087" s="113"/>
    </row>
    <row r="1088" customFormat="false" ht="12.75" hidden="false" customHeight="true" outlineLevel="0" collapsed="false">
      <c r="A1088" s="121" t="str">
        <f aca="false">IF(B1088="","",CONCATENATE(COUNTA($B$4:B1088),"."))</f>
        <v/>
      </c>
      <c r="B1088" s="112"/>
      <c r="C1088" s="112"/>
      <c r="D1088" s="81"/>
      <c r="E1088" s="81"/>
      <c r="F1088" s="81"/>
      <c r="G1088" s="81"/>
      <c r="H1088" s="81"/>
      <c r="I1088" s="161"/>
      <c r="J1088" s="154" t="str">
        <f aca="false">IF(H1088="","",ROUNDUP(H1088*35%,0))</f>
        <v/>
      </c>
      <c r="K1088" s="113"/>
      <c r="L1088" s="113"/>
    </row>
    <row r="1089" customFormat="false" ht="12.75" hidden="false" customHeight="true" outlineLevel="0" collapsed="false">
      <c r="A1089" s="121" t="str">
        <f aca="false">IF(B1089="","",CONCATENATE(COUNTA($B$4:B1089),"."))</f>
        <v/>
      </c>
      <c r="B1089" s="112"/>
      <c r="C1089" s="112"/>
      <c r="D1089" s="81"/>
      <c r="E1089" s="81"/>
      <c r="F1089" s="81"/>
      <c r="G1089" s="81"/>
      <c r="H1089" s="81"/>
      <c r="I1089" s="161"/>
      <c r="J1089" s="154" t="str">
        <f aca="false">IF(H1089="","",ROUNDUP(H1089*35%,0))</f>
        <v/>
      </c>
      <c r="K1089" s="113"/>
      <c r="L1089" s="113"/>
    </row>
    <row r="1090" customFormat="false" ht="12.75" hidden="false" customHeight="true" outlineLevel="0" collapsed="false">
      <c r="A1090" s="121" t="str">
        <f aca="false">IF(B1090="","",CONCATENATE(COUNTA($B$4:B1090),"."))</f>
        <v/>
      </c>
      <c r="B1090" s="112"/>
      <c r="C1090" s="112"/>
      <c r="D1090" s="81"/>
      <c r="E1090" s="81"/>
      <c r="F1090" s="81"/>
      <c r="G1090" s="81"/>
      <c r="H1090" s="81"/>
      <c r="I1090" s="161"/>
      <c r="J1090" s="154" t="str">
        <f aca="false">IF(H1090="","",ROUNDUP(H1090*35%,0))</f>
        <v/>
      </c>
      <c r="K1090" s="113"/>
      <c r="L1090" s="113"/>
    </row>
    <row r="1091" customFormat="false" ht="12.75" hidden="false" customHeight="true" outlineLevel="0" collapsed="false">
      <c r="A1091" s="121" t="str">
        <f aca="false">IF(B1091="","",CONCATENATE(COUNTA($B$4:B1091),"."))</f>
        <v/>
      </c>
      <c r="B1091" s="112"/>
      <c r="C1091" s="112"/>
      <c r="D1091" s="81"/>
      <c r="E1091" s="81"/>
      <c r="F1091" s="81"/>
      <c r="G1091" s="81"/>
      <c r="H1091" s="81"/>
      <c r="I1091" s="161"/>
      <c r="J1091" s="154" t="str">
        <f aca="false">IF(H1091="","",ROUNDUP(H1091*35%,0))</f>
        <v/>
      </c>
      <c r="K1091" s="113"/>
      <c r="L1091" s="113"/>
    </row>
    <row r="1092" customFormat="false" ht="12.75" hidden="false" customHeight="true" outlineLevel="0" collapsed="false">
      <c r="A1092" s="121" t="str">
        <f aca="false">IF(B1092="","",CONCATENATE(COUNTA($B$4:B1092),"."))</f>
        <v/>
      </c>
      <c r="B1092" s="112"/>
      <c r="C1092" s="112"/>
      <c r="D1092" s="81"/>
      <c r="E1092" s="81"/>
      <c r="F1092" s="81"/>
      <c r="G1092" s="81"/>
      <c r="H1092" s="81"/>
      <c r="I1092" s="161"/>
      <c r="J1092" s="154" t="str">
        <f aca="false">IF(H1092="","",ROUNDUP(H1092*35%,0))</f>
        <v/>
      </c>
      <c r="K1092" s="113"/>
      <c r="L1092" s="113"/>
    </row>
    <row r="1093" customFormat="false" ht="12.75" hidden="false" customHeight="true" outlineLevel="0" collapsed="false">
      <c r="A1093" s="121" t="str">
        <f aca="false">IF(B1093="","",CONCATENATE(COUNTA($B$4:B1093),"."))</f>
        <v/>
      </c>
      <c r="B1093" s="112"/>
      <c r="C1093" s="112"/>
      <c r="D1093" s="81"/>
      <c r="E1093" s="81"/>
      <c r="F1093" s="81"/>
      <c r="G1093" s="81"/>
      <c r="H1093" s="81"/>
      <c r="I1093" s="161"/>
      <c r="J1093" s="154" t="str">
        <f aca="false">IF(H1093="","",ROUNDUP(H1093*35%,0))</f>
        <v/>
      </c>
      <c r="K1093" s="113"/>
      <c r="L1093" s="113"/>
    </row>
    <row r="1094" customFormat="false" ht="12.75" hidden="false" customHeight="true" outlineLevel="0" collapsed="false">
      <c r="A1094" s="121" t="str">
        <f aca="false">IF(B1094="","",CONCATENATE(COUNTA($B$4:B1094),"."))</f>
        <v/>
      </c>
      <c r="B1094" s="112"/>
      <c r="C1094" s="112"/>
      <c r="D1094" s="81"/>
      <c r="E1094" s="81"/>
      <c r="F1094" s="81"/>
      <c r="G1094" s="81"/>
      <c r="H1094" s="81"/>
      <c r="I1094" s="161"/>
      <c r="J1094" s="154" t="str">
        <f aca="false">IF(H1094="","",ROUNDUP(H1094*35%,0))</f>
        <v/>
      </c>
      <c r="K1094" s="113"/>
      <c r="L1094" s="113"/>
    </row>
    <row r="1095" customFormat="false" ht="12.75" hidden="false" customHeight="true" outlineLevel="0" collapsed="false">
      <c r="A1095" s="121" t="str">
        <f aca="false">IF(B1095="","",CONCATENATE(COUNTA($B$4:B1095),"."))</f>
        <v/>
      </c>
      <c r="B1095" s="112"/>
      <c r="C1095" s="112"/>
      <c r="D1095" s="81"/>
      <c r="E1095" s="81"/>
      <c r="F1095" s="81"/>
      <c r="G1095" s="81"/>
      <c r="H1095" s="81"/>
      <c r="I1095" s="161"/>
      <c r="J1095" s="154" t="str">
        <f aca="false">IF(H1095="","",ROUNDUP(H1095*35%,0))</f>
        <v/>
      </c>
      <c r="K1095" s="113"/>
      <c r="L1095" s="113"/>
    </row>
    <row r="1096" customFormat="false" ht="12.75" hidden="false" customHeight="true" outlineLevel="0" collapsed="false">
      <c r="A1096" s="121" t="str">
        <f aca="false">IF(B1096="","",CONCATENATE(COUNTA($B$4:B1096),"."))</f>
        <v/>
      </c>
      <c r="B1096" s="112"/>
      <c r="C1096" s="112"/>
      <c r="D1096" s="81"/>
      <c r="E1096" s="81"/>
      <c r="F1096" s="81"/>
      <c r="G1096" s="81"/>
      <c r="H1096" s="81"/>
      <c r="I1096" s="161"/>
      <c r="J1096" s="154" t="str">
        <f aca="false">IF(H1096="","",ROUNDUP(H1096*35%,0))</f>
        <v/>
      </c>
      <c r="K1096" s="113"/>
      <c r="L1096" s="113"/>
    </row>
    <row r="1097" customFormat="false" ht="12.75" hidden="false" customHeight="true" outlineLevel="0" collapsed="false">
      <c r="A1097" s="121" t="str">
        <f aca="false">IF(B1097="","",CONCATENATE(COUNTA($B$4:B1097),"."))</f>
        <v/>
      </c>
      <c r="B1097" s="112"/>
      <c r="C1097" s="112"/>
      <c r="D1097" s="81"/>
      <c r="E1097" s="81"/>
      <c r="F1097" s="81"/>
      <c r="G1097" s="81"/>
      <c r="H1097" s="81"/>
      <c r="I1097" s="161"/>
      <c r="J1097" s="154" t="str">
        <f aca="false">IF(H1097="","",ROUNDUP(H1097*35%,0))</f>
        <v/>
      </c>
      <c r="K1097" s="113"/>
      <c r="L1097" s="113"/>
    </row>
    <row r="1098" customFormat="false" ht="12.75" hidden="false" customHeight="true" outlineLevel="0" collapsed="false">
      <c r="A1098" s="121" t="str">
        <f aca="false">IF(B1098="","",CONCATENATE(COUNTA($B$4:B1098),"."))</f>
        <v/>
      </c>
      <c r="B1098" s="112"/>
      <c r="C1098" s="112"/>
      <c r="D1098" s="81"/>
      <c r="E1098" s="81"/>
      <c r="F1098" s="81"/>
      <c r="G1098" s="81"/>
      <c r="H1098" s="81"/>
      <c r="I1098" s="161"/>
      <c r="J1098" s="154" t="str">
        <f aca="false">IF(H1098="","",ROUNDUP(H1098*35%,0))</f>
        <v/>
      </c>
      <c r="K1098" s="113"/>
      <c r="L1098" s="113"/>
    </row>
    <row r="1099" customFormat="false" ht="12.75" hidden="false" customHeight="true" outlineLevel="0" collapsed="false">
      <c r="A1099" s="121" t="str">
        <f aca="false">IF(B1099="","",CONCATENATE(COUNTA($B$4:B1099),"."))</f>
        <v/>
      </c>
      <c r="B1099" s="112"/>
      <c r="C1099" s="112"/>
      <c r="D1099" s="81"/>
      <c r="E1099" s="81"/>
      <c r="F1099" s="81"/>
      <c r="G1099" s="81"/>
      <c r="H1099" s="81"/>
      <c r="I1099" s="161"/>
      <c r="J1099" s="154" t="str">
        <f aca="false">IF(H1099="","",ROUNDUP(H1099*35%,0))</f>
        <v/>
      </c>
      <c r="K1099" s="113"/>
      <c r="L1099" s="113"/>
    </row>
    <row r="1100" customFormat="false" ht="12.75" hidden="false" customHeight="true" outlineLevel="0" collapsed="false">
      <c r="A1100" s="121" t="str">
        <f aca="false">IF(B1100="","",CONCATENATE(COUNTA($B$4:B1100),"."))</f>
        <v/>
      </c>
      <c r="B1100" s="112"/>
      <c r="C1100" s="112"/>
      <c r="D1100" s="81"/>
      <c r="E1100" s="81"/>
      <c r="F1100" s="81"/>
      <c r="G1100" s="81"/>
      <c r="H1100" s="81"/>
      <c r="I1100" s="161"/>
      <c r="J1100" s="154" t="str">
        <f aca="false">IF(H1100="","",ROUNDUP(H1100*35%,0))</f>
        <v/>
      </c>
      <c r="K1100" s="113"/>
      <c r="L1100" s="113"/>
    </row>
    <row r="1101" customFormat="false" ht="12.75" hidden="false" customHeight="true" outlineLevel="0" collapsed="false">
      <c r="A1101" s="121" t="str">
        <f aca="false">IF(B1101="","",CONCATENATE(COUNTA($B$4:B1101),"."))</f>
        <v/>
      </c>
      <c r="B1101" s="112"/>
      <c r="C1101" s="112"/>
      <c r="D1101" s="81"/>
      <c r="E1101" s="81"/>
      <c r="F1101" s="81"/>
      <c r="G1101" s="81"/>
      <c r="H1101" s="81"/>
      <c r="I1101" s="161"/>
      <c r="J1101" s="154" t="str">
        <f aca="false">IF(H1101="","",ROUNDUP(H1101*35%,0))</f>
        <v/>
      </c>
      <c r="K1101" s="113"/>
      <c r="L1101" s="113"/>
    </row>
    <row r="1102" customFormat="false" ht="12.75" hidden="false" customHeight="true" outlineLevel="0" collapsed="false">
      <c r="A1102" s="121" t="str">
        <f aca="false">IF(B1102="","",CONCATENATE(COUNTA($B$4:B1102),"."))</f>
        <v/>
      </c>
      <c r="B1102" s="112"/>
      <c r="C1102" s="112"/>
      <c r="D1102" s="81"/>
      <c r="E1102" s="81"/>
      <c r="F1102" s="81"/>
      <c r="G1102" s="81"/>
      <c r="H1102" s="81"/>
      <c r="I1102" s="161"/>
      <c r="J1102" s="154" t="str">
        <f aca="false">IF(H1102="","",ROUNDUP(H1102*35%,0))</f>
        <v/>
      </c>
      <c r="K1102" s="113"/>
      <c r="L1102" s="113"/>
    </row>
    <row r="1103" customFormat="false" ht="12.75" hidden="false" customHeight="true" outlineLevel="0" collapsed="false">
      <c r="A1103" s="121" t="str">
        <f aca="false">IF(B1103="","",CONCATENATE(COUNTA($B$4:B1103),"."))</f>
        <v/>
      </c>
      <c r="B1103" s="112"/>
      <c r="C1103" s="112"/>
      <c r="D1103" s="81"/>
      <c r="E1103" s="81"/>
      <c r="F1103" s="81"/>
      <c r="G1103" s="81"/>
      <c r="H1103" s="81"/>
      <c r="I1103" s="161"/>
      <c r="J1103" s="154" t="str">
        <f aca="false">IF(H1103="","",ROUNDUP(H1103*35%,0))</f>
        <v/>
      </c>
      <c r="K1103" s="113"/>
      <c r="L1103" s="113"/>
    </row>
    <row r="1104" customFormat="false" ht="12.75" hidden="false" customHeight="true" outlineLevel="0" collapsed="false">
      <c r="A1104" s="121" t="str">
        <f aca="false">IF(B1104="","",CONCATENATE(COUNTA($B$4:B1104),"."))</f>
        <v/>
      </c>
      <c r="B1104" s="112"/>
      <c r="C1104" s="112"/>
      <c r="D1104" s="81"/>
      <c r="E1104" s="81"/>
      <c r="F1104" s="81"/>
      <c r="G1104" s="81"/>
      <c r="H1104" s="81"/>
      <c r="I1104" s="161"/>
      <c r="J1104" s="154" t="str">
        <f aca="false">IF(H1104="","",ROUNDUP(H1104*35%,0))</f>
        <v/>
      </c>
      <c r="K1104" s="113"/>
      <c r="L1104" s="113"/>
    </row>
    <row r="1105" customFormat="false" ht="12.75" hidden="false" customHeight="true" outlineLevel="0" collapsed="false">
      <c r="A1105" s="121" t="str">
        <f aca="false">IF(B1105="","",CONCATENATE(COUNTA($B$4:B1105),"."))</f>
        <v/>
      </c>
      <c r="B1105" s="112"/>
      <c r="C1105" s="112"/>
      <c r="D1105" s="81"/>
      <c r="E1105" s="81"/>
      <c r="F1105" s="81"/>
      <c r="G1105" s="81"/>
      <c r="H1105" s="81"/>
      <c r="I1105" s="161"/>
      <c r="J1105" s="154" t="str">
        <f aca="false">IF(H1105="","",ROUNDUP(H1105*35%,0))</f>
        <v/>
      </c>
      <c r="K1105" s="113"/>
      <c r="L1105" s="113"/>
    </row>
    <row r="1106" customFormat="false" ht="12.75" hidden="false" customHeight="true" outlineLevel="0" collapsed="false">
      <c r="A1106" s="121" t="str">
        <f aca="false">IF(B1106="","",CONCATENATE(COUNTA($B$4:B1106),"."))</f>
        <v/>
      </c>
      <c r="B1106" s="112"/>
      <c r="C1106" s="112"/>
      <c r="D1106" s="81"/>
      <c r="E1106" s="81"/>
      <c r="F1106" s="81"/>
      <c r="G1106" s="81"/>
      <c r="H1106" s="81"/>
      <c r="I1106" s="161"/>
      <c r="J1106" s="154" t="str">
        <f aca="false">IF(H1106="","",ROUNDUP(H1106*35%,0))</f>
        <v/>
      </c>
      <c r="K1106" s="113"/>
      <c r="L1106" s="113"/>
    </row>
    <row r="1107" customFormat="false" ht="12.75" hidden="false" customHeight="true" outlineLevel="0" collapsed="false">
      <c r="A1107" s="121" t="str">
        <f aca="false">IF(B1107="","",CONCATENATE(COUNTA($B$4:B1107),"."))</f>
        <v/>
      </c>
      <c r="B1107" s="112"/>
      <c r="C1107" s="112"/>
      <c r="D1107" s="81"/>
      <c r="E1107" s="81"/>
      <c r="F1107" s="81"/>
      <c r="G1107" s="81"/>
      <c r="H1107" s="81"/>
      <c r="I1107" s="161"/>
      <c r="J1107" s="154" t="str">
        <f aca="false">IF(H1107="","",ROUNDUP(H1107*35%,0))</f>
        <v/>
      </c>
      <c r="K1107" s="113"/>
      <c r="L1107" s="113"/>
    </row>
    <row r="1108" customFormat="false" ht="12.75" hidden="false" customHeight="true" outlineLevel="0" collapsed="false">
      <c r="A1108" s="121" t="str">
        <f aca="false">IF(B1108="","",CONCATENATE(COUNTA($B$4:B1108),"."))</f>
        <v/>
      </c>
      <c r="B1108" s="112"/>
      <c r="C1108" s="112"/>
      <c r="D1108" s="81"/>
      <c r="E1108" s="81"/>
      <c r="F1108" s="81"/>
      <c r="G1108" s="81"/>
      <c r="H1108" s="81"/>
      <c r="I1108" s="161"/>
      <c r="J1108" s="154" t="str">
        <f aca="false">IF(H1108="","",ROUNDUP(H1108*35%,0))</f>
        <v/>
      </c>
      <c r="K1108" s="113"/>
      <c r="L1108" s="113"/>
    </row>
    <row r="1109" customFormat="false" ht="12.75" hidden="false" customHeight="true" outlineLevel="0" collapsed="false">
      <c r="A1109" s="121" t="str">
        <f aca="false">IF(B1109="","",CONCATENATE(COUNTA($B$4:B1109),"."))</f>
        <v/>
      </c>
      <c r="B1109" s="112"/>
      <c r="C1109" s="112"/>
      <c r="D1109" s="81"/>
      <c r="E1109" s="81"/>
      <c r="F1109" s="81"/>
      <c r="G1109" s="81"/>
      <c r="H1109" s="81"/>
      <c r="I1109" s="161"/>
      <c r="J1109" s="154" t="str">
        <f aca="false">IF(H1109="","",ROUNDUP(H1109*35%,0))</f>
        <v/>
      </c>
      <c r="K1109" s="113"/>
      <c r="L1109" s="113"/>
    </row>
    <row r="1110" customFormat="false" ht="12.75" hidden="false" customHeight="true" outlineLevel="0" collapsed="false">
      <c r="A1110" s="121" t="str">
        <f aca="false">IF(B1110="","",CONCATENATE(COUNTA($B$4:B1110),"."))</f>
        <v/>
      </c>
      <c r="B1110" s="112"/>
      <c r="C1110" s="112"/>
      <c r="D1110" s="81"/>
      <c r="E1110" s="81"/>
      <c r="F1110" s="81"/>
      <c r="G1110" s="81"/>
      <c r="H1110" s="81"/>
      <c r="I1110" s="161"/>
      <c r="J1110" s="154" t="str">
        <f aca="false">IF(H1110="","",ROUNDUP(H1110*35%,0))</f>
        <v/>
      </c>
      <c r="K1110" s="113"/>
      <c r="L1110" s="113"/>
    </row>
    <row r="1111" customFormat="false" ht="12.75" hidden="false" customHeight="true" outlineLevel="0" collapsed="false">
      <c r="A1111" s="121" t="str">
        <f aca="false">IF(B1111="","",CONCATENATE(COUNTA($B$4:B1111),"."))</f>
        <v/>
      </c>
      <c r="B1111" s="112"/>
      <c r="C1111" s="112"/>
      <c r="D1111" s="81"/>
      <c r="E1111" s="81"/>
      <c r="F1111" s="81"/>
      <c r="G1111" s="81"/>
      <c r="H1111" s="81"/>
      <c r="I1111" s="161"/>
      <c r="J1111" s="154" t="str">
        <f aca="false">IF(H1111="","",ROUNDUP(H1111*35%,0))</f>
        <v/>
      </c>
      <c r="K1111" s="113"/>
      <c r="L1111" s="113"/>
    </row>
    <row r="1112" customFormat="false" ht="12.75" hidden="false" customHeight="true" outlineLevel="0" collapsed="false">
      <c r="A1112" s="121" t="str">
        <f aca="false">IF(B1112="","",CONCATENATE(COUNTA($B$4:B1112),"."))</f>
        <v/>
      </c>
      <c r="B1112" s="112"/>
      <c r="C1112" s="112"/>
      <c r="D1112" s="81"/>
      <c r="E1112" s="81"/>
      <c r="F1112" s="81"/>
      <c r="G1112" s="81"/>
      <c r="H1112" s="81"/>
      <c r="I1112" s="161"/>
      <c r="J1112" s="154" t="str">
        <f aca="false">IF(H1112="","",ROUNDUP(H1112*35%,0))</f>
        <v/>
      </c>
      <c r="K1112" s="113"/>
      <c r="L1112" s="113"/>
    </row>
    <row r="1113" customFormat="false" ht="12.75" hidden="false" customHeight="true" outlineLevel="0" collapsed="false">
      <c r="A1113" s="121" t="str">
        <f aca="false">IF(B1113="","",CONCATENATE(COUNTA($B$4:B1113),"."))</f>
        <v/>
      </c>
      <c r="B1113" s="112"/>
      <c r="C1113" s="112"/>
      <c r="D1113" s="81"/>
      <c r="E1113" s="81"/>
      <c r="F1113" s="81"/>
      <c r="G1113" s="81"/>
      <c r="H1113" s="81"/>
      <c r="I1113" s="161"/>
      <c r="J1113" s="154" t="str">
        <f aca="false">IF(H1113="","",ROUNDUP(H1113*35%,0))</f>
        <v/>
      </c>
      <c r="K1113" s="113"/>
      <c r="L1113" s="113"/>
    </row>
    <row r="1114" customFormat="false" ht="12.75" hidden="false" customHeight="true" outlineLevel="0" collapsed="false">
      <c r="A1114" s="121" t="str">
        <f aca="false">IF(B1114="","",CONCATENATE(COUNTA($B$4:B1114),"."))</f>
        <v/>
      </c>
      <c r="B1114" s="112"/>
      <c r="C1114" s="112"/>
      <c r="D1114" s="81"/>
      <c r="E1114" s="81"/>
      <c r="F1114" s="81"/>
      <c r="G1114" s="81"/>
      <c r="H1114" s="81"/>
      <c r="I1114" s="161"/>
      <c r="J1114" s="154" t="str">
        <f aca="false">IF(H1114="","",ROUNDUP(H1114*35%,0))</f>
        <v/>
      </c>
      <c r="K1114" s="113"/>
      <c r="L1114" s="113"/>
    </row>
    <row r="1115" customFormat="false" ht="12.75" hidden="false" customHeight="true" outlineLevel="0" collapsed="false">
      <c r="A1115" s="121" t="str">
        <f aca="false">IF(B1115="","",CONCATENATE(COUNTA($B$4:B1115),"."))</f>
        <v/>
      </c>
      <c r="B1115" s="112"/>
      <c r="C1115" s="112"/>
      <c r="D1115" s="81"/>
      <c r="E1115" s="81"/>
      <c r="F1115" s="81"/>
      <c r="G1115" s="81"/>
      <c r="H1115" s="81"/>
      <c r="I1115" s="161"/>
      <c r="J1115" s="154" t="str">
        <f aca="false">IF(H1115="","",ROUNDUP(H1115*35%,0))</f>
        <v/>
      </c>
      <c r="K1115" s="113"/>
      <c r="L1115" s="113"/>
    </row>
    <row r="1116" customFormat="false" ht="12.75" hidden="false" customHeight="true" outlineLevel="0" collapsed="false">
      <c r="A1116" s="121" t="str">
        <f aca="false">IF(B1116="","",CONCATENATE(COUNTA($B$4:B1116),"."))</f>
        <v/>
      </c>
      <c r="B1116" s="112"/>
      <c r="C1116" s="112"/>
      <c r="D1116" s="81"/>
      <c r="E1116" s="81"/>
      <c r="F1116" s="81"/>
      <c r="G1116" s="81"/>
      <c r="H1116" s="81"/>
      <c r="I1116" s="161"/>
      <c r="J1116" s="154" t="str">
        <f aca="false">IF(H1116="","",ROUNDUP(H1116*35%,0))</f>
        <v/>
      </c>
      <c r="K1116" s="113"/>
      <c r="L1116" s="113"/>
    </row>
    <row r="1117" customFormat="false" ht="12.75" hidden="false" customHeight="true" outlineLevel="0" collapsed="false">
      <c r="A1117" s="121" t="str">
        <f aca="false">IF(B1117="","",CONCATENATE(COUNTA($B$4:B1117),"."))</f>
        <v/>
      </c>
      <c r="B1117" s="112"/>
      <c r="C1117" s="112"/>
      <c r="D1117" s="81"/>
      <c r="E1117" s="81"/>
      <c r="F1117" s="81"/>
      <c r="G1117" s="81"/>
      <c r="H1117" s="81"/>
      <c r="I1117" s="161"/>
      <c r="J1117" s="154" t="str">
        <f aca="false">IF(H1117="","",ROUNDUP(H1117*35%,0))</f>
        <v/>
      </c>
      <c r="K1117" s="113"/>
      <c r="L1117" s="113"/>
    </row>
    <row r="1118" customFormat="false" ht="12.75" hidden="false" customHeight="true" outlineLevel="0" collapsed="false">
      <c r="A1118" s="121" t="str">
        <f aca="false">IF(B1118="","",CONCATENATE(COUNTA($B$4:B1118),"."))</f>
        <v/>
      </c>
      <c r="B1118" s="112"/>
      <c r="C1118" s="112"/>
      <c r="D1118" s="81"/>
      <c r="E1118" s="81"/>
      <c r="F1118" s="81"/>
      <c r="G1118" s="81"/>
      <c r="H1118" s="81"/>
      <c r="I1118" s="161"/>
      <c r="J1118" s="154" t="str">
        <f aca="false">IF(H1118="","",ROUNDUP(H1118*35%,0))</f>
        <v/>
      </c>
      <c r="K1118" s="113"/>
      <c r="L1118" s="113"/>
    </row>
    <row r="1119" customFormat="false" ht="12.75" hidden="false" customHeight="true" outlineLevel="0" collapsed="false">
      <c r="A1119" s="121" t="str">
        <f aca="false">IF(B1119="","",CONCATENATE(COUNTA($B$4:B1119),"."))</f>
        <v/>
      </c>
      <c r="B1119" s="112"/>
      <c r="C1119" s="112"/>
      <c r="D1119" s="81"/>
      <c r="E1119" s="81"/>
      <c r="F1119" s="81"/>
      <c r="G1119" s="81"/>
      <c r="H1119" s="81"/>
      <c r="I1119" s="161"/>
      <c r="J1119" s="154" t="str">
        <f aca="false">IF(H1119="","",ROUNDUP(H1119*35%,0))</f>
        <v/>
      </c>
      <c r="K1119" s="113"/>
      <c r="L1119" s="113"/>
    </row>
    <row r="1120" customFormat="false" ht="12.75" hidden="false" customHeight="true" outlineLevel="0" collapsed="false">
      <c r="A1120" s="121" t="str">
        <f aca="false">IF(B1120="","",CONCATENATE(COUNTA($B$4:B1120),"."))</f>
        <v/>
      </c>
      <c r="B1120" s="112"/>
      <c r="C1120" s="112"/>
      <c r="D1120" s="81"/>
      <c r="E1120" s="81"/>
      <c r="F1120" s="81"/>
      <c r="G1120" s="81"/>
      <c r="H1120" s="81"/>
      <c r="I1120" s="161"/>
      <c r="J1120" s="154" t="str">
        <f aca="false">IF(H1120="","",ROUNDUP(H1120*35%,0))</f>
        <v/>
      </c>
      <c r="K1120" s="113"/>
      <c r="L1120" s="113"/>
    </row>
    <row r="1121" customFormat="false" ht="12.75" hidden="false" customHeight="true" outlineLevel="0" collapsed="false">
      <c r="A1121" s="121" t="str">
        <f aca="false">IF(B1121="","",CONCATENATE(COUNTA($B$4:B1121),"."))</f>
        <v/>
      </c>
      <c r="B1121" s="112"/>
      <c r="C1121" s="112"/>
      <c r="D1121" s="81"/>
      <c r="E1121" s="81"/>
      <c r="F1121" s="81"/>
      <c r="G1121" s="81"/>
      <c r="H1121" s="81"/>
      <c r="I1121" s="161"/>
      <c r="J1121" s="154" t="str">
        <f aca="false">IF(H1121="","",ROUNDUP(H1121*35%,0))</f>
        <v/>
      </c>
      <c r="K1121" s="113"/>
      <c r="L1121" s="113"/>
    </row>
    <row r="1122" customFormat="false" ht="12.75" hidden="false" customHeight="true" outlineLevel="0" collapsed="false">
      <c r="A1122" s="121" t="str">
        <f aca="false">IF(B1122="","",CONCATENATE(COUNTA($B$4:B1122),"."))</f>
        <v/>
      </c>
      <c r="B1122" s="112"/>
      <c r="C1122" s="112"/>
      <c r="D1122" s="81"/>
      <c r="E1122" s="81"/>
      <c r="F1122" s="81"/>
      <c r="G1122" s="81"/>
      <c r="H1122" s="81"/>
      <c r="I1122" s="161"/>
      <c r="J1122" s="154" t="str">
        <f aca="false">IF(H1122="","",ROUNDUP(H1122*35%,0))</f>
        <v/>
      </c>
      <c r="K1122" s="113"/>
      <c r="L1122" s="113"/>
    </row>
    <row r="1123" customFormat="false" ht="12.75" hidden="false" customHeight="true" outlineLevel="0" collapsed="false">
      <c r="A1123" s="121" t="str">
        <f aca="false">IF(B1123="","",CONCATENATE(COUNTA($B$4:B1123),"."))</f>
        <v/>
      </c>
      <c r="B1123" s="112"/>
      <c r="C1123" s="112"/>
      <c r="D1123" s="81"/>
      <c r="E1123" s="81"/>
      <c r="F1123" s="81"/>
      <c r="G1123" s="81"/>
      <c r="H1123" s="81"/>
      <c r="I1123" s="161"/>
      <c r="J1123" s="154" t="str">
        <f aca="false">IF(H1123="","",ROUNDUP(H1123*35%,0))</f>
        <v/>
      </c>
      <c r="K1123" s="113"/>
      <c r="L1123" s="113"/>
    </row>
    <row r="1124" customFormat="false" ht="12.75" hidden="false" customHeight="true" outlineLevel="0" collapsed="false">
      <c r="A1124" s="121" t="str">
        <f aca="false">IF(B1124="","",CONCATENATE(COUNTA($B$4:B1124),"."))</f>
        <v/>
      </c>
      <c r="B1124" s="112"/>
      <c r="C1124" s="112"/>
      <c r="D1124" s="81"/>
      <c r="E1124" s="81"/>
      <c r="F1124" s="81"/>
      <c r="G1124" s="81"/>
      <c r="H1124" s="81"/>
      <c r="I1124" s="161"/>
      <c r="J1124" s="154" t="str">
        <f aca="false">IF(H1124="","",ROUNDUP(H1124*35%,0))</f>
        <v/>
      </c>
      <c r="K1124" s="113"/>
      <c r="L1124" s="113"/>
    </row>
    <row r="1125" customFormat="false" ht="12.75" hidden="false" customHeight="true" outlineLevel="0" collapsed="false">
      <c r="A1125" s="121" t="str">
        <f aca="false">IF(B1125="","",CONCATENATE(COUNTA($B$4:B1125),"."))</f>
        <v/>
      </c>
      <c r="B1125" s="112"/>
      <c r="C1125" s="112"/>
      <c r="D1125" s="81"/>
      <c r="E1125" s="81"/>
      <c r="F1125" s="81"/>
      <c r="G1125" s="81"/>
      <c r="H1125" s="81"/>
      <c r="I1125" s="161"/>
      <c r="J1125" s="154" t="str">
        <f aca="false">IF(H1125="","",ROUNDUP(H1125*35%,0))</f>
        <v/>
      </c>
      <c r="K1125" s="113"/>
      <c r="L1125" s="113"/>
    </row>
    <row r="1126" customFormat="false" ht="12.75" hidden="false" customHeight="true" outlineLevel="0" collapsed="false">
      <c r="A1126" s="121" t="str">
        <f aca="false">IF(B1126="","",CONCATENATE(COUNTA($B$4:B1126),"."))</f>
        <v/>
      </c>
      <c r="B1126" s="112"/>
      <c r="C1126" s="112"/>
      <c r="D1126" s="81"/>
      <c r="E1126" s="81"/>
      <c r="F1126" s="81"/>
      <c r="G1126" s="81"/>
      <c r="H1126" s="81"/>
      <c r="I1126" s="161"/>
      <c r="J1126" s="154" t="str">
        <f aca="false">IF(H1126="","",ROUNDUP(H1126*35%,0))</f>
        <v/>
      </c>
      <c r="K1126" s="113"/>
      <c r="L1126" s="113"/>
    </row>
    <row r="1127" customFormat="false" ht="12.75" hidden="false" customHeight="true" outlineLevel="0" collapsed="false">
      <c r="A1127" s="121" t="str">
        <f aca="false">IF(B1127="","",CONCATENATE(COUNTA($B$4:B1127),"."))</f>
        <v/>
      </c>
      <c r="B1127" s="112"/>
      <c r="C1127" s="112"/>
      <c r="D1127" s="81"/>
      <c r="E1127" s="81"/>
      <c r="F1127" s="81"/>
      <c r="G1127" s="81"/>
      <c r="H1127" s="81"/>
      <c r="I1127" s="161"/>
      <c r="J1127" s="154" t="str">
        <f aca="false">IF(H1127="","",ROUNDUP(H1127*35%,0))</f>
        <v/>
      </c>
      <c r="K1127" s="113"/>
      <c r="L1127" s="113"/>
    </row>
    <row r="1128" customFormat="false" ht="12.75" hidden="false" customHeight="true" outlineLevel="0" collapsed="false">
      <c r="A1128" s="121" t="str">
        <f aca="false">IF(B1128="","",CONCATENATE(COUNTA($B$4:B1128),"."))</f>
        <v/>
      </c>
      <c r="B1128" s="112"/>
      <c r="C1128" s="112"/>
      <c r="D1128" s="81"/>
      <c r="E1128" s="81"/>
      <c r="F1128" s="81"/>
      <c r="G1128" s="81"/>
      <c r="H1128" s="81"/>
      <c r="I1128" s="161"/>
      <c r="J1128" s="154" t="str">
        <f aca="false">IF(H1128="","",ROUNDUP(H1128*35%,0))</f>
        <v/>
      </c>
      <c r="K1128" s="113"/>
      <c r="L1128" s="113"/>
    </row>
    <row r="1129" customFormat="false" ht="12.75" hidden="false" customHeight="true" outlineLevel="0" collapsed="false">
      <c r="A1129" s="121" t="str">
        <f aca="false">IF(B1129="","",CONCATENATE(COUNTA($B$4:B1129),"."))</f>
        <v/>
      </c>
      <c r="B1129" s="112"/>
      <c r="C1129" s="112"/>
      <c r="D1129" s="81"/>
      <c r="E1129" s="81"/>
      <c r="F1129" s="81"/>
      <c r="G1129" s="81"/>
      <c r="H1129" s="81"/>
      <c r="I1129" s="161"/>
      <c r="J1129" s="154" t="str">
        <f aca="false">IF(H1129="","",ROUNDUP(H1129*35%,0))</f>
        <v/>
      </c>
      <c r="K1129" s="113"/>
      <c r="L1129" s="113"/>
    </row>
    <row r="1130" customFormat="false" ht="12.75" hidden="false" customHeight="true" outlineLevel="0" collapsed="false">
      <c r="A1130" s="121" t="str">
        <f aca="false">IF(B1130="","",CONCATENATE(COUNTA($B$4:B1130),"."))</f>
        <v/>
      </c>
      <c r="B1130" s="112"/>
      <c r="C1130" s="112"/>
      <c r="D1130" s="81"/>
      <c r="E1130" s="81"/>
      <c r="F1130" s="81"/>
      <c r="G1130" s="81"/>
      <c r="H1130" s="81"/>
      <c r="I1130" s="161"/>
      <c r="J1130" s="154" t="str">
        <f aca="false">IF(H1130="","",ROUNDUP(H1130*35%,0))</f>
        <v/>
      </c>
      <c r="K1130" s="113"/>
      <c r="L1130" s="113"/>
    </row>
    <row r="1131" customFormat="false" ht="12.75" hidden="false" customHeight="true" outlineLevel="0" collapsed="false">
      <c r="A1131" s="121" t="str">
        <f aca="false">IF(B1131="","",CONCATENATE(COUNTA($B$4:B1131),"."))</f>
        <v/>
      </c>
      <c r="B1131" s="112"/>
      <c r="C1131" s="112"/>
      <c r="D1131" s="81"/>
      <c r="E1131" s="81"/>
      <c r="F1131" s="81"/>
      <c r="G1131" s="81"/>
      <c r="H1131" s="81"/>
      <c r="I1131" s="161"/>
      <c r="J1131" s="154" t="str">
        <f aca="false">IF(H1131="","",ROUNDUP(H1131*35%,0))</f>
        <v/>
      </c>
      <c r="K1131" s="113"/>
      <c r="L1131" s="113"/>
    </row>
    <row r="1132" customFormat="false" ht="12.75" hidden="false" customHeight="true" outlineLevel="0" collapsed="false">
      <c r="A1132" s="121" t="str">
        <f aca="false">IF(B1132="","",CONCATENATE(COUNTA($B$4:B1132),"."))</f>
        <v/>
      </c>
      <c r="B1132" s="112"/>
      <c r="C1132" s="112"/>
      <c r="D1132" s="81"/>
      <c r="E1132" s="81"/>
      <c r="F1132" s="81"/>
      <c r="G1132" s="81"/>
      <c r="H1132" s="81"/>
      <c r="I1132" s="161"/>
      <c r="J1132" s="154" t="str">
        <f aca="false">IF(H1132="","",ROUNDUP(H1132*35%,0))</f>
        <v/>
      </c>
      <c r="K1132" s="113"/>
      <c r="L1132" s="113"/>
    </row>
    <row r="1133" customFormat="false" ht="12.75" hidden="false" customHeight="true" outlineLevel="0" collapsed="false">
      <c r="A1133" s="121" t="str">
        <f aca="false">IF(B1133="","",CONCATENATE(COUNTA($B$4:B1133),"."))</f>
        <v/>
      </c>
      <c r="B1133" s="112"/>
      <c r="C1133" s="112"/>
      <c r="D1133" s="81"/>
      <c r="E1133" s="81"/>
      <c r="F1133" s="81"/>
      <c r="G1133" s="81"/>
      <c r="H1133" s="81"/>
      <c r="I1133" s="161"/>
      <c r="J1133" s="154" t="str">
        <f aca="false">IF(H1133="","",ROUNDUP(H1133*35%,0))</f>
        <v/>
      </c>
      <c r="K1133" s="113"/>
      <c r="L1133" s="113"/>
    </row>
    <row r="1134" customFormat="false" ht="12.75" hidden="false" customHeight="true" outlineLevel="0" collapsed="false">
      <c r="A1134" s="121" t="str">
        <f aca="false">IF(B1134="","",CONCATENATE(COUNTA($B$4:B1134),"."))</f>
        <v/>
      </c>
      <c r="B1134" s="112"/>
      <c r="C1134" s="112"/>
      <c r="D1134" s="81"/>
      <c r="E1134" s="81"/>
      <c r="F1134" s="81"/>
      <c r="G1134" s="81"/>
      <c r="H1134" s="81"/>
      <c r="I1134" s="161"/>
      <c r="J1134" s="154" t="str">
        <f aca="false">IF(H1134="","",ROUNDUP(H1134*35%,0))</f>
        <v/>
      </c>
      <c r="K1134" s="113"/>
      <c r="L1134" s="113"/>
    </row>
    <row r="1135" customFormat="false" ht="12.75" hidden="false" customHeight="true" outlineLevel="0" collapsed="false">
      <c r="A1135" s="121" t="str">
        <f aca="false">IF(B1135="","",CONCATENATE(COUNTA($B$4:B1135),"."))</f>
        <v/>
      </c>
      <c r="B1135" s="112"/>
      <c r="C1135" s="112"/>
      <c r="D1135" s="81"/>
      <c r="E1135" s="81"/>
      <c r="F1135" s="81"/>
      <c r="G1135" s="81"/>
      <c r="H1135" s="81"/>
      <c r="I1135" s="161"/>
      <c r="J1135" s="154" t="str">
        <f aca="false">IF(H1135="","",ROUNDUP(H1135*35%,0))</f>
        <v/>
      </c>
      <c r="K1135" s="113"/>
      <c r="L1135" s="113"/>
    </row>
    <row r="1136" customFormat="false" ht="12.75" hidden="false" customHeight="true" outlineLevel="0" collapsed="false">
      <c r="A1136" s="121" t="str">
        <f aca="false">IF(B1136="","",CONCATENATE(COUNTA($B$4:B1136),"."))</f>
        <v/>
      </c>
      <c r="B1136" s="112"/>
      <c r="C1136" s="112"/>
      <c r="D1136" s="81"/>
      <c r="E1136" s="81"/>
      <c r="F1136" s="81"/>
      <c r="G1136" s="81"/>
      <c r="H1136" s="81"/>
      <c r="I1136" s="161"/>
      <c r="J1136" s="154" t="str">
        <f aca="false">IF(H1136="","",ROUNDUP(H1136*35%,0))</f>
        <v/>
      </c>
      <c r="K1136" s="113"/>
      <c r="L1136" s="113"/>
    </row>
    <row r="1137" customFormat="false" ht="12.75" hidden="false" customHeight="true" outlineLevel="0" collapsed="false">
      <c r="A1137" s="121" t="str">
        <f aca="false">IF(B1137="","",CONCATENATE(COUNTA($B$4:B1137),"."))</f>
        <v/>
      </c>
      <c r="B1137" s="112"/>
      <c r="C1137" s="112"/>
      <c r="D1137" s="81"/>
      <c r="E1137" s="81"/>
      <c r="F1137" s="81"/>
      <c r="G1137" s="81"/>
      <c r="H1137" s="81"/>
      <c r="I1137" s="161"/>
      <c r="J1137" s="154" t="str">
        <f aca="false">IF(H1137="","",ROUNDUP(H1137*35%,0))</f>
        <v/>
      </c>
      <c r="K1137" s="113"/>
      <c r="L1137" s="113"/>
    </row>
    <row r="1138" customFormat="false" ht="12.75" hidden="false" customHeight="true" outlineLevel="0" collapsed="false">
      <c r="A1138" s="121" t="str">
        <f aca="false">IF(B1138="","",CONCATENATE(COUNTA($B$4:B1138),"."))</f>
        <v/>
      </c>
      <c r="B1138" s="112"/>
      <c r="C1138" s="112"/>
      <c r="D1138" s="81"/>
      <c r="E1138" s="81"/>
      <c r="F1138" s="81"/>
      <c r="G1138" s="81"/>
      <c r="H1138" s="81"/>
      <c r="I1138" s="161"/>
      <c r="J1138" s="154" t="str">
        <f aca="false">IF(H1138="","",ROUNDUP(H1138*35%,0))</f>
        <v/>
      </c>
      <c r="K1138" s="113"/>
      <c r="L1138" s="113"/>
    </row>
    <row r="1139" customFormat="false" ht="12.75" hidden="false" customHeight="true" outlineLevel="0" collapsed="false">
      <c r="A1139" s="121" t="str">
        <f aca="false">IF(B1139="","",CONCATENATE(COUNTA($B$4:B1139),"."))</f>
        <v/>
      </c>
      <c r="B1139" s="112"/>
      <c r="C1139" s="112"/>
      <c r="D1139" s="81"/>
      <c r="E1139" s="81"/>
      <c r="F1139" s="81"/>
      <c r="G1139" s="81"/>
      <c r="H1139" s="81"/>
      <c r="I1139" s="161"/>
      <c r="J1139" s="154" t="str">
        <f aca="false">IF(H1139="","",ROUNDUP(H1139*35%,0))</f>
        <v/>
      </c>
      <c r="K1139" s="113"/>
      <c r="L1139" s="113"/>
    </row>
    <row r="1140" customFormat="false" ht="12.75" hidden="false" customHeight="true" outlineLevel="0" collapsed="false">
      <c r="A1140" s="121" t="str">
        <f aca="false">IF(B1140="","",CONCATENATE(COUNTA($B$4:B1140),"."))</f>
        <v/>
      </c>
      <c r="B1140" s="112"/>
      <c r="C1140" s="112"/>
      <c r="D1140" s="81"/>
      <c r="E1140" s="81"/>
      <c r="F1140" s="81"/>
      <c r="G1140" s="81"/>
      <c r="H1140" s="81"/>
      <c r="I1140" s="161"/>
      <c r="J1140" s="154" t="str">
        <f aca="false">IF(H1140="","",ROUNDUP(H1140*35%,0))</f>
        <v/>
      </c>
      <c r="K1140" s="113"/>
      <c r="L1140" s="113"/>
    </row>
    <row r="1141" customFormat="false" ht="12.75" hidden="false" customHeight="true" outlineLevel="0" collapsed="false">
      <c r="A1141" s="121" t="str">
        <f aca="false">IF(B1141="","",CONCATENATE(COUNTA($B$4:B1141),"."))</f>
        <v/>
      </c>
      <c r="B1141" s="112"/>
      <c r="C1141" s="112"/>
      <c r="D1141" s="81"/>
      <c r="E1141" s="81"/>
      <c r="F1141" s="81"/>
      <c r="G1141" s="81"/>
      <c r="H1141" s="81"/>
      <c r="I1141" s="161"/>
      <c r="J1141" s="154" t="str">
        <f aca="false">IF(H1141="","",ROUNDUP(H1141*35%,0))</f>
        <v/>
      </c>
      <c r="K1141" s="113"/>
      <c r="L1141" s="113"/>
    </row>
    <row r="1142" customFormat="false" ht="12.75" hidden="false" customHeight="true" outlineLevel="0" collapsed="false">
      <c r="A1142" s="121" t="str">
        <f aca="false">IF(B1142="","",CONCATENATE(COUNTA($B$4:B1142),"."))</f>
        <v/>
      </c>
      <c r="B1142" s="112"/>
      <c r="C1142" s="112"/>
      <c r="D1142" s="81"/>
      <c r="E1142" s="81"/>
      <c r="F1142" s="81"/>
      <c r="G1142" s="81"/>
      <c r="H1142" s="81"/>
      <c r="I1142" s="161"/>
      <c r="J1142" s="154" t="str">
        <f aca="false">IF(H1142="","",ROUNDUP(H1142*35%,0))</f>
        <v/>
      </c>
      <c r="K1142" s="113"/>
      <c r="L1142" s="113"/>
    </row>
    <row r="1143" customFormat="false" ht="12.75" hidden="false" customHeight="true" outlineLevel="0" collapsed="false">
      <c r="A1143" s="121" t="str">
        <f aca="false">IF(B1143="","",CONCATENATE(COUNTA($B$4:B1143),"."))</f>
        <v/>
      </c>
      <c r="B1143" s="112"/>
      <c r="C1143" s="112"/>
      <c r="D1143" s="81"/>
      <c r="E1143" s="81"/>
      <c r="F1143" s="81"/>
      <c r="G1143" s="81"/>
      <c r="H1143" s="81"/>
      <c r="I1143" s="161"/>
      <c r="J1143" s="154" t="str">
        <f aca="false">IF(H1143="","",ROUNDUP(H1143*35%,0))</f>
        <v/>
      </c>
      <c r="K1143" s="113"/>
      <c r="L1143" s="113"/>
    </row>
    <row r="1144" customFormat="false" ht="12.75" hidden="false" customHeight="true" outlineLevel="0" collapsed="false">
      <c r="A1144" s="121" t="str">
        <f aca="false">IF(B1144="","",CONCATENATE(COUNTA($B$4:B1144),"."))</f>
        <v/>
      </c>
      <c r="B1144" s="112"/>
      <c r="C1144" s="112"/>
      <c r="D1144" s="81"/>
      <c r="E1144" s="81"/>
      <c r="F1144" s="81"/>
      <c r="G1144" s="81"/>
      <c r="H1144" s="81"/>
      <c r="I1144" s="161"/>
      <c r="J1144" s="154" t="str">
        <f aca="false">IF(H1144="","",ROUNDUP(H1144*35%,0))</f>
        <v/>
      </c>
      <c r="K1144" s="113"/>
      <c r="L1144" s="113"/>
    </row>
    <row r="1145" customFormat="false" ht="12.75" hidden="false" customHeight="true" outlineLevel="0" collapsed="false">
      <c r="A1145" s="121" t="str">
        <f aca="false">IF(B1145="","",CONCATENATE(COUNTA($B$4:B1145),"."))</f>
        <v/>
      </c>
      <c r="B1145" s="112"/>
      <c r="C1145" s="112"/>
      <c r="D1145" s="81"/>
      <c r="E1145" s="81"/>
      <c r="F1145" s="81"/>
      <c r="G1145" s="81"/>
      <c r="H1145" s="81"/>
      <c r="I1145" s="161"/>
      <c r="J1145" s="154" t="str">
        <f aca="false">IF(H1145="","",ROUNDUP(H1145*35%,0))</f>
        <v/>
      </c>
      <c r="K1145" s="113"/>
      <c r="L1145" s="113"/>
    </row>
    <row r="1146" customFormat="false" ht="12.75" hidden="false" customHeight="true" outlineLevel="0" collapsed="false">
      <c r="A1146" s="121" t="str">
        <f aca="false">IF(B1146="","",CONCATENATE(COUNTA($B$4:B1146),"."))</f>
        <v/>
      </c>
      <c r="B1146" s="112"/>
      <c r="C1146" s="112"/>
      <c r="D1146" s="81"/>
      <c r="E1146" s="81"/>
      <c r="F1146" s="81"/>
      <c r="G1146" s="81"/>
      <c r="H1146" s="81"/>
      <c r="I1146" s="161"/>
      <c r="J1146" s="154" t="str">
        <f aca="false">IF(H1146="","",ROUNDUP(H1146*35%,0))</f>
        <v/>
      </c>
      <c r="K1146" s="113"/>
      <c r="L1146" s="113"/>
    </row>
    <row r="1147" customFormat="false" ht="12.75" hidden="false" customHeight="true" outlineLevel="0" collapsed="false">
      <c r="A1147" s="121" t="str">
        <f aca="false">IF(B1147="","",CONCATENATE(COUNTA($B$4:B1147),"."))</f>
        <v/>
      </c>
      <c r="B1147" s="112"/>
      <c r="C1147" s="112"/>
      <c r="D1147" s="81"/>
      <c r="E1147" s="81"/>
      <c r="F1147" s="81"/>
      <c r="G1147" s="81"/>
      <c r="H1147" s="81"/>
      <c r="I1147" s="161"/>
      <c r="J1147" s="154" t="str">
        <f aca="false">IF(H1147="","",ROUNDUP(H1147*35%,0))</f>
        <v/>
      </c>
      <c r="K1147" s="113"/>
      <c r="L1147" s="113"/>
    </row>
    <row r="1148" customFormat="false" ht="12.75" hidden="false" customHeight="true" outlineLevel="0" collapsed="false">
      <c r="A1148" s="121" t="str">
        <f aca="false">IF(B1148="","",CONCATENATE(COUNTA($B$4:B1148),"."))</f>
        <v/>
      </c>
      <c r="B1148" s="112"/>
      <c r="C1148" s="112"/>
      <c r="D1148" s="81"/>
      <c r="E1148" s="81"/>
      <c r="F1148" s="81"/>
      <c r="G1148" s="81"/>
      <c r="H1148" s="81"/>
      <c r="I1148" s="161"/>
      <c r="J1148" s="154" t="str">
        <f aca="false">IF(H1148="","",ROUNDUP(H1148*35%,0))</f>
        <v/>
      </c>
      <c r="K1148" s="113"/>
      <c r="L1148" s="113"/>
    </row>
    <row r="1149" customFormat="false" ht="12.75" hidden="false" customHeight="true" outlineLevel="0" collapsed="false">
      <c r="A1149" s="121" t="str">
        <f aca="false">IF(B1149="","",CONCATENATE(COUNTA($B$4:B1149),"."))</f>
        <v/>
      </c>
      <c r="B1149" s="112"/>
      <c r="C1149" s="112"/>
      <c r="D1149" s="81"/>
      <c r="E1149" s="81"/>
      <c r="F1149" s="81"/>
      <c r="G1149" s="81"/>
      <c r="H1149" s="81"/>
      <c r="I1149" s="161"/>
      <c r="J1149" s="154" t="str">
        <f aca="false">IF(H1149="","",ROUNDUP(H1149*35%,0))</f>
        <v/>
      </c>
      <c r="K1149" s="113"/>
      <c r="L1149" s="113"/>
    </row>
    <row r="1150" customFormat="false" ht="12.75" hidden="false" customHeight="true" outlineLevel="0" collapsed="false">
      <c r="A1150" s="121" t="str">
        <f aca="false">IF(B1150="","",CONCATENATE(COUNTA($B$4:B1150),"."))</f>
        <v/>
      </c>
      <c r="B1150" s="112"/>
      <c r="C1150" s="112"/>
      <c r="D1150" s="81"/>
      <c r="E1150" s="81"/>
      <c r="F1150" s="81"/>
      <c r="G1150" s="81"/>
      <c r="H1150" s="81"/>
      <c r="I1150" s="161"/>
      <c r="J1150" s="154" t="str">
        <f aca="false">IF(H1150="","",ROUNDUP(H1150*35%,0))</f>
        <v/>
      </c>
      <c r="K1150" s="113"/>
      <c r="L1150" s="113"/>
    </row>
    <row r="1151" customFormat="false" ht="12.75" hidden="false" customHeight="true" outlineLevel="0" collapsed="false">
      <c r="A1151" s="121" t="str">
        <f aca="false">IF(B1151="","",CONCATENATE(COUNTA($B$4:B1151),"."))</f>
        <v/>
      </c>
      <c r="B1151" s="112"/>
      <c r="C1151" s="112"/>
      <c r="D1151" s="81"/>
      <c r="E1151" s="81"/>
      <c r="F1151" s="81"/>
      <c r="G1151" s="81"/>
      <c r="H1151" s="81"/>
      <c r="I1151" s="161"/>
      <c r="J1151" s="154" t="str">
        <f aca="false">IF(H1151="","",ROUNDUP(H1151*35%,0))</f>
        <v/>
      </c>
      <c r="K1151" s="113"/>
      <c r="L1151" s="113"/>
    </row>
    <row r="1152" customFormat="false" ht="12.75" hidden="false" customHeight="true" outlineLevel="0" collapsed="false">
      <c r="A1152" s="121" t="str">
        <f aca="false">IF(B1152="","",CONCATENATE(COUNTA($B$4:B1152),"."))</f>
        <v/>
      </c>
      <c r="B1152" s="112"/>
      <c r="C1152" s="112"/>
      <c r="D1152" s="81"/>
      <c r="E1152" s="81"/>
      <c r="F1152" s="81"/>
      <c r="G1152" s="81"/>
      <c r="H1152" s="81"/>
      <c r="I1152" s="161"/>
      <c r="J1152" s="154" t="str">
        <f aca="false">IF(H1152="","",ROUNDUP(H1152*35%,0))</f>
        <v/>
      </c>
      <c r="K1152" s="113"/>
      <c r="L1152" s="113"/>
    </row>
    <row r="1153" customFormat="false" ht="12.75" hidden="false" customHeight="true" outlineLevel="0" collapsed="false">
      <c r="A1153" s="121" t="str">
        <f aca="false">IF(B1153="","",CONCATENATE(COUNTA($B$4:B1153),"."))</f>
        <v/>
      </c>
      <c r="B1153" s="112"/>
      <c r="C1153" s="112"/>
      <c r="D1153" s="81"/>
      <c r="E1153" s="81"/>
      <c r="F1153" s="81"/>
      <c r="G1153" s="81"/>
      <c r="H1153" s="81"/>
      <c r="I1153" s="161"/>
      <c r="J1153" s="154" t="str">
        <f aca="false">IF(H1153="","",ROUNDUP(H1153*35%,0))</f>
        <v/>
      </c>
      <c r="K1153" s="113"/>
      <c r="L1153" s="113"/>
    </row>
    <row r="1154" customFormat="false" ht="12.75" hidden="false" customHeight="true" outlineLevel="0" collapsed="false">
      <c r="A1154" s="121" t="str">
        <f aca="false">IF(B1154="","",CONCATENATE(COUNTA($B$4:B1154),"."))</f>
        <v/>
      </c>
      <c r="B1154" s="112"/>
      <c r="C1154" s="112"/>
      <c r="D1154" s="81"/>
      <c r="E1154" s="81"/>
      <c r="F1154" s="81"/>
      <c r="G1154" s="81"/>
      <c r="H1154" s="81"/>
      <c r="I1154" s="161"/>
      <c r="J1154" s="154" t="str">
        <f aca="false">IF(H1154="","",ROUNDUP(H1154*35%,0))</f>
        <v/>
      </c>
      <c r="K1154" s="113"/>
      <c r="L1154" s="113"/>
    </row>
    <row r="1155" customFormat="false" ht="12.75" hidden="false" customHeight="true" outlineLevel="0" collapsed="false">
      <c r="A1155" s="121" t="str">
        <f aca="false">IF(B1155="","",CONCATENATE(COUNTA($B$4:B1155),"."))</f>
        <v/>
      </c>
      <c r="B1155" s="112"/>
      <c r="C1155" s="112"/>
      <c r="D1155" s="81"/>
      <c r="E1155" s="81"/>
      <c r="F1155" s="81"/>
      <c r="G1155" s="81"/>
      <c r="H1155" s="81"/>
      <c r="I1155" s="161"/>
      <c r="J1155" s="154" t="str">
        <f aca="false">IF(H1155="","",ROUNDUP(H1155*35%,0))</f>
        <v/>
      </c>
      <c r="K1155" s="113"/>
      <c r="L1155" s="113"/>
    </row>
    <row r="1156" customFormat="false" ht="12.75" hidden="false" customHeight="true" outlineLevel="0" collapsed="false">
      <c r="A1156" s="121" t="str">
        <f aca="false">IF(B1156="","",CONCATENATE(COUNTA($B$4:B1156),"."))</f>
        <v/>
      </c>
      <c r="B1156" s="112"/>
      <c r="C1156" s="112"/>
      <c r="D1156" s="81"/>
      <c r="E1156" s="81"/>
      <c r="F1156" s="81"/>
      <c r="G1156" s="81"/>
      <c r="H1156" s="81"/>
      <c r="I1156" s="161"/>
      <c r="J1156" s="154" t="str">
        <f aca="false">IF(H1156="","",ROUNDUP(H1156*35%,0))</f>
        <v/>
      </c>
      <c r="K1156" s="113"/>
      <c r="L1156" s="113"/>
    </row>
    <row r="1157" customFormat="false" ht="12.75" hidden="false" customHeight="true" outlineLevel="0" collapsed="false">
      <c r="A1157" s="121" t="str">
        <f aca="false">IF(B1157="","",CONCATENATE(COUNTA($B$4:B1157),"."))</f>
        <v/>
      </c>
      <c r="B1157" s="112"/>
      <c r="C1157" s="112"/>
      <c r="D1157" s="81"/>
      <c r="E1157" s="81"/>
      <c r="F1157" s="81"/>
      <c r="G1157" s="81"/>
      <c r="H1157" s="81"/>
      <c r="I1157" s="161"/>
      <c r="J1157" s="154" t="str">
        <f aca="false">IF(H1157="","",ROUNDUP(H1157*35%,0))</f>
        <v/>
      </c>
      <c r="K1157" s="113"/>
      <c r="L1157" s="113"/>
    </row>
    <row r="1158" customFormat="false" ht="12.75" hidden="false" customHeight="true" outlineLevel="0" collapsed="false">
      <c r="A1158" s="121" t="str">
        <f aca="false">IF(B1158="","",CONCATENATE(COUNTA($B$4:B1158),"."))</f>
        <v/>
      </c>
      <c r="B1158" s="112"/>
      <c r="C1158" s="112"/>
      <c r="D1158" s="81"/>
      <c r="E1158" s="81"/>
      <c r="F1158" s="81"/>
      <c r="G1158" s="81"/>
      <c r="H1158" s="81"/>
      <c r="I1158" s="161"/>
      <c r="J1158" s="154" t="str">
        <f aca="false">IF(H1158="","",ROUNDUP(H1158*35%,0))</f>
        <v/>
      </c>
      <c r="K1158" s="113"/>
      <c r="L1158" s="113"/>
    </row>
    <row r="1159" customFormat="false" ht="12.75" hidden="false" customHeight="true" outlineLevel="0" collapsed="false">
      <c r="A1159" s="121" t="str">
        <f aca="false">IF(B1159="","",CONCATENATE(COUNTA($B$4:B1159),"."))</f>
        <v/>
      </c>
      <c r="B1159" s="112"/>
      <c r="C1159" s="112"/>
      <c r="D1159" s="81"/>
      <c r="E1159" s="81"/>
      <c r="F1159" s="81"/>
      <c r="G1159" s="81"/>
      <c r="H1159" s="81"/>
      <c r="I1159" s="161"/>
      <c r="J1159" s="154" t="str">
        <f aca="false">IF(H1159="","",ROUNDUP(H1159*35%,0))</f>
        <v/>
      </c>
      <c r="K1159" s="113"/>
      <c r="L1159" s="113"/>
    </row>
    <row r="1160" customFormat="false" ht="12.75" hidden="false" customHeight="true" outlineLevel="0" collapsed="false">
      <c r="A1160" s="121" t="str">
        <f aca="false">IF(B1160="","",CONCATENATE(COUNTA($B$4:B1160),"."))</f>
        <v/>
      </c>
      <c r="B1160" s="112"/>
      <c r="C1160" s="112"/>
      <c r="D1160" s="81"/>
      <c r="E1160" s="81"/>
      <c r="F1160" s="81"/>
      <c r="G1160" s="81"/>
      <c r="H1160" s="81"/>
      <c r="I1160" s="161"/>
      <c r="J1160" s="154" t="str">
        <f aca="false">IF(H1160="","",ROUNDUP(H1160*35%,0))</f>
        <v/>
      </c>
      <c r="K1160" s="113"/>
      <c r="L1160" s="113"/>
    </row>
    <row r="1161" customFormat="false" ht="12.75" hidden="false" customHeight="true" outlineLevel="0" collapsed="false">
      <c r="A1161" s="121" t="str">
        <f aca="false">IF(B1161="","",CONCATENATE(COUNTA($B$4:B1161),"."))</f>
        <v/>
      </c>
      <c r="B1161" s="112"/>
      <c r="C1161" s="112"/>
      <c r="D1161" s="81"/>
      <c r="E1161" s="81"/>
      <c r="F1161" s="81"/>
      <c r="G1161" s="81"/>
      <c r="H1161" s="81"/>
      <c r="I1161" s="161"/>
      <c r="J1161" s="154" t="str">
        <f aca="false">IF(H1161="","",ROUNDUP(H1161*35%,0))</f>
        <v/>
      </c>
      <c r="K1161" s="113"/>
      <c r="L1161" s="113"/>
    </row>
    <row r="1162" customFormat="false" ht="12.75" hidden="false" customHeight="true" outlineLevel="0" collapsed="false">
      <c r="A1162" s="121" t="str">
        <f aca="false">IF(B1162="","",CONCATENATE(COUNTA($B$4:B1162),"."))</f>
        <v/>
      </c>
      <c r="B1162" s="112"/>
      <c r="C1162" s="112"/>
      <c r="D1162" s="81"/>
      <c r="E1162" s="81"/>
      <c r="F1162" s="81"/>
      <c r="G1162" s="81"/>
      <c r="H1162" s="81"/>
      <c r="I1162" s="161"/>
      <c r="J1162" s="154" t="str">
        <f aca="false">IF(H1162="","",ROUNDUP(H1162*35%,0))</f>
        <v/>
      </c>
      <c r="K1162" s="113"/>
      <c r="L1162" s="113"/>
    </row>
    <row r="1163" customFormat="false" ht="12.75" hidden="false" customHeight="true" outlineLevel="0" collapsed="false">
      <c r="A1163" s="121" t="str">
        <f aca="false">IF(B1163="","",CONCATENATE(COUNTA($B$4:B1163),"."))</f>
        <v/>
      </c>
      <c r="B1163" s="112"/>
      <c r="C1163" s="112"/>
      <c r="D1163" s="81"/>
      <c r="E1163" s="81"/>
      <c r="F1163" s="81"/>
      <c r="G1163" s="81"/>
      <c r="H1163" s="81"/>
      <c r="I1163" s="161"/>
      <c r="J1163" s="154" t="str">
        <f aca="false">IF(H1163="","",ROUNDUP(H1163*35%,0))</f>
        <v/>
      </c>
      <c r="K1163" s="113"/>
      <c r="L1163" s="113"/>
    </row>
    <row r="1164" customFormat="false" ht="12.75" hidden="false" customHeight="true" outlineLevel="0" collapsed="false">
      <c r="A1164" s="121" t="str">
        <f aca="false">IF(B1164="","",CONCATENATE(COUNTA($B$4:B1164),"."))</f>
        <v/>
      </c>
      <c r="B1164" s="112"/>
      <c r="C1164" s="112"/>
      <c r="D1164" s="81"/>
      <c r="E1164" s="81"/>
      <c r="F1164" s="81"/>
      <c r="G1164" s="81"/>
      <c r="H1164" s="81"/>
      <c r="I1164" s="161"/>
      <c r="J1164" s="154" t="str">
        <f aca="false">IF(H1164="","",ROUNDUP(H1164*35%,0))</f>
        <v/>
      </c>
      <c r="K1164" s="113"/>
      <c r="L1164" s="113"/>
    </row>
    <row r="1165" customFormat="false" ht="12.75" hidden="false" customHeight="true" outlineLevel="0" collapsed="false">
      <c r="A1165" s="121" t="str">
        <f aca="false">IF(B1165="","",CONCATENATE(COUNTA($B$4:B1165),"."))</f>
        <v/>
      </c>
      <c r="B1165" s="112"/>
      <c r="C1165" s="112"/>
      <c r="D1165" s="81"/>
      <c r="E1165" s="81"/>
      <c r="F1165" s="81"/>
      <c r="G1165" s="81"/>
      <c r="H1165" s="81"/>
      <c r="I1165" s="161"/>
      <c r="J1165" s="154" t="str">
        <f aca="false">IF(H1165="","",ROUNDUP(H1165*35%,0))</f>
        <v/>
      </c>
      <c r="K1165" s="113"/>
      <c r="L1165" s="113"/>
    </row>
    <row r="1166" customFormat="false" ht="12.75" hidden="false" customHeight="true" outlineLevel="0" collapsed="false">
      <c r="A1166" s="121" t="str">
        <f aca="false">IF(B1166="","",CONCATENATE(COUNTA($B$4:B1166),"."))</f>
        <v/>
      </c>
      <c r="B1166" s="112"/>
      <c r="C1166" s="112"/>
      <c r="D1166" s="81"/>
      <c r="E1166" s="81"/>
      <c r="F1166" s="81"/>
      <c r="G1166" s="81"/>
      <c r="H1166" s="81"/>
      <c r="I1166" s="161"/>
      <c r="J1166" s="154" t="str">
        <f aca="false">IF(H1166="","",ROUNDUP(H1166*35%,0))</f>
        <v/>
      </c>
      <c r="K1166" s="113"/>
      <c r="L1166" s="113"/>
    </row>
    <row r="1167" customFormat="false" ht="12.75" hidden="false" customHeight="true" outlineLevel="0" collapsed="false">
      <c r="A1167" s="121" t="str">
        <f aca="false">IF(B1167="","",CONCATENATE(COUNTA($B$4:B1167),"."))</f>
        <v/>
      </c>
      <c r="B1167" s="112"/>
      <c r="C1167" s="112"/>
      <c r="D1167" s="81"/>
      <c r="E1167" s="81"/>
      <c r="F1167" s="81"/>
      <c r="G1167" s="81"/>
      <c r="H1167" s="81"/>
      <c r="I1167" s="161"/>
      <c r="J1167" s="154" t="str">
        <f aca="false">IF(H1167="","",ROUNDUP(H1167*35%,0))</f>
        <v/>
      </c>
      <c r="K1167" s="113"/>
      <c r="L1167" s="113"/>
    </row>
    <row r="1168" customFormat="false" ht="12.75" hidden="false" customHeight="true" outlineLevel="0" collapsed="false">
      <c r="A1168" s="121" t="str">
        <f aca="false">IF(B1168="","",CONCATENATE(COUNTA($B$4:B1168),"."))</f>
        <v/>
      </c>
      <c r="B1168" s="112"/>
      <c r="C1168" s="112"/>
      <c r="D1168" s="81"/>
      <c r="E1168" s="81"/>
      <c r="F1168" s="81"/>
      <c r="G1168" s="81"/>
      <c r="H1168" s="81"/>
      <c r="I1168" s="161"/>
      <c r="J1168" s="154" t="str">
        <f aca="false">IF(H1168="","",ROUNDUP(H1168*35%,0))</f>
        <v/>
      </c>
      <c r="K1168" s="113"/>
      <c r="L1168" s="113"/>
    </row>
    <row r="1169" customFormat="false" ht="12.75" hidden="false" customHeight="true" outlineLevel="0" collapsed="false">
      <c r="A1169" s="121" t="str">
        <f aca="false">IF(B1169="","",CONCATENATE(COUNTA($B$4:B1169),"."))</f>
        <v/>
      </c>
      <c r="B1169" s="112"/>
      <c r="C1169" s="112"/>
      <c r="D1169" s="81"/>
      <c r="E1169" s="81"/>
      <c r="F1169" s="81"/>
      <c r="G1169" s="81"/>
      <c r="H1169" s="81"/>
      <c r="I1169" s="161"/>
      <c r="J1169" s="154" t="str">
        <f aca="false">IF(H1169="","",ROUNDUP(H1169*35%,0))</f>
        <v/>
      </c>
      <c r="K1169" s="113"/>
      <c r="L1169" s="113"/>
    </row>
    <row r="1170" customFormat="false" ht="12.75" hidden="false" customHeight="true" outlineLevel="0" collapsed="false">
      <c r="A1170" s="121" t="str">
        <f aca="false">IF(B1170="","",CONCATENATE(COUNTA($B$4:B1170),"."))</f>
        <v/>
      </c>
      <c r="B1170" s="112"/>
      <c r="C1170" s="112"/>
      <c r="D1170" s="81"/>
      <c r="E1170" s="81"/>
      <c r="F1170" s="81"/>
      <c r="G1170" s="81"/>
      <c r="H1170" s="81"/>
      <c r="I1170" s="161"/>
      <c r="J1170" s="154" t="str">
        <f aca="false">IF(H1170="","",ROUNDUP(H1170*35%,0))</f>
        <v/>
      </c>
      <c r="K1170" s="113"/>
      <c r="L1170" s="113"/>
    </row>
    <row r="1171" customFormat="false" ht="12.75" hidden="false" customHeight="true" outlineLevel="0" collapsed="false">
      <c r="A1171" s="121" t="str">
        <f aca="false">IF(B1171="","",CONCATENATE(COUNTA($B$4:B1171),"."))</f>
        <v/>
      </c>
      <c r="B1171" s="112"/>
      <c r="C1171" s="112"/>
      <c r="D1171" s="81"/>
      <c r="E1171" s="81"/>
      <c r="F1171" s="81"/>
      <c r="G1171" s="81"/>
      <c r="H1171" s="81"/>
      <c r="I1171" s="161"/>
      <c r="J1171" s="154" t="str">
        <f aca="false">IF(H1171="","",ROUNDUP(H1171*35%,0))</f>
        <v/>
      </c>
      <c r="K1171" s="113"/>
      <c r="L1171" s="113"/>
    </row>
    <row r="1172" customFormat="false" ht="12.75" hidden="false" customHeight="true" outlineLevel="0" collapsed="false">
      <c r="A1172" s="121" t="str">
        <f aca="false">IF(B1172="","",CONCATENATE(COUNTA($B$4:B1172),"."))</f>
        <v/>
      </c>
      <c r="B1172" s="112"/>
      <c r="C1172" s="112"/>
      <c r="D1172" s="81"/>
      <c r="E1172" s="81"/>
      <c r="F1172" s="81"/>
      <c r="G1172" s="81"/>
      <c r="H1172" s="81"/>
      <c r="I1172" s="161"/>
      <c r="J1172" s="154" t="str">
        <f aca="false">IF(H1172="","",ROUNDUP(H1172*35%,0))</f>
        <v/>
      </c>
      <c r="K1172" s="113"/>
      <c r="L1172" s="113"/>
    </row>
    <row r="1173" customFormat="false" ht="12.75" hidden="false" customHeight="true" outlineLevel="0" collapsed="false">
      <c r="A1173" s="121" t="str">
        <f aca="false">IF(B1173="","",CONCATENATE(COUNTA($B$4:B1173),"."))</f>
        <v/>
      </c>
      <c r="B1173" s="112"/>
      <c r="C1173" s="112"/>
      <c r="D1173" s="81"/>
      <c r="E1173" s="81"/>
      <c r="F1173" s="81"/>
      <c r="G1173" s="81"/>
      <c r="H1173" s="81"/>
      <c r="I1173" s="161"/>
      <c r="J1173" s="154" t="str">
        <f aca="false">IF(H1173="","",ROUNDUP(H1173*35%,0))</f>
        <v/>
      </c>
      <c r="K1173" s="113"/>
      <c r="L1173" s="113"/>
    </row>
    <row r="1174" customFormat="false" ht="12.75" hidden="false" customHeight="true" outlineLevel="0" collapsed="false">
      <c r="A1174" s="121" t="str">
        <f aca="false">IF(B1174="","",CONCATENATE(COUNTA($B$4:B1174),"."))</f>
        <v/>
      </c>
      <c r="B1174" s="112"/>
      <c r="C1174" s="112"/>
      <c r="D1174" s="81"/>
      <c r="E1174" s="81"/>
      <c r="F1174" s="81"/>
      <c r="G1174" s="81"/>
      <c r="H1174" s="81"/>
      <c r="I1174" s="161"/>
      <c r="J1174" s="154" t="str">
        <f aca="false">IF(H1174="","",ROUNDUP(H1174*35%,0))</f>
        <v/>
      </c>
      <c r="K1174" s="113"/>
      <c r="L1174" s="113"/>
    </row>
    <row r="1175" customFormat="false" ht="12.75" hidden="false" customHeight="true" outlineLevel="0" collapsed="false">
      <c r="A1175" s="121" t="str">
        <f aca="false">IF(B1175="","",CONCATENATE(COUNTA($B$4:B1175),"."))</f>
        <v/>
      </c>
      <c r="B1175" s="112"/>
      <c r="C1175" s="112"/>
      <c r="D1175" s="81"/>
      <c r="E1175" s="81"/>
      <c r="F1175" s="81"/>
      <c r="G1175" s="81"/>
      <c r="H1175" s="81"/>
      <c r="I1175" s="161"/>
      <c r="J1175" s="154" t="str">
        <f aca="false">IF(H1175="","",ROUNDUP(H1175*35%,0))</f>
        <v/>
      </c>
      <c r="K1175" s="113"/>
      <c r="L1175" s="113"/>
    </row>
    <row r="1176" customFormat="false" ht="12.75" hidden="false" customHeight="true" outlineLevel="0" collapsed="false">
      <c r="A1176" s="121" t="str">
        <f aca="false">IF(B1176="","",CONCATENATE(COUNTA($B$4:B1176),"."))</f>
        <v/>
      </c>
      <c r="B1176" s="112"/>
      <c r="C1176" s="112"/>
      <c r="D1176" s="81"/>
      <c r="E1176" s="81"/>
      <c r="F1176" s="81"/>
      <c r="G1176" s="81"/>
      <c r="H1176" s="81"/>
      <c r="I1176" s="161"/>
      <c r="J1176" s="154" t="str">
        <f aca="false">IF(H1176="","",ROUNDUP(H1176*35%,0))</f>
        <v/>
      </c>
      <c r="K1176" s="113"/>
      <c r="L1176" s="113"/>
    </row>
    <row r="1177" customFormat="false" ht="12.75" hidden="false" customHeight="true" outlineLevel="0" collapsed="false">
      <c r="A1177" s="121" t="str">
        <f aca="false">IF(B1177="","",CONCATENATE(COUNTA($B$4:B1177),"."))</f>
        <v/>
      </c>
      <c r="B1177" s="112"/>
      <c r="C1177" s="112"/>
      <c r="D1177" s="81"/>
      <c r="E1177" s="81"/>
      <c r="F1177" s="81"/>
      <c r="G1177" s="81"/>
      <c r="H1177" s="81"/>
      <c r="I1177" s="161"/>
      <c r="J1177" s="154" t="str">
        <f aca="false">IF(H1177="","",ROUNDUP(H1177*35%,0))</f>
        <v/>
      </c>
      <c r="K1177" s="113"/>
      <c r="L1177" s="113"/>
    </row>
    <row r="1178" customFormat="false" ht="12.75" hidden="false" customHeight="true" outlineLevel="0" collapsed="false">
      <c r="A1178" s="121" t="str">
        <f aca="false">IF(B1178="","",CONCATENATE(COUNTA($B$4:B1178),"."))</f>
        <v/>
      </c>
      <c r="B1178" s="112"/>
      <c r="C1178" s="112"/>
      <c r="D1178" s="81"/>
      <c r="E1178" s="81"/>
      <c r="F1178" s="81"/>
      <c r="G1178" s="81"/>
      <c r="H1178" s="81"/>
      <c r="I1178" s="161"/>
      <c r="J1178" s="154" t="str">
        <f aca="false">IF(H1178="","",ROUNDUP(H1178*35%,0))</f>
        <v/>
      </c>
      <c r="K1178" s="113"/>
      <c r="L1178" s="113"/>
    </row>
    <row r="1179" customFormat="false" ht="12.75" hidden="false" customHeight="true" outlineLevel="0" collapsed="false">
      <c r="A1179" s="121" t="str">
        <f aca="false">IF(B1179="","",CONCATENATE(COUNTA($B$4:B1179),"."))</f>
        <v/>
      </c>
      <c r="B1179" s="112"/>
      <c r="C1179" s="112"/>
      <c r="D1179" s="81"/>
      <c r="E1179" s="81"/>
      <c r="F1179" s="81"/>
      <c r="G1179" s="81"/>
      <c r="H1179" s="81"/>
      <c r="I1179" s="161"/>
      <c r="J1179" s="154" t="str">
        <f aca="false">IF(H1179="","",ROUNDUP(H1179*35%,0))</f>
        <v/>
      </c>
      <c r="K1179" s="113"/>
      <c r="L1179" s="113"/>
    </row>
    <row r="1180" customFormat="false" ht="12.75" hidden="false" customHeight="true" outlineLevel="0" collapsed="false">
      <c r="A1180" s="121" t="str">
        <f aca="false">IF(B1180="","",CONCATENATE(COUNTA($B$4:B1180),"."))</f>
        <v/>
      </c>
      <c r="B1180" s="112"/>
      <c r="C1180" s="112"/>
      <c r="D1180" s="81"/>
      <c r="E1180" s="81"/>
      <c r="F1180" s="81"/>
      <c r="G1180" s="81"/>
      <c r="H1180" s="81"/>
      <c r="I1180" s="161"/>
      <c r="J1180" s="154" t="str">
        <f aca="false">IF(H1180="","",ROUNDUP(H1180*35%,0))</f>
        <v/>
      </c>
      <c r="K1180" s="113"/>
      <c r="L1180" s="113"/>
    </row>
    <row r="1181" customFormat="false" ht="12.75" hidden="false" customHeight="true" outlineLevel="0" collapsed="false">
      <c r="A1181" s="121" t="str">
        <f aca="false">IF(B1181="","",CONCATENATE(COUNTA($B$4:B1181),"."))</f>
        <v/>
      </c>
      <c r="B1181" s="112"/>
      <c r="C1181" s="112"/>
      <c r="D1181" s="81"/>
      <c r="E1181" s="81"/>
      <c r="F1181" s="81"/>
      <c r="G1181" s="81"/>
      <c r="H1181" s="81"/>
      <c r="I1181" s="161"/>
      <c r="J1181" s="154" t="str">
        <f aca="false">IF(H1181="","",ROUNDUP(H1181*35%,0))</f>
        <v/>
      </c>
      <c r="K1181" s="113"/>
      <c r="L1181" s="113"/>
    </row>
    <row r="1182" customFormat="false" ht="12.75" hidden="false" customHeight="true" outlineLevel="0" collapsed="false">
      <c r="A1182" s="121" t="str">
        <f aca="false">IF(B1182="","",CONCATENATE(COUNTA($B$4:B1182),"."))</f>
        <v/>
      </c>
      <c r="B1182" s="112"/>
      <c r="C1182" s="112"/>
      <c r="D1182" s="81"/>
      <c r="E1182" s="81"/>
      <c r="F1182" s="81"/>
      <c r="G1182" s="81"/>
      <c r="H1182" s="81"/>
      <c r="I1182" s="161"/>
      <c r="J1182" s="154" t="str">
        <f aca="false">IF(H1182="","",ROUNDUP(H1182*35%,0))</f>
        <v/>
      </c>
      <c r="K1182" s="113"/>
      <c r="L1182" s="113"/>
    </row>
    <row r="1183" customFormat="false" ht="12.75" hidden="false" customHeight="true" outlineLevel="0" collapsed="false">
      <c r="A1183" s="121" t="str">
        <f aca="false">IF(B1183="","",CONCATENATE(COUNTA($B$4:B1183),"."))</f>
        <v/>
      </c>
      <c r="B1183" s="112"/>
      <c r="C1183" s="112"/>
      <c r="D1183" s="81"/>
      <c r="E1183" s="81"/>
      <c r="F1183" s="81"/>
      <c r="G1183" s="81"/>
      <c r="H1183" s="81"/>
      <c r="I1183" s="161"/>
      <c r="J1183" s="154" t="str">
        <f aca="false">IF(H1183="","",ROUNDUP(H1183*35%,0))</f>
        <v/>
      </c>
      <c r="K1183" s="113"/>
      <c r="L1183" s="113"/>
    </row>
    <row r="1184" customFormat="false" ht="12.75" hidden="false" customHeight="true" outlineLevel="0" collapsed="false">
      <c r="A1184" s="121" t="str">
        <f aca="false">IF(B1184="","",CONCATENATE(COUNTA($B$4:B1184),"."))</f>
        <v/>
      </c>
      <c r="B1184" s="112"/>
      <c r="C1184" s="112"/>
      <c r="D1184" s="81"/>
      <c r="E1184" s="81"/>
      <c r="F1184" s="81"/>
      <c r="G1184" s="81"/>
      <c r="H1184" s="81"/>
      <c r="I1184" s="161"/>
      <c r="J1184" s="154" t="str">
        <f aca="false">IF(H1184="","",ROUNDUP(H1184*35%,0))</f>
        <v/>
      </c>
      <c r="K1184" s="113"/>
      <c r="L1184" s="113"/>
    </row>
    <row r="1185" customFormat="false" ht="12.75" hidden="false" customHeight="true" outlineLevel="0" collapsed="false">
      <c r="A1185" s="121" t="str">
        <f aca="false">IF(B1185="","",CONCATENATE(COUNTA($B$4:B1185),"."))</f>
        <v/>
      </c>
      <c r="B1185" s="112"/>
      <c r="C1185" s="112"/>
      <c r="D1185" s="81"/>
      <c r="E1185" s="81"/>
      <c r="F1185" s="81"/>
      <c r="G1185" s="81"/>
      <c r="H1185" s="81"/>
      <c r="I1185" s="161"/>
      <c r="J1185" s="154" t="str">
        <f aca="false">IF(H1185="","",ROUNDUP(H1185*35%,0))</f>
        <v/>
      </c>
      <c r="K1185" s="113"/>
      <c r="L1185" s="113"/>
    </row>
    <row r="1186" customFormat="false" ht="12.75" hidden="false" customHeight="true" outlineLevel="0" collapsed="false">
      <c r="A1186" s="121" t="str">
        <f aca="false">IF(B1186="","",CONCATENATE(COUNTA($B$4:B1186),"."))</f>
        <v/>
      </c>
      <c r="B1186" s="112"/>
      <c r="C1186" s="112"/>
      <c r="D1186" s="81"/>
      <c r="E1186" s="81"/>
      <c r="F1186" s="81"/>
      <c r="G1186" s="81"/>
      <c r="H1186" s="81"/>
      <c r="I1186" s="161"/>
      <c r="J1186" s="154" t="str">
        <f aca="false">IF(H1186="","",ROUNDUP(H1186*35%,0))</f>
        <v/>
      </c>
      <c r="K1186" s="113"/>
      <c r="L1186" s="113"/>
    </row>
    <row r="1187" customFormat="false" ht="12.75" hidden="false" customHeight="true" outlineLevel="0" collapsed="false">
      <c r="A1187" s="121" t="str">
        <f aca="false">IF(B1187="","",CONCATENATE(COUNTA($B$4:B1187),"."))</f>
        <v/>
      </c>
      <c r="B1187" s="112"/>
      <c r="C1187" s="112"/>
      <c r="D1187" s="81"/>
      <c r="E1187" s="81"/>
      <c r="F1187" s="81"/>
      <c r="G1187" s="81"/>
      <c r="H1187" s="81"/>
      <c r="I1187" s="161"/>
      <c r="J1187" s="154" t="str">
        <f aca="false">IF(H1187="","",ROUNDUP(H1187*35%,0))</f>
        <v/>
      </c>
      <c r="K1187" s="113"/>
      <c r="L1187" s="113"/>
    </row>
    <row r="1188" customFormat="false" ht="12.75" hidden="false" customHeight="true" outlineLevel="0" collapsed="false">
      <c r="A1188" s="121" t="str">
        <f aca="false">IF(B1188="","",CONCATENATE(COUNTA($B$4:B1188),"."))</f>
        <v/>
      </c>
      <c r="B1188" s="112"/>
      <c r="C1188" s="112"/>
      <c r="D1188" s="81"/>
      <c r="E1188" s="81"/>
      <c r="F1188" s="81"/>
      <c r="G1188" s="81"/>
      <c r="H1188" s="81"/>
      <c r="I1188" s="161"/>
      <c r="J1188" s="154" t="str">
        <f aca="false">IF(H1188="","",ROUNDUP(H1188*35%,0))</f>
        <v/>
      </c>
      <c r="K1188" s="113"/>
      <c r="L1188" s="113"/>
    </row>
    <row r="1189" customFormat="false" ht="12.75" hidden="false" customHeight="true" outlineLevel="0" collapsed="false">
      <c r="A1189" s="121" t="str">
        <f aca="false">IF(B1189="","",CONCATENATE(COUNTA($B$4:B1189),"."))</f>
        <v/>
      </c>
      <c r="B1189" s="112"/>
      <c r="C1189" s="112"/>
      <c r="D1189" s="81"/>
      <c r="E1189" s="81"/>
      <c r="F1189" s="81"/>
      <c r="G1189" s="81"/>
      <c r="H1189" s="81"/>
      <c r="I1189" s="161"/>
      <c r="J1189" s="154" t="str">
        <f aca="false">IF(H1189="","",ROUNDUP(H1189*35%,0))</f>
        <v/>
      </c>
      <c r="K1189" s="113"/>
      <c r="L1189" s="113"/>
    </row>
    <row r="1190" customFormat="false" ht="12.75" hidden="false" customHeight="true" outlineLevel="0" collapsed="false">
      <c r="A1190" s="121" t="str">
        <f aca="false">IF(B1190="","",CONCATENATE(COUNTA($B$4:B1190),"."))</f>
        <v/>
      </c>
      <c r="B1190" s="112"/>
      <c r="C1190" s="112"/>
      <c r="D1190" s="81"/>
      <c r="E1190" s="81"/>
      <c r="F1190" s="81"/>
      <c r="G1190" s="81"/>
      <c r="H1190" s="81"/>
      <c r="I1190" s="161"/>
      <c r="J1190" s="154" t="str">
        <f aca="false">IF(H1190="","",ROUNDUP(H1190*35%,0))</f>
        <v/>
      </c>
      <c r="K1190" s="113"/>
      <c r="L1190" s="113"/>
    </row>
    <row r="1191" customFormat="false" ht="12.75" hidden="false" customHeight="true" outlineLevel="0" collapsed="false">
      <c r="A1191" s="121" t="str">
        <f aca="false">IF(B1191="","",CONCATENATE(COUNTA($B$4:B1191),"."))</f>
        <v/>
      </c>
      <c r="B1191" s="112"/>
      <c r="C1191" s="112"/>
      <c r="D1191" s="81"/>
      <c r="E1191" s="81"/>
      <c r="F1191" s="81"/>
      <c r="G1191" s="81"/>
      <c r="H1191" s="81"/>
      <c r="I1191" s="161"/>
      <c r="J1191" s="154" t="str">
        <f aca="false">IF(H1191="","",ROUNDUP(H1191*35%,0))</f>
        <v/>
      </c>
      <c r="K1191" s="113"/>
      <c r="L1191" s="113"/>
    </row>
    <row r="1192" customFormat="false" ht="12.75" hidden="false" customHeight="true" outlineLevel="0" collapsed="false">
      <c r="A1192" s="121" t="str">
        <f aca="false">IF(B1192="","",CONCATENATE(COUNTA($B$4:B1192),"."))</f>
        <v/>
      </c>
      <c r="B1192" s="112"/>
      <c r="C1192" s="112"/>
      <c r="D1192" s="81"/>
      <c r="E1192" s="81"/>
      <c r="F1192" s="81"/>
      <c r="G1192" s="81"/>
      <c r="H1192" s="81"/>
      <c r="I1192" s="161"/>
      <c r="J1192" s="154" t="str">
        <f aca="false">IF(H1192="","",ROUNDUP(H1192*35%,0))</f>
        <v/>
      </c>
      <c r="K1192" s="113"/>
      <c r="L1192" s="113"/>
    </row>
    <row r="1193" customFormat="false" ht="12.75" hidden="false" customHeight="true" outlineLevel="0" collapsed="false">
      <c r="A1193" s="121" t="str">
        <f aca="false">IF(B1193="","",CONCATENATE(COUNTA($B$4:B1193),"."))</f>
        <v/>
      </c>
      <c r="B1193" s="112"/>
      <c r="C1193" s="112"/>
      <c r="D1193" s="81"/>
      <c r="E1193" s="81"/>
      <c r="F1193" s="81"/>
      <c r="G1193" s="81"/>
      <c r="H1193" s="81"/>
      <c r="I1193" s="161"/>
      <c r="J1193" s="154" t="str">
        <f aca="false">IF(H1193="","",ROUNDUP(H1193*35%,0))</f>
        <v/>
      </c>
      <c r="K1193" s="113"/>
      <c r="L1193" s="113"/>
    </row>
    <row r="1194" customFormat="false" ht="12.75" hidden="false" customHeight="true" outlineLevel="0" collapsed="false">
      <c r="A1194" s="121" t="str">
        <f aca="false">IF(B1194="","",CONCATENATE(COUNTA($B$4:B1194),"."))</f>
        <v/>
      </c>
      <c r="B1194" s="112"/>
      <c r="C1194" s="112"/>
      <c r="D1194" s="81"/>
      <c r="E1194" s="81"/>
      <c r="F1194" s="81"/>
      <c r="G1194" s="81"/>
      <c r="H1194" s="81"/>
      <c r="I1194" s="161"/>
      <c r="J1194" s="154" t="str">
        <f aca="false">IF(H1194="","",ROUNDUP(H1194*35%,0))</f>
        <v/>
      </c>
      <c r="K1194" s="113"/>
      <c r="L1194" s="113"/>
    </row>
    <row r="1195" customFormat="false" ht="12.75" hidden="false" customHeight="true" outlineLevel="0" collapsed="false">
      <c r="A1195" s="121" t="str">
        <f aca="false">IF(B1195="","",CONCATENATE(COUNTA($B$4:B1195),"."))</f>
        <v/>
      </c>
      <c r="B1195" s="112"/>
      <c r="C1195" s="112"/>
      <c r="D1195" s="81"/>
      <c r="E1195" s="81"/>
      <c r="F1195" s="81"/>
      <c r="G1195" s="81"/>
      <c r="H1195" s="81"/>
      <c r="I1195" s="161"/>
      <c r="J1195" s="154" t="str">
        <f aca="false">IF(H1195="","",ROUNDUP(H1195*35%,0))</f>
        <v/>
      </c>
      <c r="K1195" s="113"/>
      <c r="L1195" s="113"/>
    </row>
    <row r="1196" customFormat="false" ht="12.75" hidden="false" customHeight="true" outlineLevel="0" collapsed="false">
      <c r="A1196" s="121" t="str">
        <f aca="false">IF(B1196="","",CONCATENATE(COUNTA($B$4:B1196),"."))</f>
        <v/>
      </c>
      <c r="B1196" s="112"/>
      <c r="C1196" s="112"/>
      <c r="D1196" s="81"/>
      <c r="E1196" s="81"/>
      <c r="F1196" s="81"/>
      <c r="G1196" s="81"/>
      <c r="H1196" s="81"/>
      <c r="I1196" s="161"/>
      <c r="J1196" s="154" t="str">
        <f aca="false">IF(H1196="","",ROUNDUP(H1196*35%,0))</f>
        <v/>
      </c>
      <c r="K1196" s="113"/>
      <c r="L1196" s="113"/>
    </row>
    <row r="1197" customFormat="false" ht="12.75" hidden="false" customHeight="true" outlineLevel="0" collapsed="false">
      <c r="A1197" s="121" t="str">
        <f aca="false">IF(B1197="","",CONCATENATE(COUNTA($B$4:B1197),"."))</f>
        <v/>
      </c>
      <c r="B1197" s="112"/>
      <c r="C1197" s="112"/>
      <c r="D1197" s="81"/>
      <c r="E1197" s="81"/>
      <c r="F1197" s="81"/>
      <c r="G1197" s="81"/>
      <c r="H1197" s="81"/>
      <c r="I1197" s="161"/>
      <c r="J1197" s="154" t="str">
        <f aca="false">IF(H1197="","",ROUNDUP(H1197*35%,0))</f>
        <v/>
      </c>
      <c r="K1197" s="113"/>
      <c r="L1197" s="113"/>
    </row>
    <row r="1198" customFormat="false" ht="12.75" hidden="false" customHeight="true" outlineLevel="0" collapsed="false">
      <c r="A1198" s="121" t="str">
        <f aca="false">IF(B1198="","",CONCATENATE(COUNTA($B$4:B1198),"."))</f>
        <v/>
      </c>
      <c r="B1198" s="112"/>
      <c r="C1198" s="112"/>
      <c r="D1198" s="81"/>
      <c r="E1198" s="81"/>
      <c r="F1198" s="81"/>
      <c r="G1198" s="81"/>
      <c r="H1198" s="81"/>
      <c r="I1198" s="161"/>
      <c r="J1198" s="154" t="str">
        <f aca="false">IF(H1198="","",ROUNDUP(H1198*35%,0))</f>
        <v/>
      </c>
      <c r="K1198" s="113"/>
      <c r="L1198" s="113"/>
    </row>
    <row r="1199" customFormat="false" ht="12.75" hidden="false" customHeight="true" outlineLevel="0" collapsed="false">
      <c r="A1199" s="121" t="str">
        <f aca="false">IF(B1199="","",CONCATENATE(COUNTA($B$4:B1199),"."))</f>
        <v/>
      </c>
      <c r="B1199" s="112"/>
      <c r="C1199" s="112"/>
      <c r="D1199" s="81"/>
      <c r="E1199" s="81"/>
      <c r="F1199" s="81"/>
      <c r="G1199" s="81"/>
      <c r="H1199" s="81"/>
      <c r="I1199" s="161"/>
      <c r="J1199" s="154" t="str">
        <f aca="false">IF(H1199="","",ROUNDUP(H1199*35%,0))</f>
        <v/>
      </c>
      <c r="K1199" s="113"/>
      <c r="L1199" s="113"/>
    </row>
    <row r="1200" customFormat="false" ht="12.75" hidden="false" customHeight="true" outlineLevel="0" collapsed="false">
      <c r="A1200" s="121" t="str">
        <f aca="false">IF(B1200="","",CONCATENATE(COUNTA($B$4:B1200),"."))</f>
        <v/>
      </c>
      <c r="B1200" s="112"/>
      <c r="C1200" s="112"/>
      <c r="D1200" s="81"/>
      <c r="E1200" s="81"/>
      <c r="F1200" s="81"/>
      <c r="G1200" s="81"/>
      <c r="H1200" s="81"/>
      <c r="I1200" s="161"/>
      <c r="J1200" s="154" t="str">
        <f aca="false">IF(H1200="","",ROUNDUP(H1200*35%,0))</f>
        <v/>
      </c>
      <c r="K1200" s="113"/>
      <c r="L1200" s="113"/>
    </row>
    <row r="1201" customFormat="false" ht="12.75" hidden="false" customHeight="true" outlineLevel="0" collapsed="false">
      <c r="A1201" s="121" t="str">
        <f aca="false">IF(B1201="","",CONCATENATE(COUNTA($B$4:B1201),"."))</f>
        <v/>
      </c>
      <c r="B1201" s="112"/>
      <c r="C1201" s="112"/>
      <c r="D1201" s="81"/>
      <c r="E1201" s="81"/>
      <c r="F1201" s="81"/>
      <c r="G1201" s="81"/>
      <c r="H1201" s="81"/>
      <c r="I1201" s="161"/>
      <c r="J1201" s="154" t="str">
        <f aca="false">IF(H1201="","",ROUNDUP(H1201*35%,0))</f>
        <v/>
      </c>
      <c r="K1201" s="113"/>
      <c r="L1201" s="113"/>
    </row>
    <row r="1202" customFormat="false" ht="12.75" hidden="false" customHeight="true" outlineLevel="0" collapsed="false">
      <c r="A1202" s="121" t="str">
        <f aca="false">IF(B1202="","",CONCATENATE(COUNTA($B$4:B1202),"."))</f>
        <v/>
      </c>
      <c r="B1202" s="112"/>
      <c r="C1202" s="112"/>
      <c r="D1202" s="81"/>
      <c r="E1202" s="81"/>
      <c r="F1202" s="81"/>
      <c r="G1202" s="81"/>
      <c r="H1202" s="81"/>
      <c r="I1202" s="161"/>
      <c r="J1202" s="154" t="str">
        <f aca="false">IF(H1202="","",ROUNDUP(H1202*35%,0))</f>
        <v/>
      </c>
      <c r="K1202" s="113"/>
      <c r="L1202" s="113"/>
    </row>
    <row r="1203" customFormat="false" ht="12.75" hidden="false" customHeight="true" outlineLevel="0" collapsed="false">
      <c r="A1203" s="121" t="str">
        <f aca="false">IF(B1203="","",CONCATENATE(COUNTA($B$4:B1203),"."))</f>
        <v/>
      </c>
      <c r="B1203" s="112"/>
      <c r="C1203" s="112"/>
      <c r="D1203" s="81"/>
      <c r="E1203" s="81"/>
      <c r="F1203" s="81"/>
      <c r="G1203" s="81"/>
      <c r="H1203" s="81"/>
      <c r="I1203" s="161"/>
      <c r="J1203" s="154" t="str">
        <f aca="false">IF(H1203="","",ROUNDUP(H1203*35%,0))</f>
        <v/>
      </c>
      <c r="K1203" s="113"/>
      <c r="L1203" s="113"/>
    </row>
    <row r="1204" customFormat="false" ht="12.75" hidden="false" customHeight="true" outlineLevel="0" collapsed="false">
      <c r="A1204" s="121" t="str">
        <f aca="false">IF(B1204="","",CONCATENATE(COUNTA($B$4:B1204),"."))</f>
        <v/>
      </c>
      <c r="B1204" s="112"/>
      <c r="C1204" s="112"/>
      <c r="D1204" s="81"/>
      <c r="E1204" s="81"/>
      <c r="F1204" s="81"/>
      <c r="G1204" s="81"/>
      <c r="H1204" s="81"/>
      <c r="I1204" s="161"/>
      <c r="J1204" s="154" t="str">
        <f aca="false">IF(H1204="","",ROUNDUP(H1204*35%,0))</f>
        <v/>
      </c>
      <c r="K1204" s="113"/>
      <c r="L1204" s="113"/>
    </row>
    <row r="1205" customFormat="false" ht="12.75" hidden="false" customHeight="true" outlineLevel="0" collapsed="false">
      <c r="A1205" s="121" t="str">
        <f aca="false">IF(B1205="","",CONCATENATE(COUNTA($B$4:B1205),"."))</f>
        <v/>
      </c>
      <c r="B1205" s="112"/>
      <c r="C1205" s="112"/>
      <c r="D1205" s="81"/>
      <c r="E1205" s="81"/>
      <c r="F1205" s="81"/>
      <c r="G1205" s="81"/>
      <c r="H1205" s="81"/>
      <c r="I1205" s="161"/>
      <c r="J1205" s="154" t="str">
        <f aca="false">IF(H1205="","",ROUNDUP(H1205*35%,0))</f>
        <v/>
      </c>
      <c r="K1205" s="113"/>
      <c r="L1205" s="113"/>
    </row>
    <row r="1206" customFormat="false" ht="12.75" hidden="false" customHeight="true" outlineLevel="0" collapsed="false">
      <c r="A1206" s="121" t="str">
        <f aca="false">IF(B1206="","",CONCATENATE(COUNTA($B$4:B1206),"."))</f>
        <v/>
      </c>
      <c r="B1206" s="112"/>
      <c r="C1206" s="112"/>
      <c r="D1206" s="81"/>
      <c r="E1206" s="81"/>
      <c r="F1206" s="81"/>
      <c r="G1206" s="81"/>
      <c r="H1206" s="81"/>
      <c r="I1206" s="161"/>
      <c r="J1206" s="154" t="str">
        <f aca="false">IF(H1206="","",ROUNDUP(H1206*35%,0))</f>
        <v/>
      </c>
      <c r="K1206" s="113"/>
      <c r="L1206" s="113"/>
    </row>
    <row r="1207" customFormat="false" ht="12.75" hidden="false" customHeight="true" outlineLevel="0" collapsed="false">
      <c r="A1207" s="121" t="str">
        <f aca="false">IF(B1207="","",CONCATENATE(COUNTA($B$4:B1207),"."))</f>
        <v/>
      </c>
      <c r="B1207" s="112"/>
      <c r="C1207" s="112"/>
      <c r="D1207" s="81"/>
      <c r="E1207" s="81"/>
      <c r="F1207" s="81"/>
      <c r="G1207" s="81"/>
      <c r="H1207" s="81"/>
      <c r="I1207" s="161"/>
      <c r="J1207" s="154" t="str">
        <f aca="false">IF(H1207="","",ROUNDUP(H1207*35%,0))</f>
        <v/>
      </c>
      <c r="K1207" s="113"/>
      <c r="L1207" s="113"/>
    </row>
    <row r="1208" customFormat="false" ht="12.75" hidden="false" customHeight="true" outlineLevel="0" collapsed="false">
      <c r="A1208" s="121" t="str">
        <f aca="false">IF(B1208="","",CONCATENATE(COUNTA($B$4:B1208),"."))</f>
        <v/>
      </c>
      <c r="B1208" s="112"/>
      <c r="C1208" s="112"/>
      <c r="D1208" s="81"/>
      <c r="E1208" s="81"/>
      <c r="F1208" s="81"/>
      <c r="G1208" s="81"/>
      <c r="H1208" s="81"/>
      <c r="I1208" s="161"/>
      <c r="J1208" s="154" t="str">
        <f aca="false">IF(H1208="","",ROUNDUP(H1208*35%,0))</f>
        <v/>
      </c>
      <c r="K1208" s="113"/>
      <c r="L1208" s="113"/>
    </row>
    <row r="1209" customFormat="false" ht="12.75" hidden="false" customHeight="true" outlineLevel="0" collapsed="false">
      <c r="A1209" s="121" t="str">
        <f aca="false">IF(B1209="","",CONCATENATE(COUNTA($B$4:B1209),"."))</f>
        <v/>
      </c>
      <c r="B1209" s="112"/>
      <c r="C1209" s="112"/>
      <c r="D1209" s="81"/>
      <c r="E1209" s="81"/>
      <c r="F1209" s="81"/>
      <c r="G1209" s="81"/>
      <c r="H1209" s="81"/>
      <c r="I1209" s="161"/>
      <c r="J1209" s="154" t="str">
        <f aca="false">IF(H1209="","",ROUNDUP(H1209*35%,0))</f>
        <v/>
      </c>
      <c r="K1209" s="113"/>
      <c r="L1209" s="113"/>
    </row>
    <row r="1210" customFormat="false" ht="12.75" hidden="false" customHeight="true" outlineLevel="0" collapsed="false">
      <c r="A1210" s="121" t="str">
        <f aca="false">IF(B1210="","",CONCATENATE(COUNTA($B$4:B1210),"."))</f>
        <v/>
      </c>
      <c r="B1210" s="112"/>
      <c r="C1210" s="112"/>
      <c r="D1210" s="81"/>
      <c r="E1210" s="81"/>
      <c r="F1210" s="81"/>
      <c r="G1210" s="81"/>
      <c r="H1210" s="81"/>
      <c r="I1210" s="161"/>
      <c r="J1210" s="154" t="str">
        <f aca="false">IF(H1210="","",ROUNDUP(H1210*35%,0))</f>
        <v/>
      </c>
      <c r="K1210" s="113"/>
      <c r="L1210" s="113"/>
    </row>
    <row r="1211" customFormat="false" ht="12.75" hidden="false" customHeight="true" outlineLevel="0" collapsed="false">
      <c r="A1211" s="121" t="str">
        <f aca="false">IF(B1211="","",CONCATENATE(COUNTA($B$4:B1211),"."))</f>
        <v/>
      </c>
      <c r="B1211" s="112"/>
      <c r="C1211" s="112"/>
      <c r="D1211" s="81"/>
      <c r="E1211" s="81"/>
      <c r="F1211" s="81"/>
      <c r="G1211" s="81"/>
      <c r="H1211" s="81"/>
      <c r="I1211" s="161"/>
      <c r="J1211" s="154" t="str">
        <f aca="false">IF(H1211="","",ROUNDUP(H1211*35%,0))</f>
        <v/>
      </c>
      <c r="K1211" s="113"/>
      <c r="L1211" s="113"/>
    </row>
    <row r="1212" customFormat="false" ht="12.75" hidden="false" customHeight="true" outlineLevel="0" collapsed="false">
      <c r="A1212" s="121" t="str">
        <f aca="false">IF(B1212="","",CONCATENATE(COUNTA($B$4:B1212),"."))</f>
        <v/>
      </c>
      <c r="B1212" s="112"/>
      <c r="C1212" s="112"/>
      <c r="D1212" s="81"/>
      <c r="E1212" s="81"/>
      <c r="F1212" s="81"/>
      <c r="G1212" s="81"/>
      <c r="H1212" s="81"/>
      <c r="I1212" s="161"/>
      <c r="J1212" s="154" t="str">
        <f aca="false">IF(H1212="","",ROUNDUP(H1212*35%,0))</f>
        <v/>
      </c>
      <c r="K1212" s="113"/>
      <c r="L1212" s="113"/>
    </row>
    <row r="1213" customFormat="false" ht="12.75" hidden="false" customHeight="true" outlineLevel="0" collapsed="false">
      <c r="A1213" s="121" t="str">
        <f aca="false">IF(B1213="","",CONCATENATE(COUNTA($B$4:B1213),"."))</f>
        <v/>
      </c>
      <c r="B1213" s="112"/>
      <c r="C1213" s="112"/>
      <c r="D1213" s="81"/>
      <c r="E1213" s="81"/>
      <c r="F1213" s="81"/>
      <c r="G1213" s="81"/>
      <c r="H1213" s="81"/>
      <c r="I1213" s="161"/>
      <c r="J1213" s="154" t="str">
        <f aca="false">IF(H1213="","",ROUNDUP(H1213*35%,0))</f>
        <v/>
      </c>
      <c r="K1213" s="113"/>
      <c r="L1213" s="113"/>
    </row>
    <row r="1214" customFormat="false" ht="12.75" hidden="false" customHeight="true" outlineLevel="0" collapsed="false">
      <c r="A1214" s="121" t="str">
        <f aca="false">IF(B1214="","",CONCATENATE(COUNTA($B$4:B1214),"."))</f>
        <v/>
      </c>
      <c r="B1214" s="112"/>
      <c r="C1214" s="112"/>
      <c r="D1214" s="81"/>
      <c r="E1214" s="81"/>
      <c r="F1214" s="81"/>
      <c r="G1214" s="81"/>
      <c r="H1214" s="81"/>
      <c r="I1214" s="161"/>
      <c r="J1214" s="154" t="str">
        <f aca="false">IF(H1214="","",ROUNDUP(H1214*35%,0))</f>
        <v/>
      </c>
      <c r="K1214" s="113"/>
      <c r="L1214" s="113"/>
    </row>
    <row r="1215" customFormat="false" ht="12.75" hidden="false" customHeight="true" outlineLevel="0" collapsed="false">
      <c r="A1215" s="121" t="str">
        <f aca="false">IF(B1215="","",CONCATENATE(COUNTA($B$4:B1215),"."))</f>
        <v/>
      </c>
      <c r="B1215" s="112"/>
      <c r="C1215" s="112"/>
      <c r="D1215" s="81"/>
      <c r="E1215" s="81"/>
      <c r="F1215" s="81"/>
      <c r="G1215" s="81"/>
      <c r="H1215" s="81"/>
      <c r="I1215" s="161"/>
      <c r="J1215" s="154" t="str">
        <f aca="false">IF(H1215="","",ROUNDUP(H1215*35%,0))</f>
        <v/>
      </c>
      <c r="K1215" s="113"/>
      <c r="L1215" s="113"/>
    </row>
    <row r="1216" customFormat="false" ht="12.75" hidden="false" customHeight="true" outlineLevel="0" collapsed="false">
      <c r="A1216" s="121" t="str">
        <f aca="false">IF(B1216="","",CONCATENATE(COUNTA($B$4:B1216),"."))</f>
        <v/>
      </c>
      <c r="B1216" s="112"/>
      <c r="C1216" s="112"/>
      <c r="D1216" s="81"/>
      <c r="E1216" s="81"/>
      <c r="F1216" s="81"/>
      <c r="G1216" s="81"/>
      <c r="H1216" s="81"/>
      <c r="I1216" s="161"/>
      <c r="J1216" s="154" t="str">
        <f aca="false">IF(H1216="","",ROUNDUP(H1216*35%,0))</f>
        <v/>
      </c>
      <c r="K1216" s="113"/>
      <c r="L1216" s="113"/>
    </row>
    <row r="1217" customFormat="false" ht="12.75" hidden="false" customHeight="true" outlineLevel="0" collapsed="false">
      <c r="A1217" s="121" t="str">
        <f aca="false">IF(B1217="","",CONCATENATE(COUNTA($B$4:B1217),"."))</f>
        <v/>
      </c>
      <c r="B1217" s="112"/>
      <c r="C1217" s="112"/>
      <c r="D1217" s="81"/>
      <c r="E1217" s="81"/>
      <c r="F1217" s="81"/>
      <c r="G1217" s="81"/>
      <c r="H1217" s="81"/>
      <c r="I1217" s="161"/>
      <c r="J1217" s="154" t="str">
        <f aca="false">IF(H1217="","",ROUNDUP(H1217*35%,0))</f>
        <v/>
      </c>
      <c r="K1217" s="113"/>
      <c r="L1217" s="113"/>
    </row>
    <row r="1218" customFormat="false" ht="12.75" hidden="false" customHeight="true" outlineLevel="0" collapsed="false">
      <c r="A1218" s="121" t="str">
        <f aca="false">IF(B1218="","",CONCATENATE(COUNTA($B$4:B1218),"."))</f>
        <v/>
      </c>
      <c r="B1218" s="112"/>
      <c r="C1218" s="112"/>
      <c r="D1218" s="81"/>
      <c r="E1218" s="81"/>
      <c r="F1218" s="81"/>
      <c r="G1218" s="81"/>
      <c r="H1218" s="81"/>
      <c r="I1218" s="161"/>
      <c r="J1218" s="154" t="str">
        <f aca="false">IF(H1218="","",ROUNDUP(H1218*35%,0))</f>
        <v/>
      </c>
      <c r="K1218" s="113"/>
      <c r="L1218" s="113"/>
    </row>
    <row r="1219" customFormat="false" ht="12.75" hidden="false" customHeight="true" outlineLevel="0" collapsed="false">
      <c r="A1219" s="121" t="str">
        <f aca="false">IF(B1219="","",CONCATENATE(COUNTA($B$4:B1219),"."))</f>
        <v/>
      </c>
      <c r="B1219" s="112"/>
      <c r="C1219" s="112"/>
      <c r="D1219" s="81"/>
      <c r="E1219" s="81"/>
      <c r="F1219" s="81"/>
      <c r="G1219" s="81"/>
      <c r="H1219" s="81"/>
      <c r="I1219" s="161"/>
      <c r="J1219" s="154" t="str">
        <f aca="false">IF(H1219="","",ROUNDUP(H1219*35%,0))</f>
        <v/>
      </c>
      <c r="K1219" s="113"/>
      <c r="L1219" s="113"/>
    </row>
    <row r="1220" customFormat="false" ht="12.75" hidden="false" customHeight="true" outlineLevel="0" collapsed="false">
      <c r="A1220" s="121" t="str">
        <f aca="false">IF(B1220="","",CONCATENATE(COUNTA($B$4:B1220),"."))</f>
        <v/>
      </c>
      <c r="B1220" s="112"/>
      <c r="C1220" s="112"/>
      <c r="D1220" s="81"/>
      <c r="E1220" s="81"/>
      <c r="F1220" s="81"/>
      <c r="G1220" s="81"/>
      <c r="H1220" s="81"/>
      <c r="I1220" s="161"/>
      <c r="J1220" s="154" t="str">
        <f aca="false">IF(H1220="","",ROUNDUP(H1220*35%,0))</f>
        <v/>
      </c>
      <c r="K1220" s="113"/>
      <c r="L1220" s="113"/>
    </row>
    <row r="1221" customFormat="false" ht="12.75" hidden="false" customHeight="true" outlineLevel="0" collapsed="false">
      <c r="A1221" s="121" t="str">
        <f aca="false">IF(B1221="","",CONCATENATE(COUNTA($B$4:B1221),"."))</f>
        <v/>
      </c>
      <c r="B1221" s="112"/>
      <c r="C1221" s="112"/>
      <c r="D1221" s="81"/>
      <c r="E1221" s="81"/>
      <c r="F1221" s="81"/>
      <c r="G1221" s="81"/>
      <c r="H1221" s="81"/>
      <c r="I1221" s="161"/>
      <c r="J1221" s="154" t="str">
        <f aca="false">IF(H1221="","",ROUNDUP(H1221*35%,0))</f>
        <v/>
      </c>
      <c r="K1221" s="113"/>
      <c r="L1221" s="113"/>
    </row>
    <row r="1222" customFormat="false" ht="12.75" hidden="false" customHeight="true" outlineLevel="0" collapsed="false">
      <c r="A1222" s="121" t="str">
        <f aca="false">IF(B1222="","",CONCATENATE(COUNTA($B$4:B1222),"."))</f>
        <v/>
      </c>
      <c r="B1222" s="112"/>
      <c r="C1222" s="112"/>
      <c r="D1222" s="81"/>
      <c r="E1222" s="81"/>
      <c r="F1222" s="81"/>
      <c r="G1222" s="81"/>
      <c r="H1222" s="81"/>
      <c r="I1222" s="161"/>
      <c r="J1222" s="154" t="str">
        <f aca="false">IF(H1222="","",ROUNDUP(H1222*35%,0))</f>
        <v/>
      </c>
      <c r="K1222" s="113"/>
      <c r="L1222" s="113"/>
    </row>
    <row r="1223" customFormat="false" ht="12.75" hidden="false" customHeight="true" outlineLevel="0" collapsed="false">
      <c r="A1223" s="121" t="str">
        <f aca="false">IF(B1223="","",CONCATENATE(COUNTA($B$4:B1223),"."))</f>
        <v/>
      </c>
      <c r="B1223" s="112"/>
      <c r="C1223" s="112"/>
      <c r="D1223" s="81"/>
      <c r="E1223" s="81"/>
      <c r="F1223" s="81"/>
      <c r="G1223" s="81"/>
      <c r="H1223" s="81"/>
      <c r="I1223" s="161"/>
      <c r="J1223" s="154" t="str">
        <f aca="false">IF(H1223="","",ROUNDUP(H1223*35%,0))</f>
        <v/>
      </c>
      <c r="K1223" s="113"/>
      <c r="L1223" s="113"/>
    </row>
    <row r="1224" customFormat="false" ht="12.75" hidden="false" customHeight="true" outlineLevel="0" collapsed="false">
      <c r="A1224" s="121" t="str">
        <f aca="false">IF(B1224="","",CONCATENATE(COUNTA($B$4:B1224),"."))</f>
        <v/>
      </c>
      <c r="B1224" s="112"/>
      <c r="C1224" s="112"/>
      <c r="D1224" s="81"/>
      <c r="E1224" s="81"/>
      <c r="F1224" s="81"/>
      <c r="G1224" s="81"/>
      <c r="H1224" s="81"/>
      <c r="I1224" s="161"/>
      <c r="J1224" s="154" t="str">
        <f aca="false">IF(H1224="","",ROUNDUP(H1224*35%,0))</f>
        <v/>
      </c>
      <c r="K1224" s="113"/>
      <c r="L1224" s="113"/>
    </row>
    <row r="1225" customFormat="false" ht="12.75" hidden="false" customHeight="true" outlineLevel="0" collapsed="false">
      <c r="A1225" s="121" t="str">
        <f aca="false">IF(B1225="","",CONCATENATE(COUNTA($B$4:B1225),"."))</f>
        <v/>
      </c>
      <c r="B1225" s="112"/>
      <c r="C1225" s="112"/>
      <c r="D1225" s="81"/>
      <c r="E1225" s="81"/>
      <c r="F1225" s="81"/>
      <c r="G1225" s="81"/>
      <c r="H1225" s="81"/>
      <c r="I1225" s="161"/>
      <c r="J1225" s="154" t="str">
        <f aca="false">IF(H1225="","",ROUNDUP(H1225*35%,0))</f>
        <v/>
      </c>
      <c r="K1225" s="113"/>
      <c r="L1225" s="113"/>
    </row>
    <row r="1226" customFormat="false" ht="12.75" hidden="false" customHeight="true" outlineLevel="0" collapsed="false">
      <c r="A1226" s="121" t="str">
        <f aca="false">IF(B1226="","",CONCATENATE(COUNTA($B$4:B1226),"."))</f>
        <v/>
      </c>
      <c r="B1226" s="112"/>
      <c r="C1226" s="112"/>
      <c r="D1226" s="81"/>
      <c r="E1226" s="81"/>
      <c r="F1226" s="81"/>
      <c r="G1226" s="81"/>
      <c r="H1226" s="81"/>
      <c r="I1226" s="161"/>
      <c r="J1226" s="154" t="str">
        <f aca="false">IF(H1226="","",ROUNDUP(H1226*35%,0))</f>
        <v/>
      </c>
      <c r="K1226" s="113"/>
      <c r="L1226" s="113"/>
    </row>
    <row r="1227" customFormat="false" ht="12.75" hidden="false" customHeight="true" outlineLevel="0" collapsed="false">
      <c r="A1227" s="121" t="str">
        <f aca="false">IF(B1227="","",CONCATENATE(COUNTA($B$4:B1227),"."))</f>
        <v/>
      </c>
      <c r="B1227" s="112"/>
      <c r="C1227" s="112"/>
      <c r="D1227" s="81"/>
      <c r="E1227" s="81"/>
      <c r="F1227" s="81"/>
      <c r="G1227" s="81"/>
      <c r="H1227" s="81"/>
      <c r="I1227" s="161"/>
      <c r="J1227" s="154" t="str">
        <f aca="false">IF(H1227="","",ROUNDUP(H1227*35%,0))</f>
        <v/>
      </c>
      <c r="K1227" s="113"/>
      <c r="L1227" s="113"/>
    </row>
    <row r="1228" customFormat="false" ht="12.75" hidden="false" customHeight="true" outlineLevel="0" collapsed="false">
      <c r="A1228" s="121" t="str">
        <f aca="false">IF(B1228="","",CONCATENATE(COUNTA($B$4:B1228),"."))</f>
        <v/>
      </c>
      <c r="B1228" s="112"/>
      <c r="C1228" s="112"/>
      <c r="D1228" s="81"/>
      <c r="E1228" s="81"/>
      <c r="F1228" s="81"/>
      <c r="G1228" s="81"/>
      <c r="H1228" s="81"/>
      <c r="I1228" s="161"/>
      <c r="J1228" s="154" t="str">
        <f aca="false">IF(H1228="","",ROUNDUP(H1228*35%,0))</f>
        <v/>
      </c>
      <c r="K1228" s="113"/>
      <c r="L1228" s="113"/>
    </row>
    <row r="1229" customFormat="false" ht="12.75" hidden="false" customHeight="true" outlineLevel="0" collapsed="false">
      <c r="A1229" s="121" t="str">
        <f aca="false">IF(B1229="","",CONCATENATE(COUNTA($B$4:B1229),"."))</f>
        <v/>
      </c>
      <c r="B1229" s="112"/>
      <c r="C1229" s="112"/>
      <c r="D1229" s="81"/>
      <c r="E1229" s="81"/>
      <c r="F1229" s="81"/>
      <c r="G1229" s="81"/>
      <c r="H1229" s="81"/>
      <c r="I1229" s="161"/>
      <c r="J1229" s="154" t="str">
        <f aca="false">IF(H1229="","",ROUNDUP(H1229*35%,0))</f>
        <v/>
      </c>
      <c r="K1229" s="113"/>
      <c r="L1229" s="113"/>
    </row>
    <row r="1230" customFormat="false" ht="12.75" hidden="false" customHeight="true" outlineLevel="0" collapsed="false">
      <c r="A1230" s="121" t="str">
        <f aca="false">IF(B1230="","",CONCATENATE(COUNTA($B$4:B1230),"."))</f>
        <v/>
      </c>
      <c r="B1230" s="112"/>
      <c r="C1230" s="112"/>
      <c r="D1230" s="81"/>
      <c r="E1230" s="81"/>
      <c r="F1230" s="81"/>
      <c r="G1230" s="81"/>
      <c r="H1230" s="81"/>
      <c r="I1230" s="161"/>
      <c r="J1230" s="154" t="str">
        <f aca="false">IF(H1230="","",ROUNDUP(H1230*35%,0))</f>
        <v/>
      </c>
      <c r="K1230" s="113"/>
      <c r="L1230" s="113"/>
    </row>
    <row r="1231" customFormat="false" ht="12.75" hidden="false" customHeight="true" outlineLevel="0" collapsed="false">
      <c r="A1231" s="121" t="str">
        <f aca="false">IF(B1231="","",CONCATENATE(COUNTA($B$4:B1231),"."))</f>
        <v/>
      </c>
      <c r="B1231" s="112"/>
      <c r="C1231" s="112"/>
      <c r="D1231" s="81"/>
      <c r="E1231" s="81"/>
      <c r="F1231" s="81"/>
      <c r="G1231" s="81"/>
      <c r="H1231" s="81"/>
      <c r="I1231" s="161"/>
      <c r="J1231" s="154" t="str">
        <f aca="false">IF(H1231="","",ROUNDUP(H1231*35%,0))</f>
        <v/>
      </c>
      <c r="K1231" s="113"/>
      <c r="L1231" s="113"/>
    </row>
    <row r="1232" customFormat="false" ht="12.75" hidden="false" customHeight="true" outlineLevel="0" collapsed="false">
      <c r="A1232" s="121" t="str">
        <f aca="false">IF(B1232="","",CONCATENATE(COUNTA($B$4:B1232),"."))</f>
        <v/>
      </c>
      <c r="B1232" s="112"/>
      <c r="C1232" s="112"/>
      <c r="D1232" s="81"/>
      <c r="E1232" s="81"/>
      <c r="F1232" s="81"/>
      <c r="G1232" s="81"/>
      <c r="H1232" s="81"/>
      <c r="I1232" s="161"/>
      <c r="J1232" s="154" t="str">
        <f aca="false">IF(H1232="","",ROUNDUP(H1232*35%,0))</f>
        <v/>
      </c>
      <c r="K1232" s="113"/>
      <c r="L1232" s="113"/>
    </row>
    <row r="1233" customFormat="false" ht="12.75" hidden="false" customHeight="true" outlineLevel="0" collapsed="false">
      <c r="A1233" s="121" t="str">
        <f aca="false">IF(B1233="","",CONCATENATE(COUNTA($B$4:B1233),"."))</f>
        <v/>
      </c>
      <c r="B1233" s="112"/>
      <c r="C1233" s="112"/>
      <c r="D1233" s="81"/>
      <c r="E1233" s="81"/>
      <c r="F1233" s="81"/>
      <c r="G1233" s="81"/>
      <c r="H1233" s="81"/>
      <c r="I1233" s="161"/>
      <c r="J1233" s="154" t="str">
        <f aca="false">IF(H1233="","",ROUNDUP(H1233*35%,0))</f>
        <v/>
      </c>
      <c r="K1233" s="113"/>
      <c r="L1233" s="113"/>
    </row>
    <row r="1234" customFormat="false" ht="12.75" hidden="false" customHeight="true" outlineLevel="0" collapsed="false">
      <c r="A1234" s="121" t="str">
        <f aca="false">IF(B1234="","",CONCATENATE(COUNTA($B$4:B1234),"."))</f>
        <v/>
      </c>
      <c r="B1234" s="112"/>
      <c r="C1234" s="112"/>
      <c r="D1234" s="81"/>
      <c r="E1234" s="81"/>
      <c r="F1234" s="81"/>
      <c r="G1234" s="81"/>
      <c r="H1234" s="81"/>
      <c r="I1234" s="161"/>
      <c r="J1234" s="154" t="str">
        <f aca="false">IF(H1234="","",ROUNDUP(H1234*35%,0))</f>
        <v/>
      </c>
      <c r="K1234" s="113"/>
      <c r="L1234" s="113"/>
    </row>
    <row r="1235" customFormat="false" ht="12.75" hidden="false" customHeight="true" outlineLevel="0" collapsed="false">
      <c r="A1235" s="121" t="str">
        <f aca="false">IF(B1235="","",CONCATENATE(COUNTA($B$4:B1235),"."))</f>
        <v/>
      </c>
      <c r="B1235" s="112"/>
      <c r="C1235" s="112"/>
      <c r="D1235" s="81"/>
      <c r="E1235" s="81"/>
      <c r="F1235" s="81"/>
      <c r="G1235" s="81"/>
      <c r="H1235" s="81"/>
      <c r="I1235" s="161"/>
      <c r="J1235" s="154" t="str">
        <f aca="false">IF(H1235="","",ROUNDUP(H1235*35%,0))</f>
        <v/>
      </c>
      <c r="K1235" s="113"/>
      <c r="L1235" s="113"/>
    </row>
    <row r="1236" customFormat="false" ht="12.75" hidden="false" customHeight="true" outlineLevel="0" collapsed="false">
      <c r="A1236" s="121" t="str">
        <f aca="false">IF(B1236="","",CONCATENATE(COUNTA($B$4:B1236),"."))</f>
        <v/>
      </c>
      <c r="B1236" s="112"/>
      <c r="C1236" s="112"/>
      <c r="D1236" s="81"/>
      <c r="E1236" s="81"/>
      <c r="F1236" s="81"/>
      <c r="G1236" s="81"/>
      <c r="H1236" s="81"/>
      <c r="I1236" s="161"/>
      <c r="J1236" s="154" t="str">
        <f aca="false">IF(H1236="","",ROUNDUP(H1236*35%,0))</f>
        <v/>
      </c>
      <c r="K1236" s="113"/>
      <c r="L1236" s="113"/>
    </row>
    <row r="1237" customFormat="false" ht="12.75" hidden="false" customHeight="true" outlineLevel="0" collapsed="false">
      <c r="A1237" s="121" t="str">
        <f aca="false">IF(B1237="","",CONCATENATE(COUNTA($B$4:B1237),"."))</f>
        <v/>
      </c>
      <c r="B1237" s="112"/>
      <c r="C1237" s="112"/>
      <c r="D1237" s="81"/>
      <c r="E1237" s="81"/>
      <c r="F1237" s="81"/>
      <c r="G1237" s="81"/>
      <c r="H1237" s="81"/>
      <c r="I1237" s="161"/>
      <c r="J1237" s="154" t="str">
        <f aca="false">IF(H1237="","",ROUNDUP(H1237*35%,0))</f>
        <v/>
      </c>
      <c r="K1237" s="113"/>
      <c r="L1237" s="113"/>
    </row>
    <row r="1238" customFormat="false" ht="12.75" hidden="false" customHeight="true" outlineLevel="0" collapsed="false">
      <c r="A1238" s="121" t="str">
        <f aca="false">IF(B1238="","",CONCATENATE(COUNTA($B$4:B1238),"."))</f>
        <v/>
      </c>
      <c r="B1238" s="112"/>
      <c r="C1238" s="112"/>
      <c r="D1238" s="81"/>
      <c r="E1238" s="81"/>
      <c r="F1238" s="81"/>
      <c r="G1238" s="81"/>
      <c r="H1238" s="81"/>
      <c r="I1238" s="161"/>
      <c r="J1238" s="154" t="str">
        <f aca="false">IF(H1238="","",ROUNDUP(H1238*35%,0))</f>
        <v/>
      </c>
      <c r="K1238" s="113"/>
      <c r="L1238" s="113"/>
    </row>
    <row r="1239" customFormat="false" ht="12.75" hidden="false" customHeight="true" outlineLevel="0" collapsed="false">
      <c r="A1239" s="121" t="str">
        <f aca="false">IF(B1239="","",CONCATENATE(COUNTA($B$4:B1239),"."))</f>
        <v/>
      </c>
      <c r="B1239" s="112"/>
      <c r="C1239" s="112"/>
      <c r="D1239" s="81"/>
      <c r="E1239" s="81"/>
      <c r="F1239" s="81"/>
      <c r="G1239" s="81"/>
      <c r="H1239" s="81"/>
      <c r="I1239" s="161"/>
      <c r="J1239" s="154" t="str">
        <f aca="false">IF(H1239="","",ROUNDUP(H1239*35%,0))</f>
        <v/>
      </c>
      <c r="K1239" s="113"/>
      <c r="L1239" s="113"/>
    </row>
    <row r="1240" customFormat="false" ht="12.75" hidden="false" customHeight="true" outlineLevel="0" collapsed="false">
      <c r="A1240" s="121" t="str">
        <f aca="false">IF(B1240="","",CONCATENATE(COUNTA($B$4:B1240),"."))</f>
        <v/>
      </c>
      <c r="B1240" s="112"/>
      <c r="C1240" s="112"/>
      <c r="D1240" s="81"/>
      <c r="E1240" s="81"/>
      <c r="F1240" s="81"/>
      <c r="G1240" s="81"/>
      <c r="H1240" s="81"/>
      <c r="I1240" s="161"/>
      <c r="J1240" s="154" t="str">
        <f aca="false">IF(H1240="","",ROUNDUP(H1240*35%,0))</f>
        <v/>
      </c>
      <c r="K1240" s="113"/>
      <c r="L1240" s="113"/>
    </row>
    <row r="1241" customFormat="false" ht="12.75" hidden="false" customHeight="true" outlineLevel="0" collapsed="false">
      <c r="A1241" s="121" t="str">
        <f aca="false">IF(B1241="","",CONCATENATE(COUNTA($B$4:B1241),"."))</f>
        <v/>
      </c>
      <c r="B1241" s="112"/>
      <c r="C1241" s="112"/>
      <c r="D1241" s="81"/>
      <c r="E1241" s="81"/>
      <c r="F1241" s="81"/>
      <c r="G1241" s="81"/>
      <c r="H1241" s="81"/>
      <c r="I1241" s="161"/>
      <c r="J1241" s="154" t="str">
        <f aca="false">IF(H1241="","",ROUNDUP(H1241*35%,0))</f>
        <v/>
      </c>
      <c r="K1241" s="113"/>
      <c r="L1241" s="113"/>
    </row>
    <row r="1242" customFormat="false" ht="12.75" hidden="false" customHeight="true" outlineLevel="0" collapsed="false">
      <c r="A1242" s="121" t="str">
        <f aca="false">IF(B1242="","",CONCATENATE(COUNTA($B$4:B1242),"."))</f>
        <v/>
      </c>
      <c r="B1242" s="112"/>
      <c r="C1242" s="112"/>
      <c r="D1242" s="81"/>
      <c r="E1242" s="81"/>
      <c r="F1242" s="81"/>
      <c r="G1242" s="81"/>
      <c r="H1242" s="81"/>
      <c r="I1242" s="161"/>
      <c r="J1242" s="154" t="str">
        <f aca="false">IF(H1242="","",ROUNDUP(H1242*35%,0))</f>
        <v/>
      </c>
      <c r="K1242" s="113"/>
      <c r="L1242" s="113"/>
    </row>
    <row r="1243" customFormat="false" ht="12.75" hidden="false" customHeight="true" outlineLevel="0" collapsed="false">
      <c r="A1243" s="121" t="str">
        <f aca="false">IF(B1243="","",CONCATENATE(COUNTA($B$4:B1243),"."))</f>
        <v/>
      </c>
      <c r="B1243" s="112"/>
      <c r="C1243" s="112"/>
      <c r="D1243" s="81"/>
      <c r="E1243" s="81"/>
      <c r="F1243" s="81"/>
      <c r="G1243" s="81"/>
      <c r="H1243" s="81"/>
      <c r="I1243" s="161"/>
      <c r="J1243" s="154" t="str">
        <f aca="false">IF(H1243="","",ROUNDUP(H1243*35%,0))</f>
        <v/>
      </c>
      <c r="K1243" s="113"/>
      <c r="L1243" s="113"/>
    </row>
    <row r="1244" customFormat="false" ht="12.75" hidden="false" customHeight="true" outlineLevel="0" collapsed="false">
      <c r="A1244" s="121" t="str">
        <f aca="false">IF(B1244="","",CONCATENATE(COUNTA($B$4:B1244),"."))</f>
        <v/>
      </c>
      <c r="B1244" s="112"/>
      <c r="C1244" s="112"/>
      <c r="D1244" s="81"/>
      <c r="E1244" s="81"/>
      <c r="F1244" s="81"/>
      <c r="G1244" s="81"/>
      <c r="H1244" s="81"/>
      <c r="I1244" s="161"/>
      <c r="J1244" s="154" t="str">
        <f aca="false">IF(H1244="","",ROUNDUP(H1244*35%,0))</f>
        <v/>
      </c>
      <c r="K1244" s="113"/>
      <c r="L1244" s="113"/>
    </row>
    <row r="1245" customFormat="false" ht="12.75" hidden="false" customHeight="true" outlineLevel="0" collapsed="false">
      <c r="A1245" s="121" t="str">
        <f aca="false">IF(B1245="","",CONCATENATE(COUNTA($B$4:B1245),"."))</f>
        <v/>
      </c>
      <c r="B1245" s="112"/>
      <c r="C1245" s="112"/>
      <c r="D1245" s="81"/>
      <c r="E1245" s="81"/>
      <c r="F1245" s="81"/>
      <c r="G1245" s="81"/>
      <c r="H1245" s="81"/>
      <c r="I1245" s="161"/>
      <c r="J1245" s="154" t="str">
        <f aca="false">IF(H1245="","",ROUNDUP(H1245*35%,0))</f>
        <v/>
      </c>
      <c r="K1245" s="113"/>
      <c r="L1245" s="113"/>
    </row>
    <row r="1246" customFormat="false" ht="12.75" hidden="false" customHeight="true" outlineLevel="0" collapsed="false">
      <c r="A1246" s="121" t="str">
        <f aca="false">IF(B1246="","",CONCATENATE(COUNTA($B$4:B1246),"."))</f>
        <v/>
      </c>
      <c r="B1246" s="112"/>
      <c r="C1246" s="112"/>
      <c r="D1246" s="81"/>
      <c r="E1246" s="81"/>
      <c r="F1246" s="81"/>
      <c r="G1246" s="81"/>
      <c r="H1246" s="81"/>
      <c r="I1246" s="161"/>
      <c r="J1246" s="154" t="str">
        <f aca="false">IF(H1246="","",ROUNDUP(H1246*35%,0))</f>
        <v/>
      </c>
      <c r="K1246" s="113"/>
      <c r="L1246" s="113"/>
    </row>
    <row r="1247" customFormat="false" ht="12.75" hidden="false" customHeight="true" outlineLevel="0" collapsed="false">
      <c r="A1247" s="121" t="str">
        <f aca="false">IF(B1247="","",CONCATENATE(COUNTA($B$4:B1247),"."))</f>
        <v/>
      </c>
      <c r="B1247" s="112"/>
      <c r="C1247" s="112"/>
      <c r="D1247" s="81"/>
      <c r="E1247" s="81"/>
      <c r="F1247" s="81"/>
      <c r="G1247" s="81"/>
      <c r="H1247" s="81"/>
      <c r="I1247" s="161"/>
      <c r="J1247" s="154" t="str">
        <f aca="false">IF(H1247="","",ROUNDUP(H1247*35%,0))</f>
        <v/>
      </c>
      <c r="K1247" s="113"/>
      <c r="L1247" s="113"/>
    </row>
    <row r="1248" customFormat="false" ht="12.75" hidden="false" customHeight="true" outlineLevel="0" collapsed="false">
      <c r="A1248" s="121" t="str">
        <f aca="false">IF(B1248="","",CONCATENATE(COUNTA($B$4:B1248),"."))</f>
        <v/>
      </c>
      <c r="B1248" s="112"/>
      <c r="C1248" s="112"/>
      <c r="D1248" s="81"/>
      <c r="E1248" s="81"/>
      <c r="F1248" s="81"/>
      <c r="G1248" s="81"/>
      <c r="H1248" s="81"/>
      <c r="I1248" s="161"/>
      <c r="J1248" s="154" t="str">
        <f aca="false">IF(H1248="","",ROUNDUP(H1248*35%,0))</f>
        <v/>
      </c>
      <c r="K1248" s="113"/>
      <c r="L1248" s="113"/>
    </row>
    <row r="1249" customFormat="false" ht="12.75" hidden="false" customHeight="true" outlineLevel="0" collapsed="false">
      <c r="A1249" s="121" t="str">
        <f aca="false">IF(B1249="","",CONCATENATE(COUNTA($B$4:B1249),"."))</f>
        <v/>
      </c>
      <c r="B1249" s="112"/>
      <c r="C1249" s="112"/>
      <c r="D1249" s="81"/>
      <c r="E1249" s="81"/>
      <c r="F1249" s="81"/>
      <c r="G1249" s="81"/>
      <c r="H1249" s="81"/>
      <c r="I1249" s="161"/>
      <c r="J1249" s="154" t="str">
        <f aca="false">IF(H1249="","",ROUNDUP(H1249*35%,0))</f>
        <v/>
      </c>
      <c r="K1249" s="113"/>
      <c r="L1249" s="113"/>
    </row>
    <row r="1250" customFormat="false" ht="12.75" hidden="false" customHeight="true" outlineLevel="0" collapsed="false">
      <c r="A1250" s="121" t="str">
        <f aca="false">IF(B1250="","",CONCATENATE(COUNTA($B$4:B1250),"."))</f>
        <v/>
      </c>
      <c r="B1250" s="112"/>
      <c r="C1250" s="112"/>
      <c r="D1250" s="81"/>
      <c r="E1250" s="81"/>
      <c r="F1250" s="81"/>
      <c r="G1250" s="81"/>
      <c r="H1250" s="81"/>
      <c r="I1250" s="161"/>
      <c r="J1250" s="154" t="str">
        <f aca="false">IF(H1250="","",ROUNDUP(H1250*35%,0))</f>
        <v/>
      </c>
      <c r="K1250" s="113"/>
      <c r="L1250" s="113"/>
    </row>
    <row r="1251" customFormat="false" ht="12.75" hidden="false" customHeight="true" outlineLevel="0" collapsed="false">
      <c r="A1251" s="121" t="str">
        <f aca="false">IF(B1251="","",CONCATENATE(COUNTA($B$4:B1251),"."))</f>
        <v/>
      </c>
      <c r="B1251" s="112"/>
      <c r="C1251" s="112"/>
      <c r="D1251" s="81"/>
      <c r="E1251" s="81"/>
      <c r="F1251" s="81"/>
      <c r="G1251" s="81"/>
      <c r="H1251" s="81"/>
      <c r="I1251" s="161"/>
      <c r="J1251" s="154" t="str">
        <f aca="false">IF(H1251="","",ROUNDUP(H1251*35%,0))</f>
        <v/>
      </c>
      <c r="K1251" s="113"/>
      <c r="L1251" s="113"/>
    </row>
    <row r="1252" customFormat="false" ht="12.75" hidden="false" customHeight="true" outlineLevel="0" collapsed="false">
      <c r="A1252" s="121" t="str">
        <f aca="false">IF(B1252="","",CONCATENATE(COUNTA($B$4:B1252),"."))</f>
        <v/>
      </c>
      <c r="B1252" s="112"/>
      <c r="C1252" s="112"/>
      <c r="D1252" s="81"/>
      <c r="E1252" s="81"/>
      <c r="F1252" s="81"/>
      <c r="G1252" s="81"/>
      <c r="H1252" s="81"/>
      <c r="I1252" s="161"/>
      <c r="J1252" s="154" t="str">
        <f aca="false">IF(H1252="","",ROUNDUP(H1252*35%,0))</f>
        <v/>
      </c>
      <c r="K1252" s="113"/>
      <c r="L1252" s="113"/>
    </row>
    <row r="1253" customFormat="false" ht="12.75" hidden="false" customHeight="true" outlineLevel="0" collapsed="false">
      <c r="A1253" s="121" t="str">
        <f aca="false">IF(B1253="","",CONCATENATE(COUNTA($B$4:B1253),"."))</f>
        <v/>
      </c>
      <c r="B1253" s="112"/>
      <c r="C1253" s="112"/>
      <c r="D1253" s="81"/>
      <c r="E1253" s="81"/>
      <c r="F1253" s="81"/>
      <c r="G1253" s="81"/>
      <c r="H1253" s="81"/>
      <c r="I1253" s="161"/>
      <c r="J1253" s="154" t="str">
        <f aca="false">IF(H1253="","",ROUNDUP(H1253*35%,0))</f>
        <v/>
      </c>
      <c r="K1253" s="113"/>
      <c r="L1253" s="113"/>
    </row>
    <row r="1254" customFormat="false" ht="12.75" hidden="false" customHeight="true" outlineLevel="0" collapsed="false">
      <c r="A1254" s="121" t="str">
        <f aca="false">IF(B1254="","",CONCATENATE(COUNTA($B$4:B1254),"."))</f>
        <v/>
      </c>
      <c r="B1254" s="112"/>
      <c r="C1254" s="112"/>
      <c r="D1254" s="81"/>
      <c r="E1254" s="81"/>
      <c r="F1254" s="81"/>
      <c r="G1254" s="81"/>
      <c r="H1254" s="81"/>
      <c r="I1254" s="161"/>
      <c r="J1254" s="154" t="str">
        <f aca="false">IF(H1254="","",ROUNDUP(H1254*35%,0))</f>
        <v/>
      </c>
      <c r="K1254" s="113"/>
      <c r="L1254" s="113"/>
    </row>
    <row r="1255" customFormat="false" ht="12.75" hidden="false" customHeight="true" outlineLevel="0" collapsed="false">
      <c r="A1255" s="121" t="str">
        <f aca="false">IF(B1255="","",CONCATENATE(COUNTA($B$4:B1255),"."))</f>
        <v/>
      </c>
      <c r="B1255" s="112"/>
      <c r="C1255" s="112"/>
      <c r="D1255" s="81"/>
      <c r="E1255" s="81"/>
      <c r="F1255" s="81"/>
      <c r="G1255" s="81"/>
      <c r="H1255" s="81"/>
      <c r="I1255" s="161"/>
      <c r="J1255" s="154" t="str">
        <f aca="false">IF(H1255="","",ROUNDUP(H1255*35%,0))</f>
        <v/>
      </c>
      <c r="K1255" s="113"/>
      <c r="L1255" s="113"/>
    </row>
    <row r="1256" customFormat="false" ht="12.75" hidden="false" customHeight="true" outlineLevel="0" collapsed="false">
      <c r="A1256" s="121" t="str">
        <f aca="false">IF(B1256="","",CONCATENATE(COUNTA($B$4:B1256),"."))</f>
        <v/>
      </c>
      <c r="B1256" s="112"/>
      <c r="C1256" s="112"/>
      <c r="D1256" s="81"/>
      <c r="E1256" s="81"/>
      <c r="F1256" s="81"/>
      <c r="G1256" s="81"/>
      <c r="H1256" s="81"/>
      <c r="I1256" s="161"/>
      <c r="J1256" s="154" t="str">
        <f aca="false">IF(H1256="","",ROUNDUP(H1256*35%,0))</f>
        <v/>
      </c>
      <c r="K1256" s="113"/>
      <c r="L1256" s="113"/>
    </row>
    <row r="1257" customFormat="false" ht="12.75" hidden="false" customHeight="true" outlineLevel="0" collapsed="false">
      <c r="A1257" s="121" t="str">
        <f aca="false">IF(B1257="","",CONCATENATE(COUNTA($B$4:B1257),"."))</f>
        <v/>
      </c>
      <c r="B1257" s="112"/>
      <c r="C1257" s="112"/>
      <c r="D1257" s="81"/>
      <c r="E1257" s="81"/>
      <c r="F1257" s="81"/>
      <c r="G1257" s="81"/>
      <c r="H1257" s="81"/>
      <c r="I1257" s="161"/>
      <c r="J1257" s="154" t="str">
        <f aca="false">IF(H1257="","",ROUNDUP(H1257*35%,0))</f>
        <v/>
      </c>
      <c r="K1257" s="113"/>
      <c r="L1257" s="113"/>
    </row>
    <row r="1258" customFormat="false" ht="12.75" hidden="false" customHeight="true" outlineLevel="0" collapsed="false">
      <c r="A1258" s="121" t="str">
        <f aca="false">IF(B1258="","",CONCATENATE(COUNTA($B$4:B1258),"."))</f>
        <v/>
      </c>
      <c r="B1258" s="112"/>
      <c r="C1258" s="112"/>
      <c r="D1258" s="81"/>
      <c r="E1258" s="81"/>
      <c r="F1258" s="81"/>
      <c r="G1258" s="81"/>
      <c r="H1258" s="81"/>
      <c r="I1258" s="161"/>
      <c r="J1258" s="154" t="str">
        <f aca="false">IF(H1258="","",ROUNDUP(H1258*35%,0))</f>
        <v/>
      </c>
      <c r="K1258" s="113"/>
      <c r="L1258" s="113"/>
    </row>
    <row r="1259" customFormat="false" ht="12.75" hidden="false" customHeight="true" outlineLevel="0" collapsed="false">
      <c r="A1259" s="121" t="str">
        <f aca="false">IF(B1259="","",CONCATENATE(COUNTA($B$4:B1259),"."))</f>
        <v/>
      </c>
      <c r="B1259" s="112"/>
      <c r="C1259" s="112"/>
      <c r="D1259" s="81"/>
      <c r="E1259" s="81"/>
      <c r="F1259" s="81"/>
      <c r="G1259" s="81"/>
      <c r="H1259" s="81"/>
      <c r="I1259" s="161"/>
      <c r="J1259" s="154" t="str">
        <f aca="false">IF(H1259="","",ROUNDUP(H1259*35%,0))</f>
        <v/>
      </c>
      <c r="K1259" s="113"/>
      <c r="L1259" s="113"/>
    </row>
    <row r="1260" customFormat="false" ht="12.75" hidden="false" customHeight="true" outlineLevel="0" collapsed="false">
      <c r="A1260" s="121" t="str">
        <f aca="false">IF(B1260="","",CONCATENATE(COUNTA($B$4:B1260),"."))</f>
        <v/>
      </c>
      <c r="B1260" s="112"/>
      <c r="C1260" s="112"/>
      <c r="D1260" s="81"/>
      <c r="E1260" s="81"/>
      <c r="F1260" s="81"/>
      <c r="G1260" s="81"/>
      <c r="H1260" s="81"/>
      <c r="I1260" s="161"/>
      <c r="J1260" s="154" t="str">
        <f aca="false">IF(H1260="","",ROUNDUP(H1260*35%,0))</f>
        <v/>
      </c>
      <c r="K1260" s="113"/>
      <c r="L1260" s="113"/>
    </row>
    <row r="1261" customFormat="false" ht="12.75" hidden="false" customHeight="true" outlineLevel="0" collapsed="false">
      <c r="A1261" s="121" t="str">
        <f aca="false">IF(B1261="","",CONCATENATE(COUNTA($B$4:B1261),"."))</f>
        <v/>
      </c>
      <c r="B1261" s="112"/>
      <c r="C1261" s="112"/>
      <c r="D1261" s="81"/>
      <c r="E1261" s="81"/>
      <c r="F1261" s="81"/>
      <c r="G1261" s="81"/>
      <c r="H1261" s="81"/>
      <c r="I1261" s="161"/>
      <c r="J1261" s="154" t="str">
        <f aca="false">IF(H1261="","",ROUNDUP(H1261*35%,0))</f>
        <v/>
      </c>
      <c r="K1261" s="113"/>
      <c r="L1261" s="113"/>
    </row>
    <row r="1262" customFormat="false" ht="12.75" hidden="false" customHeight="true" outlineLevel="0" collapsed="false">
      <c r="A1262" s="121" t="str">
        <f aca="false">IF(B1262="","",CONCATENATE(COUNTA($B$4:B1262),"."))</f>
        <v/>
      </c>
      <c r="B1262" s="112"/>
      <c r="C1262" s="112"/>
      <c r="D1262" s="81"/>
      <c r="E1262" s="81"/>
      <c r="F1262" s="81"/>
      <c r="G1262" s="81"/>
      <c r="H1262" s="81"/>
      <c r="I1262" s="161"/>
      <c r="J1262" s="154" t="str">
        <f aca="false">IF(H1262="","",ROUNDUP(H1262*35%,0))</f>
        <v/>
      </c>
      <c r="K1262" s="113"/>
      <c r="L1262" s="113"/>
    </row>
    <row r="1263" customFormat="false" ht="12.75" hidden="false" customHeight="true" outlineLevel="0" collapsed="false">
      <c r="A1263" s="121" t="str">
        <f aca="false">IF(B1263="","",CONCATENATE(COUNTA($B$4:B1263),"."))</f>
        <v/>
      </c>
      <c r="B1263" s="112"/>
      <c r="C1263" s="112"/>
      <c r="D1263" s="81"/>
      <c r="E1263" s="81"/>
      <c r="F1263" s="81"/>
      <c r="G1263" s="81"/>
      <c r="H1263" s="81"/>
      <c r="I1263" s="161"/>
      <c r="J1263" s="154" t="str">
        <f aca="false">IF(H1263="","",ROUNDUP(H1263*35%,0))</f>
        <v/>
      </c>
      <c r="K1263" s="113"/>
      <c r="L1263" s="113"/>
    </row>
    <row r="1264" customFormat="false" ht="12.75" hidden="false" customHeight="true" outlineLevel="0" collapsed="false">
      <c r="A1264" s="121" t="str">
        <f aca="false">IF(B1264="","",CONCATENATE(COUNTA($B$4:B1264),"."))</f>
        <v/>
      </c>
      <c r="B1264" s="112"/>
      <c r="C1264" s="112"/>
      <c r="D1264" s="81"/>
      <c r="E1264" s="81"/>
      <c r="F1264" s="81"/>
      <c r="G1264" s="81"/>
      <c r="H1264" s="81"/>
      <c r="I1264" s="161"/>
      <c r="J1264" s="154" t="str">
        <f aca="false">IF(H1264="","",ROUNDUP(H1264*35%,0))</f>
        <v/>
      </c>
      <c r="K1264" s="113"/>
      <c r="L1264" s="113"/>
    </row>
    <row r="1265" customFormat="false" ht="12.75" hidden="false" customHeight="true" outlineLevel="0" collapsed="false">
      <c r="A1265" s="121" t="str">
        <f aca="false">IF(B1265="","",CONCATENATE(COUNTA($B$4:B1265),"."))</f>
        <v/>
      </c>
      <c r="B1265" s="112"/>
      <c r="C1265" s="112"/>
      <c r="D1265" s="81"/>
      <c r="E1265" s="81"/>
      <c r="F1265" s="81"/>
      <c r="G1265" s="81"/>
      <c r="H1265" s="81"/>
      <c r="I1265" s="161"/>
      <c r="J1265" s="154" t="str">
        <f aca="false">IF(H1265="","",ROUNDUP(H1265*35%,0))</f>
        <v/>
      </c>
      <c r="K1265" s="113"/>
      <c r="L1265" s="113"/>
    </row>
    <row r="1266" customFormat="false" ht="12.75" hidden="false" customHeight="true" outlineLevel="0" collapsed="false">
      <c r="A1266" s="121" t="str">
        <f aca="false">IF(B1266="","",CONCATENATE(COUNTA($B$4:B1266),"."))</f>
        <v/>
      </c>
      <c r="B1266" s="112"/>
      <c r="C1266" s="112"/>
      <c r="D1266" s="81"/>
      <c r="E1266" s="81"/>
      <c r="F1266" s="81"/>
      <c r="G1266" s="81"/>
      <c r="H1266" s="81"/>
      <c r="I1266" s="161"/>
      <c r="J1266" s="154" t="str">
        <f aca="false">IF(H1266="","",ROUNDUP(H1266*35%,0))</f>
        <v/>
      </c>
      <c r="K1266" s="113"/>
      <c r="L1266" s="113"/>
    </row>
    <row r="1267" customFormat="false" ht="12.75" hidden="false" customHeight="true" outlineLevel="0" collapsed="false">
      <c r="A1267" s="121" t="str">
        <f aca="false">IF(B1267="","",CONCATENATE(COUNTA($B$4:B1267),"."))</f>
        <v/>
      </c>
      <c r="B1267" s="112"/>
      <c r="C1267" s="112"/>
      <c r="D1267" s="81"/>
      <c r="E1267" s="81"/>
      <c r="F1267" s="81"/>
      <c r="G1267" s="81"/>
      <c r="H1267" s="81"/>
      <c r="I1267" s="161"/>
      <c r="J1267" s="154" t="str">
        <f aca="false">IF(H1267="","",ROUNDUP(H1267*35%,0))</f>
        <v/>
      </c>
      <c r="K1267" s="113"/>
      <c r="L1267" s="113"/>
    </row>
    <row r="1268" customFormat="false" ht="12.75" hidden="false" customHeight="true" outlineLevel="0" collapsed="false">
      <c r="A1268" s="121" t="str">
        <f aca="false">IF(B1268="","",CONCATENATE(COUNTA($B$4:B1268),"."))</f>
        <v/>
      </c>
      <c r="B1268" s="112"/>
      <c r="C1268" s="112"/>
      <c r="D1268" s="81"/>
      <c r="E1268" s="81"/>
      <c r="F1268" s="81"/>
      <c r="G1268" s="81"/>
      <c r="H1268" s="81"/>
      <c r="I1268" s="161"/>
      <c r="J1268" s="154" t="str">
        <f aca="false">IF(H1268="","",ROUNDUP(H1268*35%,0))</f>
        <v/>
      </c>
      <c r="K1268" s="113"/>
      <c r="L1268" s="113"/>
    </row>
    <row r="1269" customFormat="false" ht="12.75" hidden="false" customHeight="true" outlineLevel="0" collapsed="false">
      <c r="A1269" s="121" t="str">
        <f aca="false">IF(B1269="","",CONCATENATE(COUNTA($B$4:B1269),"."))</f>
        <v/>
      </c>
      <c r="B1269" s="112"/>
      <c r="C1269" s="112"/>
      <c r="D1269" s="81"/>
      <c r="E1269" s="81"/>
      <c r="F1269" s="81"/>
      <c r="G1269" s="81"/>
      <c r="H1269" s="81"/>
      <c r="I1269" s="161"/>
      <c r="J1269" s="154" t="str">
        <f aca="false">IF(H1269="","",ROUNDUP(H1269*35%,0))</f>
        <v/>
      </c>
      <c r="K1269" s="113"/>
      <c r="L1269" s="113"/>
    </row>
    <row r="1270" customFormat="false" ht="12.75" hidden="false" customHeight="true" outlineLevel="0" collapsed="false">
      <c r="A1270" s="121" t="str">
        <f aca="false">IF(B1270="","",CONCATENATE(COUNTA($B$4:B1270),"."))</f>
        <v/>
      </c>
      <c r="B1270" s="112"/>
      <c r="C1270" s="112"/>
      <c r="D1270" s="81"/>
      <c r="E1270" s="81"/>
      <c r="F1270" s="81"/>
      <c r="G1270" s="81"/>
      <c r="H1270" s="81"/>
      <c r="I1270" s="161"/>
      <c r="J1270" s="154" t="str">
        <f aca="false">IF(H1270="","",ROUNDUP(H1270*35%,0))</f>
        <v/>
      </c>
      <c r="K1270" s="113"/>
      <c r="L1270" s="113"/>
    </row>
    <row r="1271" customFormat="false" ht="12.75" hidden="false" customHeight="true" outlineLevel="0" collapsed="false">
      <c r="A1271" s="121" t="str">
        <f aca="false">IF(B1271="","",CONCATENATE(COUNTA($B$4:B1271),"."))</f>
        <v/>
      </c>
      <c r="B1271" s="112"/>
      <c r="C1271" s="112"/>
      <c r="D1271" s="81"/>
      <c r="E1271" s="81"/>
      <c r="F1271" s="81"/>
      <c r="G1271" s="81"/>
      <c r="H1271" s="81"/>
      <c r="I1271" s="161"/>
      <c r="J1271" s="154" t="str">
        <f aca="false">IF(H1271="","",ROUNDUP(H1271*35%,0))</f>
        <v/>
      </c>
      <c r="K1271" s="113"/>
      <c r="L1271" s="113"/>
    </row>
    <row r="1272" customFormat="false" ht="12.75" hidden="false" customHeight="true" outlineLevel="0" collapsed="false">
      <c r="A1272" s="121" t="str">
        <f aca="false">IF(B1272="","",CONCATENATE(COUNTA($B$4:B1272),"."))</f>
        <v/>
      </c>
      <c r="B1272" s="112"/>
      <c r="C1272" s="112"/>
      <c r="D1272" s="81"/>
      <c r="E1272" s="81"/>
      <c r="F1272" s="81"/>
      <c r="G1272" s="81"/>
      <c r="H1272" s="81"/>
      <c r="I1272" s="161"/>
      <c r="J1272" s="154" t="str">
        <f aca="false">IF(H1272="","",ROUNDUP(H1272*35%,0))</f>
        <v/>
      </c>
      <c r="K1272" s="113"/>
      <c r="L1272" s="113"/>
    </row>
    <row r="1273" customFormat="false" ht="12.75" hidden="false" customHeight="true" outlineLevel="0" collapsed="false">
      <c r="A1273" s="121" t="str">
        <f aca="false">IF(B1273="","",CONCATENATE(COUNTA($B$4:B1273),"."))</f>
        <v/>
      </c>
      <c r="B1273" s="112"/>
      <c r="C1273" s="112"/>
      <c r="D1273" s="81"/>
      <c r="E1273" s="81"/>
      <c r="F1273" s="81"/>
      <c r="G1273" s="81"/>
      <c r="H1273" s="81"/>
      <c r="I1273" s="161"/>
      <c r="J1273" s="154" t="str">
        <f aca="false">IF(H1273="","",ROUNDUP(H1273*35%,0))</f>
        <v/>
      </c>
      <c r="K1273" s="113"/>
      <c r="L1273" s="113"/>
    </row>
    <row r="1274" customFormat="false" ht="12.75" hidden="false" customHeight="true" outlineLevel="0" collapsed="false">
      <c r="A1274" s="121" t="str">
        <f aca="false">IF(B1274="","",CONCATENATE(COUNTA($B$4:B1274),"."))</f>
        <v/>
      </c>
      <c r="B1274" s="112"/>
      <c r="C1274" s="112"/>
      <c r="D1274" s="81"/>
      <c r="E1274" s="81"/>
      <c r="F1274" s="81"/>
      <c r="G1274" s="81"/>
      <c r="H1274" s="81"/>
      <c r="I1274" s="161"/>
      <c r="J1274" s="154" t="str">
        <f aca="false">IF(H1274="","",ROUNDUP(H1274*35%,0))</f>
        <v/>
      </c>
      <c r="K1274" s="113"/>
      <c r="L1274" s="113"/>
    </row>
    <row r="1275" customFormat="false" ht="12.75" hidden="false" customHeight="true" outlineLevel="0" collapsed="false">
      <c r="A1275" s="121" t="str">
        <f aca="false">IF(B1275="","",CONCATENATE(COUNTA($B$4:B1275),"."))</f>
        <v/>
      </c>
      <c r="B1275" s="112"/>
      <c r="C1275" s="112"/>
      <c r="D1275" s="81"/>
      <c r="E1275" s="81"/>
      <c r="F1275" s="81"/>
      <c r="G1275" s="81"/>
      <c r="H1275" s="81"/>
      <c r="I1275" s="161"/>
      <c r="J1275" s="154" t="str">
        <f aca="false">IF(H1275="","",ROUNDUP(H1275*35%,0))</f>
        <v/>
      </c>
      <c r="K1275" s="113"/>
      <c r="L1275" s="113"/>
    </row>
    <row r="1276" customFormat="false" ht="12.75" hidden="false" customHeight="true" outlineLevel="0" collapsed="false">
      <c r="A1276" s="121" t="str">
        <f aca="false">IF(B1276="","",CONCATENATE(COUNTA($B$4:B1276),"."))</f>
        <v/>
      </c>
      <c r="B1276" s="112"/>
      <c r="C1276" s="112"/>
      <c r="D1276" s="81"/>
      <c r="E1276" s="81"/>
      <c r="F1276" s="81"/>
      <c r="G1276" s="81"/>
      <c r="H1276" s="81"/>
      <c r="I1276" s="161"/>
      <c r="J1276" s="154" t="str">
        <f aca="false">IF(H1276="","",ROUNDUP(H1276*35%,0))</f>
        <v/>
      </c>
      <c r="K1276" s="113"/>
      <c r="L1276" s="113"/>
    </row>
    <row r="1277" customFormat="false" ht="12.75" hidden="false" customHeight="true" outlineLevel="0" collapsed="false">
      <c r="A1277" s="121" t="str">
        <f aca="false">IF(B1277="","",CONCATENATE(COUNTA($B$4:B1277),"."))</f>
        <v/>
      </c>
      <c r="B1277" s="112"/>
      <c r="C1277" s="112"/>
      <c r="D1277" s="81"/>
      <c r="E1277" s="81"/>
      <c r="F1277" s="81"/>
      <c r="G1277" s="81"/>
      <c r="H1277" s="81"/>
      <c r="I1277" s="161"/>
      <c r="J1277" s="154" t="str">
        <f aca="false">IF(H1277="","",ROUNDUP(H1277*35%,0))</f>
        <v/>
      </c>
      <c r="K1277" s="113"/>
      <c r="L1277" s="113"/>
    </row>
    <row r="1278" customFormat="false" ht="12.75" hidden="false" customHeight="true" outlineLevel="0" collapsed="false">
      <c r="A1278" s="121" t="str">
        <f aca="false">IF(B1278="","",CONCATENATE(COUNTA($B$4:B1278),"."))</f>
        <v/>
      </c>
      <c r="B1278" s="112"/>
      <c r="C1278" s="112"/>
      <c r="D1278" s="81"/>
      <c r="E1278" s="81"/>
      <c r="F1278" s="81"/>
      <c r="G1278" s="81"/>
      <c r="H1278" s="81"/>
      <c r="I1278" s="161"/>
      <c r="J1278" s="154" t="str">
        <f aca="false">IF(H1278="","",ROUNDUP(H1278*35%,0))</f>
        <v/>
      </c>
      <c r="K1278" s="113"/>
      <c r="L1278" s="113"/>
    </row>
    <row r="1279" customFormat="false" ht="12.75" hidden="false" customHeight="true" outlineLevel="0" collapsed="false">
      <c r="A1279" s="121" t="str">
        <f aca="false">IF(B1279="","",CONCATENATE(COUNTA($B$4:B1279),"."))</f>
        <v/>
      </c>
      <c r="B1279" s="112"/>
      <c r="C1279" s="112"/>
      <c r="D1279" s="81"/>
      <c r="E1279" s="81"/>
      <c r="F1279" s="81"/>
      <c r="G1279" s="81"/>
      <c r="H1279" s="81"/>
      <c r="I1279" s="161"/>
      <c r="J1279" s="154" t="str">
        <f aca="false">IF(H1279="","",ROUNDUP(H1279*35%,0))</f>
        <v/>
      </c>
      <c r="K1279" s="113"/>
      <c r="L1279" s="113"/>
    </row>
    <row r="1280" customFormat="false" ht="12.75" hidden="false" customHeight="true" outlineLevel="0" collapsed="false">
      <c r="A1280" s="121" t="str">
        <f aca="false">IF(B1280="","",CONCATENATE(COUNTA($B$4:B1280),"."))</f>
        <v/>
      </c>
      <c r="B1280" s="112"/>
      <c r="C1280" s="112"/>
      <c r="D1280" s="81"/>
      <c r="E1280" s="81"/>
      <c r="F1280" s="81"/>
      <c r="G1280" s="81"/>
      <c r="H1280" s="81"/>
      <c r="I1280" s="161"/>
      <c r="J1280" s="154" t="str">
        <f aca="false">IF(H1280="","",ROUNDUP(H1280*35%,0))</f>
        <v/>
      </c>
      <c r="K1280" s="113"/>
      <c r="L1280" s="113"/>
    </row>
    <row r="1281" customFormat="false" ht="12.75" hidden="false" customHeight="true" outlineLevel="0" collapsed="false">
      <c r="A1281" s="121" t="str">
        <f aca="false">IF(B1281="","",CONCATENATE(COUNTA($B$4:B1281),"."))</f>
        <v/>
      </c>
      <c r="B1281" s="112"/>
      <c r="C1281" s="112"/>
      <c r="D1281" s="81"/>
      <c r="E1281" s="81"/>
      <c r="F1281" s="81"/>
      <c r="G1281" s="81"/>
      <c r="H1281" s="81"/>
      <c r="I1281" s="161"/>
      <c r="J1281" s="154" t="str">
        <f aca="false">IF(H1281="","",ROUNDUP(H1281*35%,0))</f>
        <v/>
      </c>
      <c r="K1281" s="113"/>
      <c r="L1281" s="113"/>
    </row>
    <row r="1282" customFormat="false" ht="12.75" hidden="false" customHeight="true" outlineLevel="0" collapsed="false">
      <c r="A1282" s="121" t="str">
        <f aca="false">IF(B1282="","",CONCATENATE(COUNTA($B$4:B1282),"."))</f>
        <v/>
      </c>
      <c r="B1282" s="112"/>
      <c r="C1282" s="112"/>
      <c r="D1282" s="81"/>
      <c r="E1282" s="81"/>
      <c r="F1282" s="81"/>
      <c r="G1282" s="81"/>
      <c r="H1282" s="81"/>
      <c r="I1282" s="161"/>
      <c r="J1282" s="154" t="str">
        <f aca="false">IF(H1282="","",ROUNDUP(H1282*35%,0))</f>
        <v/>
      </c>
      <c r="K1282" s="113"/>
      <c r="L1282" s="113"/>
    </row>
    <row r="1283" customFormat="false" ht="12.75" hidden="false" customHeight="true" outlineLevel="0" collapsed="false">
      <c r="A1283" s="121" t="str">
        <f aca="false">IF(B1283="","",CONCATENATE(COUNTA($B$4:B1283),"."))</f>
        <v/>
      </c>
      <c r="B1283" s="112"/>
      <c r="C1283" s="112"/>
      <c r="D1283" s="81"/>
      <c r="E1283" s="81"/>
      <c r="F1283" s="81"/>
      <c r="G1283" s="81"/>
      <c r="H1283" s="81"/>
      <c r="I1283" s="161"/>
      <c r="J1283" s="154" t="str">
        <f aca="false">IF(H1283="","",ROUNDUP(H1283*35%,0))</f>
        <v/>
      </c>
      <c r="K1283" s="113"/>
      <c r="L1283" s="113"/>
    </row>
    <row r="1284" customFormat="false" ht="12.75" hidden="false" customHeight="true" outlineLevel="0" collapsed="false">
      <c r="A1284" s="121" t="str">
        <f aca="false">IF(B1284="","",CONCATENATE(COUNTA($B$4:B1284),"."))</f>
        <v/>
      </c>
      <c r="B1284" s="112"/>
      <c r="C1284" s="112"/>
      <c r="D1284" s="81"/>
      <c r="E1284" s="81"/>
      <c r="F1284" s="81"/>
      <c r="G1284" s="81"/>
      <c r="H1284" s="81"/>
      <c r="I1284" s="161"/>
      <c r="J1284" s="154" t="str">
        <f aca="false">IF(H1284="","",ROUNDUP(H1284*35%,0))</f>
        <v/>
      </c>
      <c r="K1284" s="113"/>
      <c r="L1284" s="113"/>
    </row>
    <row r="1285" customFormat="false" ht="12.75" hidden="false" customHeight="true" outlineLevel="0" collapsed="false">
      <c r="A1285" s="121" t="str">
        <f aca="false">IF(B1285="","",CONCATENATE(COUNTA($B$4:B1285),"."))</f>
        <v/>
      </c>
      <c r="B1285" s="112"/>
      <c r="C1285" s="112"/>
      <c r="D1285" s="81"/>
      <c r="E1285" s="81"/>
      <c r="F1285" s="81"/>
      <c r="G1285" s="81"/>
      <c r="H1285" s="81"/>
      <c r="I1285" s="161"/>
      <c r="J1285" s="154" t="str">
        <f aca="false">IF(H1285="","",ROUNDUP(H1285*35%,0))</f>
        <v/>
      </c>
      <c r="K1285" s="113"/>
      <c r="L1285" s="113"/>
    </row>
    <row r="1286" customFormat="false" ht="12.75" hidden="false" customHeight="true" outlineLevel="0" collapsed="false">
      <c r="A1286" s="121" t="str">
        <f aca="false">IF(B1286="","",CONCATENATE(COUNTA($B$4:B1286),"."))</f>
        <v/>
      </c>
      <c r="B1286" s="112"/>
      <c r="C1286" s="112"/>
      <c r="D1286" s="81"/>
      <c r="E1286" s="81"/>
      <c r="F1286" s="81"/>
      <c r="G1286" s="81"/>
      <c r="H1286" s="81"/>
      <c r="I1286" s="161"/>
      <c r="J1286" s="154" t="str">
        <f aca="false">IF(H1286="","",ROUNDUP(H1286*35%,0))</f>
        <v/>
      </c>
      <c r="K1286" s="113"/>
      <c r="L1286" s="113"/>
    </row>
    <row r="1287" customFormat="false" ht="12.75" hidden="false" customHeight="true" outlineLevel="0" collapsed="false">
      <c r="A1287" s="121" t="str">
        <f aca="false">IF(B1287="","",CONCATENATE(COUNTA($B$4:B1287),"."))</f>
        <v/>
      </c>
      <c r="B1287" s="112"/>
      <c r="C1287" s="112"/>
      <c r="D1287" s="81"/>
      <c r="E1287" s="81"/>
      <c r="F1287" s="81"/>
      <c r="G1287" s="81"/>
      <c r="H1287" s="81"/>
      <c r="I1287" s="161"/>
      <c r="J1287" s="154" t="str">
        <f aca="false">IF(H1287="","",ROUNDUP(H1287*35%,0))</f>
        <v/>
      </c>
      <c r="K1287" s="113"/>
      <c r="L1287" s="113"/>
    </row>
    <row r="1288" customFormat="false" ht="12.75" hidden="false" customHeight="true" outlineLevel="0" collapsed="false">
      <c r="A1288" s="121" t="str">
        <f aca="false">IF(B1288="","",CONCATENATE(COUNTA($B$4:B1288),"."))</f>
        <v/>
      </c>
      <c r="B1288" s="112"/>
      <c r="C1288" s="112"/>
      <c r="D1288" s="81"/>
      <c r="E1288" s="81"/>
      <c r="F1288" s="81"/>
      <c r="G1288" s="81"/>
      <c r="H1288" s="81"/>
      <c r="I1288" s="161"/>
      <c r="J1288" s="154" t="str">
        <f aca="false">IF(H1288="","",ROUNDUP(H1288*35%,0))</f>
        <v/>
      </c>
      <c r="K1288" s="113"/>
      <c r="L1288" s="113"/>
    </row>
    <row r="1289" customFormat="false" ht="12.75" hidden="false" customHeight="true" outlineLevel="0" collapsed="false">
      <c r="A1289" s="121" t="str">
        <f aca="false">IF(B1289="","",CONCATENATE(COUNTA($B$4:B1289),"."))</f>
        <v/>
      </c>
      <c r="B1289" s="112"/>
      <c r="C1289" s="112"/>
      <c r="D1289" s="81"/>
      <c r="E1289" s="81"/>
      <c r="F1289" s="81"/>
      <c r="G1289" s="81"/>
      <c r="H1289" s="81"/>
      <c r="I1289" s="161"/>
      <c r="J1289" s="154" t="str">
        <f aca="false">IF(H1289="","",ROUNDUP(H1289*35%,0))</f>
        <v/>
      </c>
      <c r="K1289" s="113"/>
      <c r="L1289" s="113"/>
    </row>
    <row r="1290" customFormat="false" ht="12.75" hidden="false" customHeight="true" outlineLevel="0" collapsed="false">
      <c r="A1290" s="121" t="str">
        <f aca="false">IF(B1290="","",CONCATENATE(COUNTA($B$4:B1290),"."))</f>
        <v/>
      </c>
      <c r="B1290" s="112"/>
      <c r="C1290" s="112"/>
      <c r="D1290" s="81"/>
      <c r="E1290" s="81"/>
      <c r="F1290" s="81"/>
      <c r="G1290" s="81"/>
      <c r="H1290" s="81"/>
      <c r="I1290" s="161"/>
      <c r="J1290" s="154" t="str">
        <f aca="false">IF(H1290="","",ROUNDUP(H1290*35%,0))</f>
        <v/>
      </c>
      <c r="K1290" s="113"/>
      <c r="L1290" s="113"/>
    </row>
    <row r="1291" customFormat="false" ht="12.75" hidden="false" customHeight="true" outlineLevel="0" collapsed="false">
      <c r="A1291" s="121" t="str">
        <f aca="false">IF(B1291="","",CONCATENATE(COUNTA($B$4:B1291),"."))</f>
        <v/>
      </c>
      <c r="B1291" s="112"/>
      <c r="C1291" s="112"/>
      <c r="D1291" s="81"/>
      <c r="E1291" s="81"/>
      <c r="F1291" s="81"/>
      <c r="G1291" s="81"/>
      <c r="H1291" s="81"/>
      <c r="I1291" s="161"/>
      <c r="J1291" s="154" t="str">
        <f aca="false">IF(H1291="","",ROUNDUP(H1291*35%,0))</f>
        <v/>
      </c>
      <c r="K1291" s="113"/>
      <c r="L1291" s="113"/>
    </row>
    <row r="1292" customFormat="false" ht="12.75" hidden="false" customHeight="true" outlineLevel="0" collapsed="false">
      <c r="A1292" s="121" t="str">
        <f aca="false">IF(B1292="","",CONCATENATE(COUNTA($B$4:B1292),"."))</f>
        <v/>
      </c>
      <c r="B1292" s="112"/>
      <c r="C1292" s="112"/>
      <c r="D1292" s="81"/>
      <c r="E1292" s="81"/>
      <c r="F1292" s="81"/>
      <c r="G1292" s="81"/>
      <c r="H1292" s="81"/>
      <c r="I1292" s="161"/>
      <c r="J1292" s="154" t="str">
        <f aca="false">IF(H1292="","",ROUNDUP(H1292*35%,0))</f>
        <v/>
      </c>
      <c r="K1292" s="113"/>
      <c r="L1292" s="113"/>
    </row>
    <row r="1293" customFormat="false" ht="12.75" hidden="false" customHeight="true" outlineLevel="0" collapsed="false">
      <c r="A1293" s="121" t="str">
        <f aca="false">IF(B1293="","",CONCATENATE(COUNTA($B$4:B1293),"."))</f>
        <v/>
      </c>
      <c r="B1293" s="112"/>
      <c r="C1293" s="112"/>
      <c r="D1293" s="81"/>
      <c r="E1293" s="81"/>
      <c r="F1293" s="81"/>
      <c r="G1293" s="81"/>
      <c r="H1293" s="81"/>
      <c r="I1293" s="161"/>
      <c r="J1293" s="154" t="str">
        <f aca="false">IF(H1293="","",ROUNDUP(H1293*35%,0))</f>
        <v/>
      </c>
      <c r="K1293" s="113"/>
      <c r="L1293" s="113"/>
    </row>
    <row r="1294" customFormat="false" ht="12.75" hidden="false" customHeight="true" outlineLevel="0" collapsed="false">
      <c r="A1294" s="121" t="str">
        <f aca="false">IF(B1294="","",CONCATENATE(COUNTA($B$4:B1294),"."))</f>
        <v/>
      </c>
      <c r="B1294" s="112"/>
      <c r="C1294" s="112"/>
      <c r="D1294" s="81"/>
      <c r="E1294" s="81"/>
      <c r="F1294" s="81"/>
      <c r="G1294" s="81"/>
      <c r="H1294" s="81"/>
      <c r="I1294" s="161"/>
      <c r="J1294" s="154" t="str">
        <f aca="false">IF(H1294="","",ROUNDUP(H1294*35%,0))</f>
        <v/>
      </c>
      <c r="K1294" s="113"/>
      <c r="L1294" s="113"/>
    </row>
    <row r="1295" customFormat="false" ht="12.75" hidden="false" customHeight="true" outlineLevel="0" collapsed="false">
      <c r="A1295" s="121" t="str">
        <f aca="false">IF(B1295="","",CONCATENATE(COUNTA($B$4:B1295),"."))</f>
        <v/>
      </c>
      <c r="B1295" s="112"/>
      <c r="C1295" s="112"/>
      <c r="D1295" s="81"/>
      <c r="E1295" s="81"/>
      <c r="F1295" s="81"/>
      <c r="G1295" s="81"/>
      <c r="H1295" s="81"/>
      <c r="I1295" s="161"/>
      <c r="J1295" s="154" t="str">
        <f aca="false">IF(H1295="","",ROUNDUP(H1295*35%,0))</f>
        <v/>
      </c>
      <c r="K1295" s="113"/>
      <c r="L1295" s="113"/>
    </row>
    <row r="1296" customFormat="false" ht="12.75" hidden="false" customHeight="true" outlineLevel="0" collapsed="false">
      <c r="A1296" s="121" t="str">
        <f aca="false">IF(B1296="","",CONCATENATE(COUNTA($B$4:B1296),"."))</f>
        <v/>
      </c>
      <c r="B1296" s="112"/>
      <c r="C1296" s="112"/>
      <c r="D1296" s="81"/>
      <c r="E1296" s="81"/>
      <c r="F1296" s="81"/>
      <c r="G1296" s="81"/>
      <c r="H1296" s="81"/>
      <c r="I1296" s="161"/>
      <c r="J1296" s="154" t="str">
        <f aca="false">IF(H1296="","",ROUNDUP(H1296*35%,0))</f>
        <v/>
      </c>
      <c r="K1296" s="113"/>
      <c r="L1296" s="113"/>
    </row>
    <row r="1297" customFormat="false" ht="12.75" hidden="false" customHeight="true" outlineLevel="0" collapsed="false">
      <c r="A1297" s="121" t="str">
        <f aca="false">IF(B1297="","",CONCATENATE(COUNTA($B$4:B1297),"."))</f>
        <v/>
      </c>
      <c r="B1297" s="112"/>
      <c r="C1297" s="112"/>
      <c r="D1297" s="81"/>
      <c r="E1297" s="81"/>
      <c r="F1297" s="81"/>
      <c r="G1297" s="81"/>
      <c r="H1297" s="81"/>
      <c r="I1297" s="161"/>
      <c r="J1297" s="154" t="str">
        <f aca="false">IF(H1297="","",ROUNDUP(H1297*35%,0))</f>
        <v/>
      </c>
      <c r="K1297" s="113"/>
      <c r="L1297" s="113"/>
    </row>
    <row r="1298" customFormat="false" ht="12.75" hidden="false" customHeight="true" outlineLevel="0" collapsed="false">
      <c r="A1298" s="121" t="str">
        <f aca="false">IF(B1298="","",CONCATENATE(COUNTA($B$4:B1298),"."))</f>
        <v/>
      </c>
      <c r="B1298" s="112"/>
      <c r="C1298" s="112"/>
      <c r="D1298" s="81"/>
      <c r="E1298" s="81"/>
      <c r="F1298" s="81"/>
      <c r="G1298" s="81"/>
      <c r="H1298" s="81"/>
      <c r="I1298" s="161"/>
      <c r="J1298" s="154" t="str">
        <f aca="false">IF(H1298="","",ROUNDUP(H1298*35%,0))</f>
        <v/>
      </c>
      <c r="K1298" s="113"/>
      <c r="L1298" s="113"/>
    </row>
    <row r="1299" customFormat="false" ht="12.75" hidden="false" customHeight="true" outlineLevel="0" collapsed="false">
      <c r="A1299" s="121" t="str">
        <f aca="false">IF(B1299="","",CONCATENATE(COUNTA($B$4:B1299),"."))</f>
        <v/>
      </c>
      <c r="B1299" s="112"/>
      <c r="C1299" s="112"/>
      <c r="D1299" s="81"/>
      <c r="E1299" s="81"/>
      <c r="F1299" s="81"/>
      <c r="G1299" s="81"/>
      <c r="H1299" s="81"/>
      <c r="I1299" s="161"/>
      <c r="J1299" s="154" t="str">
        <f aca="false">IF(H1299="","",ROUNDUP(H1299*35%,0))</f>
        <v/>
      </c>
      <c r="K1299" s="113"/>
      <c r="L1299" s="113"/>
    </row>
    <row r="1300" customFormat="false" ht="12.75" hidden="false" customHeight="true" outlineLevel="0" collapsed="false">
      <c r="A1300" s="121" t="str">
        <f aca="false">IF(B1300="","",CONCATENATE(COUNTA($B$4:B1300),"."))</f>
        <v/>
      </c>
      <c r="B1300" s="112"/>
      <c r="C1300" s="112"/>
      <c r="D1300" s="81"/>
      <c r="E1300" s="81"/>
      <c r="F1300" s="81"/>
      <c r="G1300" s="81"/>
      <c r="H1300" s="81"/>
      <c r="I1300" s="161"/>
      <c r="J1300" s="154" t="str">
        <f aca="false">IF(H1300="","",ROUNDUP(H1300*35%,0))</f>
        <v/>
      </c>
      <c r="K1300" s="113"/>
      <c r="L1300" s="113"/>
    </row>
    <row r="1301" customFormat="false" ht="12.75" hidden="false" customHeight="true" outlineLevel="0" collapsed="false">
      <c r="A1301" s="121" t="str">
        <f aca="false">IF(B1301="","",CONCATENATE(COUNTA($B$4:B1301),"."))</f>
        <v/>
      </c>
      <c r="B1301" s="112"/>
      <c r="C1301" s="112"/>
      <c r="D1301" s="81"/>
      <c r="E1301" s="81"/>
      <c r="F1301" s="81"/>
      <c r="G1301" s="81"/>
      <c r="H1301" s="81"/>
      <c r="I1301" s="161"/>
      <c r="J1301" s="154" t="str">
        <f aca="false">IF(H1301="","",ROUNDUP(H1301*35%,0))</f>
        <v/>
      </c>
      <c r="K1301" s="113"/>
      <c r="L1301" s="113"/>
    </row>
    <row r="1302" customFormat="false" ht="12.75" hidden="false" customHeight="true" outlineLevel="0" collapsed="false">
      <c r="A1302" s="121" t="str">
        <f aca="false">IF(B1302="","",CONCATENATE(COUNTA($B$4:B1302),"."))</f>
        <v/>
      </c>
      <c r="B1302" s="112"/>
      <c r="C1302" s="112"/>
      <c r="D1302" s="81"/>
      <c r="E1302" s="81"/>
      <c r="F1302" s="81"/>
      <c r="G1302" s="81"/>
      <c r="H1302" s="81"/>
      <c r="I1302" s="161"/>
      <c r="J1302" s="154" t="str">
        <f aca="false">IF(H1302="","",ROUNDUP(H1302*35%,0))</f>
        <v/>
      </c>
      <c r="K1302" s="113"/>
      <c r="L1302" s="113"/>
    </row>
    <row r="1303" customFormat="false" ht="12.75" hidden="false" customHeight="true" outlineLevel="0" collapsed="false">
      <c r="A1303" s="121" t="str">
        <f aca="false">IF(B1303="","",CONCATENATE(COUNTA($B$4:B1303),"."))</f>
        <v/>
      </c>
      <c r="B1303" s="112"/>
      <c r="C1303" s="112"/>
      <c r="D1303" s="81"/>
      <c r="E1303" s="81"/>
      <c r="F1303" s="81"/>
      <c r="G1303" s="81"/>
      <c r="H1303" s="81"/>
      <c r="I1303" s="161"/>
      <c r="J1303" s="154" t="str">
        <f aca="false">IF(H1303="","",ROUNDUP(H1303*35%,0))</f>
        <v/>
      </c>
      <c r="K1303" s="113"/>
      <c r="L1303" s="113"/>
    </row>
    <row r="1304" customFormat="false" ht="12.75" hidden="false" customHeight="true" outlineLevel="0" collapsed="false">
      <c r="A1304" s="121" t="str">
        <f aca="false">IF(B1304="","",CONCATENATE(COUNTA($B$4:B1304),"."))</f>
        <v/>
      </c>
      <c r="B1304" s="112"/>
      <c r="C1304" s="112"/>
      <c r="D1304" s="81"/>
      <c r="E1304" s="81"/>
      <c r="F1304" s="81"/>
      <c r="G1304" s="81"/>
      <c r="H1304" s="81"/>
      <c r="I1304" s="161"/>
      <c r="J1304" s="154" t="str">
        <f aca="false">IF(H1304="","",ROUNDUP(H1304*35%,0))</f>
        <v/>
      </c>
      <c r="K1304" s="113"/>
      <c r="L1304" s="113"/>
    </row>
    <row r="1305" customFormat="false" ht="12.75" hidden="false" customHeight="true" outlineLevel="0" collapsed="false">
      <c r="A1305" s="121" t="str">
        <f aca="false">IF(B1305="","",CONCATENATE(COUNTA($B$4:B1305),"."))</f>
        <v/>
      </c>
      <c r="B1305" s="112"/>
      <c r="C1305" s="112"/>
      <c r="D1305" s="81"/>
      <c r="E1305" s="81"/>
      <c r="F1305" s="81"/>
      <c r="G1305" s="81"/>
      <c r="H1305" s="81"/>
      <c r="I1305" s="161"/>
      <c r="J1305" s="154" t="str">
        <f aca="false">IF(H1305="","",ROUNDUP(H1305*35%,0))</f>
        <v/>
      </c>
      <c r="K1305" s="113"/>
      <c r="L1305" s="113"/>
    </row>
    <row r="1306" customFormat="false" ht="12.75" hidden="false" customHeight="true" outlineLevel="0" collapsed="false">
      <c r="A1306" s="121" t="str">
        <f aca="false">IF(B1306="","",CONCATENATE(COUNTA($B$4:B1306),"."))</f>
        <v/>
      </c>
      <c r="B1306" s="112"/>
      <c r="C1306" s="112"/>
      <c r="D1306" s="81"/>
      <c r="E1306" s="81"/>
      <c r="F1306" s="81"/>
      <c r="G1306" s="81"/>
      <c r="H1306" s="81"/>
      <c r="I1306" s="161"/>
      <c r="J1306" s="154" t="str">
        <f aca="false">IF(H1306="","",ROUNDUP(H1306*35%,0))</f>
        <v/>
      </c>
      <c r="K1306" s="113"/>
      <c r="L1306" s="113"/>
    </row>
    <row r="1307" customFormat="false" ht="12.75" hidden="false" customHeight="true" outlineLevel="0" collapsed="false">
      <c r="A1307" s="121" t="str">
        <f aca="false">IF(B1307="","",CONCATENATE(COUNTA($B$4:B1307),"."))</f>
        <v/>
      </c>
      <c r="B1307" s="112"/>
      <c r="C1307" s="112"/>
      <c r="D1307" s="81"/>
      <c r="E1307" s="81"/>
      <c r="F1307" s="81"/>
      <c r="G1307" s="81"/>
      <c r="H1307" s="81"/>
      <c r="I1307" s="161"/>
      <c r="J1307" s="154" t="str">
        <f aca="false">IF(H1307="","",ROUNDUP(H1307*35%,0))</f>
        <v/>
      </c>
      <c r="K1307" s="113"/>
      <c r="L1307" s="113"/>
    </row>
    <row r="1308" customFormat="false" ht="12.75" hidden="false" customHeight="true" outlineLevel="0" collapsed="false">
      <c r="A1308" s="121" t="str">
        <f aca="false">IF(B1308="","",CONCATENATE(COUNTA($B$4:B1308),"."))</f>
        <v/>
      </c>
      <c r="B1308" s="112"/>
      <c r="C1308" s="112"/>
      <c r="D1308" s="81"/>
      <c r="E1308" s="81"/>
      <c r="F1308" s="81"/>
      <c r="G1308" s="81"/>
      <c r="H1308" s="81"/>
      <c r="I1308" s="161"/>
      <c r="J1308" s="154" t="str">
        <f aca="false">IF(H1308="","",ROUNDUP(H1308*35%,0))</f>
        <v/>
      </c>
      <c r="K1308" s="113"/>
      <c r="L1308" s="113"/>
    </row>
    <row r="1309" customFormat="false" ht="12.75" hidden="false" customHeight="true" outlineLevel="0" collapsed="false">
      <c r="A1309" s="121" t="str">
        <f aca="false">IF(B1309="","",CONCATENATE(COUNTA($B$4:B1309),"."))</f>
        <v/>
      </c>
      <c r="B1309" s="112"/>
      <c r="C1309" s="112"/>
      <c r="D1309" s="81"/>
      <c r="E1309" s="81"/>
      <c r="F1309" s="81"/>
      <c r="G1309" s="81"/>
      <c r="H1309" s="81"/>
      <c r="I1309" s="161"/>
      <c r="J1309" s="154" t="str">
        <f aca="false">IF(H1309="","",ROUNDUP(H1309*35%,0))</f>
        <v/>
      </c>
      <c r="K1309" s="113"/>
      <c r="L1309" s="113"/>
    </row>
    <row r="1310" customFormat="false" ht="12.75" hidden="false" customHeight="true" outlineLevel="0" collapsed="false">
      <c r="A1310" s="121" t="str">
        <f aca="false">IF(B1310="","",CONCATENATE(COUNTA($B$4:B1310),"."))</f>
        <v/>
      </c>
      <c r="B1310" s="112"/>
      <c r="C1310" s="112"/>
      <c r="D1310" s="81"/>
      <c r="E1310" s="81"/>
      <c r="F1310" s="81"/>
      <c r="G1310" s="81"/>
      <c r="H1310" s="81"/>
      <c r="I1310" s="161"/>
      <c r="J1310" s="154" t="str">
        <f aca="false">IF(H1310="","",ROUNDUP(H1310*35%,0))</f>
        <v/>
      </c>
      <c r="K1310" s="113"/>
      <c r="L1310" s="113"/>
    </row>
    <row r="1311" customFormat="false" ht="12.75" hidden="false" customHeight="true" outlineLevel="0" collapsed="false">
      <c r="A1311" s="121" t="str">
        <f aca="false">IF(B1311="","",CONCATENATE(COUNTA($B$4:B1311),"."))</f>
        <v/>
      </c>
      <c r="B1311" s="112"/>
      <c r="C1311" s="112"/>
      <c r="D1311" s="81"/>
      <c r="E1311" s="81"/>
      <c r="F1311" s="81"/>
      <c r="G1311" s="81"/>
      <c r="H1311" s="81"/>
      <c r="I1311" s="161"/>
      <c r="J1311" s="154" t="str">
        <f aca="false">IF(H1311="","",ROUNDUP(H1311*35%,0))</f>
        <v/>
      </c>
      <c r="K1311" s="113"/>
      <c r="L1311" s="113"/>
    </row>
    <row r="1312" customFormat="false" ht="12.75" hidden="false" customHeight="true" outlineLevel="0" collapsed="false">
      <c r="A1312" s="121" t="str">
        <f aca="false">IF(B1312="","",CONCATENATE(COUNTA($B$4:B1312),"."))</f>
        <v/>
      </c>
      <c r="B1312" s="112"/>
      <c r="C1312" s="112"/>
      <c r="D1312" s="81"/>
      <c r="E1312" s="81"/>
      <c r="F1312" s="81"/>
      <c r="G1312" s="81"/>
      <c r="H1312" s="81"/>
      <c r="I1312" s="161"/>
      <c r="J1312" s="154" t="str">
        <f aca="false">IF(H1312="","",ROUNDUP(H1312*35%,0))</f>
        <v/>
      </c>
      <c r="K1312" s="113"/>
      <c r="L1312" s="113"/>
    </row>
    <row r="1313" customFormat="false" ht="12.75" hidden="false" customHeight="true" outlineLevel="0" collapsed="false">
      <c r="A1313" s="121" t="str">
        <f aca="false">IF(B1313="","",CONCATENATE(COUNTA($B$4:B1313),"."))</f>
        <v/>
      </c>
      <c r="B1313" s="112"/>
      <c r="C1313" s="112"/>
      <c r="D1313" s="81"/>
      <c r="E1313" s="81"/>
      <c r="F1313" s="81"/>
      <c r="G1313" s="81"/>
      <c r="H1313" s="81"/>
      <c r="I1313" s="161"/>
      <c r="J1313" s="154" t="str">
        <f aca="false">IF(H1313="","",ROUNDUP(H1313*35%,0))</f>
        <v/>
      </c>
      <c r="K1313" s="113"/>
      <c r="L1313" s="113"/>
    </row>
    <row r="1314" customFormat="false" ht="12.75" hidden="false" customHeight="true" outlineLevel="0" collapsed="false">
      <c r="A1314" s="121" t="str">
        <f aca="false">IF(B1314="","",CONCATENATE(COUNTA($B$4:B1314),"."))</f>
        <v/>
      </c>
      <c r="B1314" s="112"/>
      <c r="C1314" s="112"/>
      <c r="D1314" s="81"/>
      <c r="E1314" s="81"/>
      <c r="F1314" s="81"/>
      <c r="G1314" s="81"/>
      <c r="H1314" s="81"/>
      <c r="I1314" s="161"/>
      <c r="J1314" s="154" t="str">
        <f aca="false">IF(H1314="","",ROUNDUP(H1314*35%,0))</f>
        <v/>
      </c>
      <c r="K1314" s="113"/>
      <c r="L1314" s="113"/>
    </row>
    <row r="1315" customFormat="false" ht="12.75" hidden="false" customHeight="true" outlineLevel="0" collapsed="false">
      <c r="A1315" s="121" t="str">
        <f aca="false">IF(B1315="","",CONCATENATE(COUNTA($B$4:B1315),"."))</f>
        <v/>
      </c>
      <c r="B1315" s="112"/>
      <c r="C1315" s="112"/>
      <c r="D1315" s="81"/>
      <c r="E1315" s="81"/>
      <c r="F1315" s="81"/>
      <c r="G1315" s="81"/>
      <c r="H1315" s="81"/>
      <c r="I1315" s="161"/>
      <c r="J1315" s="154" t="str">
        <f aca="false">IF(H1315="","",ROUNDUP(H1315*35%,0))</f>
        <v/>
      </c>
      <c r="K1315" s="113"/>
      <c r="L1315" s="113"/>
    </row>
    <row r="1316" customFormat="false" ht="12.75" hidden="false" customHeight="true" outlineLevel="0" collapsed="false">
      <c r="A1316" s="121" t="str">
        <f aca="false">IF(B1316="","",CONCATENATE(COUNTA($B$4:B1316),"."))</f>
        <v/>
      </c>
      <c r="B1316" s="112"/>
      <c r="C1316" s="112"/>
      <c r="D1316" s="81"/>
      <c r="E1316" s="81"/>
      <c r="F1316" s="81"/>
      <c r="G1316" s="81"/>
      <c r="H1316" s="81"/>
      <c r="I1316" s="161"/>
      <c r="J1316" s="154" t="str">
        <f aca="false">IF(H1316="","",ROUNDUP(H1316*35%,0))</f>
        <v/>
      </c>
      <c r="K1316" s="113"/>
      <c r="L1316" s="113"/>
    </row>
    <row r="1317" customFormat="false" ht="12.75" hidden="false" customHeight="true" outlineLevel="0" collapsed="false">
      <c r="A1317" s="121" t="str">
        <f aca="false">IF(B1317="","",CONCATENATE(COUNTA($B$4:B1317),"."))</f>
        <v/>
      </c>
      <c r="B1317" s="112"/>
      <c r="C1317" s="112"/>
      <c r="D1317" s="81"/>
      <c r="E1317" s="81"/>
      <c r="F1317" s="81"/>
      <c r="G1317" s="81"/>
      <c r="H1317" s="81"/>
      <c r="I1317" s="161"/>
      <c r="J1317" s="154" t="str">
        <f aca="false">IF(H1317="","",ROUNDUP(H1317*35%,0))</f>
        <v/>
      </c>
      <c r="K1317" s="113"/>
      <c r="L1317" s="113"/>
    </row>
    <row r="1318" customFormat="false" ht="12.75" hidden="false" customHeight="true" outlineLevel="0" collapsed="false">
      <c r="A1318" s="121" t="str">
        <f aca="false">IF(B1318="","",CONCATENATE(COUNTA($B$4:B1318),"."))</f>
        <v/>
      </c>
      <c r="B1318" s="112"/>
      <c r="C1318" s="112"/>
      <c r="D1318" s="81"/>
      <c r="E1318" s="81"/>
      <c r="F1318" s="81"/>
      <c r="G1318" s="81"/>
      <c r="H1318" s="81"/>
      <c r="I1318" s="161"/>
      <c r="J1318" s="154" t="str">
        <f aca="false">IF(H1318="","",ROUNDUP(H1318*35%,0))</f>
        <v/>
      </c>
      <c r="K1318" s="113"/>
      <c r="L1318" s="113"/>
    </row>
    <row r="1319" customFormat="false" ht="12.75" hidden="false" customHeight="true" outlineLevel="0" collapsed="false">
      <c r="A1319" s="121" t="str">
        <f aca="false">IF(B1319="","",CONCATENATE(COUNTA($B$4:B1319),"."))</f>
        <v/>
      </c>
      <c r="B1319" s="112"/>
      <c r="C1319" s="112"/>
      <c r="D1319" s="81"/>
      <c r="E1319" s="81"/>
      <c r="F1319" s="81"/>
      <c r="G1319" s="81"/>
      <c r="H1319" s="81"/>
      <c r="I1319" s="161"/>
      <c r="J1319" s="154" t="str">
        <f aca="false">IF(H1319="","",ROUNDUP(H1319*35%,0))</f>
        <v/>
      </c>
      <c r="K1319" s="113"/>
      <c r="L1319" s="113"/>
    </row>
    <row r="1320" customFormat="false" ht="12.75" hidden="false" customHeight="true" outlineLevel="0" collapsed="false">
      <c r="A1320" s="121" t="str">
        <f aca="false">IF(B1320="","",CONCATENATE(COUNTA($B$4:B1320),"."))</f>
        <v/>
      </c>
      <c r="B1320" s="112"/>
      <c r="C1320" s="112"/>
      <c r="D1320" s="81"/>
      <c r="E1320" s="81"/>
      <c r="F1320" s="81"/>
      <c r="G1320" s="81"/>
      <c r="H1320" s="81"/>
      <c r="I1320" s="161"/>
      <c r="J1320" s="154" t="str">
        <f aca="false">IF(H1320="","",ROUNDUP(H1320*35%,0))</f>
        <v/>
      </c>
      <c r="K1320" s="113"/>
      <c r="L1320" s="113"/>
    </row>
    <row r="1321" customFormat="false" ht="12.75" hidden="false" customHeight="true" outlineLevel="0" collapsed="false">
      <c r="A1321" s="121" t="str">
        <f aca="false">IF(B1321="","",CONCATENATE(COUNTA($B$4:B1321),"."))</f>
        <v/>
      </c>
      <c r="B1321" s="112"/>
      <c r="C1321" s="112"/>
      <c r="D1321" s="81"/>
      <c r="E1321" s="81"/>
      <c r="F1321" s="81"/>
      <c r="G1321" s="81"/>
      <c r="H1321" s="81"/>
      <c r="I1321" s="161"/>
      <c r="J1321" s="154" t="str">
        <f aca="false">IF(H1321="","",ROUNDUP(H1321*35%,0))</f>
        <v/>
      </c>
      <c r="K1321" s="113"/>
      <c r="L1321" s="113"/>
    </row>
    <row r="1322" customFormat="false" ht="12.75" hidden="false" customHeight="true" outlineLevel="0" collapsed="false">
      <c r="A1322" s="121" t="str">
        <f aca="false">IF(B1322="","",CONCATENATE(COUNTA($B$4:B1322),"."))</f>
        <v/>
      </c>
      <c r="B1322" s="112"/>
      <c r="C1322" s="112"/>
      <c r="D1322" s="81"/>
      <c r="E1322" s="81"/>
      <c r="F1322" s="81"/>
      <c r="G1322" s="81"/>
      <c r="H1322" s="81"/>
      <c r="I1322" s="161"/>
      <c r="J1322" s="154" t="str">
        <f aca="false">IF(H1322="","",ROUNDUP(H1322*35%,0))</f>
        <v/>
      </c>
      <c r="K1322" s="113"/>
      <c r="L1322" s="113"/>
    </row>
    <row r="1323" customFormat="false" ht="12.75" hidden="false" customHeight="true" outlineLevel="0" collapsed="false">
      <c r="A1323" s="121" t="str">
        <f aca="false">IF(B1323="","",CONCATENATE(COUNTA($B$4:B1323),"."))</f>
        <v/>
      </c>
      <c r="B1323" s="112"/>
      <c r="C1323" s="112"/>
      <c r="D1323" s="81"/>
      <c r="E1323" s="81"/>
      <c r="F1323" s="81"/>
      <c r="G1323" s="81"/>
      <c r="H1323" s="81"/>
      <c r="I1323" s="161"/>
      <c r="J1323" s="154" t="str">
        <f aca="false">IF(H1323="","",ROUNDUP(H1323*35%,0))</f>
        <v/>
      </c>
      <c r="K1323" s="113"/>
      <c r="L1323" s="113"/>
    </row>
    <row r="1324" customFormat="false" ht="12.75" hidden="false" customHeight="true" outlineLevel="0" collapsed="false">
      <c r="A1324" s="121" t="str">
        <f aca="false">IF(B1324="","",CONCATENATE(COUNTA($B$4:B1324),"."))</f>
        <v/>
      </c>
      <c r="B1324" s="112"/>
      <c r="C1324" s="112"/>
      <c r="D1324" s="81"/>
      <c r="E1324" s="81"/>
      <c r="F1324" s="81"/>
      <c r="G1324" s="81"/>
      <c r="H1324" s="81"/>
      <c r="I1324" s="161"/>
      <c r="J1324" s="154" t="str">
        <f aca="false">IF(H1324="","",ROUNDUP(H1324*35%,0))</f>
        <v/>
      </c>
      <c r="K1324" s="113"/>
      <c r="L1324" s="113"/>
    </row>
    <row r="1325" customFormat="false" ht="12.75" hidden="false" customHeight="true" outlineLevel="0" collapsed="false">
      <c r="A1325" s="121" t="str">
        <f aca="false">IF(B1325="","",CONCATENATE(COUNTA($B$4:B1325),"."))</f>
        <v/>
      </c>
      <c r="B1325" s="112"/>
      <c r="C1325" s="112"/>
      <c r="D1325" s="81"/>
      <c r="E1325" s="81"/>
      <c r="F1325" s="81"/>
      <c r="G1325" s="81"/>
      <c r="H1325" s="81"/>
      <c r="I1325" s="161"/>
      <c r="J1325" s="154" t="str">
        <f aca="false">IF(H1325="","",ROUNDUP(H1325*35%,0))</f>
        <v/>
      </c>
      <c r="K1325" s="113"/>
      <c r="L1325" s="113"/>
    </row>
    <row r="1326" customFormat="false" ht="12.75" hidden="false" customHeight="true" outlineLevel="0" collapsed="false">
      <c r="A1326" s="121" t="str">
        <f aca="false">IF(B1326="","",CONCATENATE(COUNTA($B$4:B1326),"."))</f>
        <v/>
      </c>
      <c r="B1326" s="112"/>
      <c r="C1326" s="112"/>
      <c r="D1326" s="81"/>
      <c r="E1326" s="81"/>
      <c r="F1326" s="81"/>
      <c r="G1326" s="81"/>
      <c r="H1326" s="81"/>
      <c r="I1326" s="161"/>
      <c r="J1326" s="154" t="str">
        <f aca="false">IF(H1326="","",ROUNDUP(H1326*35%,0))</f>
        <v/>
      </c>
      <c r="K1326" s="113"/>
      <c r="L1326" s="113"/>
    </row>
    <row r="1327" customFormat="false" ht="12.75" hidden="false" customHeight="true" outlineLevel="0" collapsed="false">
      <c r="A1327" s="121" t="str">
        <f aca="false">IF(B1327="","",CONCATENATE(COUNTA($B$4:B1327),"."))</f>
        <v/>
      </c>
      <c r="B1327" s="112"/>
      <c r="C1327" s="112"/>
      <c r="D1327" s="81"/>
      <c r="E1327" s="81"/>
      <c r="F1327" s="81"/>
      <c r="G1327" s="81"/>
      <c r="H1327" s="81"/>
      <c r="I1327" s="161"/>
      <c r="J1327" s="154" t="str">
        <f aca="false">IF(H1327="","",ROUNDUP(H1327*35%,0))</f>
        <v/>
      </c>
      <c r="K1327" s="113"/>
      <c r="L1327" s="113"/>
    </row>
    <row r="1328" customFormat="false" ht="12.75" hidden="false" customHeight="true" outlineLevel="0" collapsed="false">
      <c r="A1328" s="121" t="str">
        <f aca="false">IF(B1328="","",CONCATENATE(COUNTA($B$4:B1328),"."))</f>
        <v/>
      </c>
      <c r="B1328" s="112"/>
      <c r="C1328" s="112"/>
      <c r="D1328" s="81"/>
      <c r="E1328" s="81"/>
      <c r="F1328" s="81"/>
      <c r="G1328" s="81"/>
      <c r="H1328" s="81"/>
      <c r="I1328" s="161"/>
      <c r="J1328" s="154" t="str">
        <f aca="false">IF(H1328="","",ROUNDUP(H1328*35%,0))</f>
        <v/>
      </c>
      <c r="K1328" s="113"/>
      <c r="L1328" s="113"/>
    </row>
    <row r="1329" customFormat="false" ht="12.75" hidden="false" customHeight="true" outlineLevel="0" collapsed="false">
      <c r="A1329" s="121" t="str">
        <f aca="false">IF(B1329="","",CONCATENATE(COUNTA($B$4:B1329),"."))</f>
        <v/>
      </c>
      <c r="B1329" s="112"/>
      <c r="C1329" s="112"/>
      <c r="D1329" s="81"/>
      <c r="E1329" s="81"/>
      <c r="F1329" s="81"/>
      <c r="G1329" s="81"/>
      <c r="H1329" s="81"/>
      <c r="I1329" s="161"/>
      <c r="J1329" s="154" t="str">
        <f aca="false">IF(H1329="","",ROUNDUP(H1329*35%,0))</f>
        <v/>
      </c>
      <c r="K1329" s="113"/>
      <c r="L1329" s="113"/>
    </row>
    <row r="1330" customFormat="false" ht="12.75" hidden="false" customHeight="true" outlineLevel="0" collapsed="false">
      <c r="A1330" s="121" t="str">
        <f aca="false">IF(B1330="","",CONCATENATE(COUNTA($B$4:B1330),"."))</f>
        <v/>
      </c>
      <c r="B1330" s="112"/>
      <c r="C1330" s="112"/>
      <c r="D1330" s="81"/>
      <c r="E1330" s="81"/>
      <c r="F1330" s="81"/>
      <c r="G1330" s="81"/>
      <c r="H1330" s="81"/>
      <c r="I1330" s="161"/>
      <c r="J1330" s="154" t="str">
        <f aca="false">IF(H1330="","",ROUNDUP(H1330*35%,0))</f>
        <v/>
      </c>
      <c r="K1330" s="113"/>
      <c r="L1330" s="113"/>
    </row>
    <row r="1331" customFormat="false" ht="12.75" hidden="false" customHeight="true" outlineLevel="0" collapsed="false">
      <c r="A1331" s="121" t="str">
        <f aca="false">IF(B1331="","",CONCATENATE(COUNTA($B$4:B1331),"."))</f>
        <v/>
      </c>
      <c r="B1331" s="112"/>
      <c r="C1331" s="112"/>
      <c r="D1331" s="81"/>
      <c r="E1331" s="81"/>
      <c r="F1331" s="81"/>
      <c r="G1331" s="81"/>
      <c r="H1331" s="81"/>
      <c r="I1331" s="161"/>
      <c r="J1331" s="154" t="str">
        <f aca="false">IF(H1331="","",ROUNDUP(H1331*35%,0))</f>
        <v/>
      </c>
      <c r="K1331" s="113"/>
      <c r="L1331" s="113"/>
    </row>
    <row r="1332" customFormat="false" ht="12.75" hidden="false" customHeight="true" outlineLevel="0" collapsed="false">
      <c r="A1332" s="121" t="str">
        <f aca="false">IF(B1332="","",CONCATENATE(COUNTA($B$4:B1332),"."))</f>
        <v/>
      </c>
      <c r="B1332" s="112"/>
      <c r="C1332" s="112"/>
      <c r="D1332" s="81"/>
      <c r="E1332" s="81"/>
      <c r="F1332" s="81"/>
      <c r="G1332" s="81"/>
      <c r="H1332" s="81"/>
      <c r="I1332" s="161"/>
      <c r="J1332" s="154" t="str">
        <f aca="false">IF(H1332="","",ROUNDUP(H1332*35%,0))</f>
        <v/>
      </c>
      <c r="K1332" s="113"/>
      <c r="L1332" s="113"/>
    </row>
    <row r="1333" customFormat="false" ht="12.75" hidden="false" customHeight="true" outlineLevel="0" collapsed="false">
      <c r="A1333" s="121" t="str">
        <f aca="false">IF(B1333="","",CONCATENATE(COUNTA($B$4:B1333),"."))</f>
        <v/>
      </c>
      <c r="B1333" s="112"/>
      <c r="C1333" s="112"/>
      <c r="D1333" s="81"/>
      <c r="E1333" s="81"/>
      <c r="F1333" s="81"/>
      <c r="G1333" s="81"/>
      <c r="H1333" s="81"/>
      <c r="I1333" s="161"/>
      <c r="J1333" s="154" t="str">
        <f aca="false">IF(H1333="","",ROUNDUP(H1333*35%,0))</f>
        <v/>
      </c>
      <c r="K1333" s="113"/>
      <c r="L1333" s="113"/>
    </row>
    <row r="1334" customFormat="false" ht="12.75" hidden="false" customHeight="true" outlineLevel="0" collapsed="false">
      <c r="A1334" s="121" t="str">
        <f aca="false">IF(B1334="","",CONCATENATE(COUNTA($B$4:B1334),"."))</f>
        <v/>
      </c>
      <c r="B1334" s="112"/>
      <c r="C1334" s="112"/>
      <c r="D1334" s="81"/>
      <c r="E1334" s="81"/>
      <c r="F1334" s="81"/>
      <c r="G1334" s="81"/>
      <c r="H1334" s="81"/>
      <c r="I1334" s="161"/>
      <c r="J1334" s="154" t="str">
        <f aca="false">IF(H1334="","",ROUNDUP(H1334*35%,0))</f>
        <v/>
      </c>
      <c r="K1334" s="113"/>
      <c r="L1334" s="113"/>
    </row>
    <row r="1335" customFormat="false" ht="12.75" hidden="false" customHeight="true" outlineLevel="0" collapsed="false">
      <c r="A1335" s="121" t="str">
        <f aca="false">IF(B1335="","",CONCATENATE(COUNTA($B$4:B1335),"."))</f>
        <v/>
      </c>
      <c r="B1335" s="112"/>
      <c r="C1335" s="112"/>
      <c r="D1335" s="81"/>
      <c r="E1335" s="81"/>
      <c r="F1335" s="81"/>
      <c r="G1335" s="81"/>
      <c r="H1335" s="81"/>
      <c r="I1335" s="161"/>
      <c r="J1335" s="154" t="str">
        <f aca="false">IF(H1335="","",ROUNDUP(H1335*35%,0))</f>
        <v/>
      </c>
      <c r="K1335" s="113"/>
      <c r="L1335" s="113"/>
    </row>
    <row r="1336" customFormat="false" ht="12.75" hidden="false" customHeight="true" outlineLevel="0" collapsed="false">
      <c r="A1336" s="121" t="str">
        <f aca="false">IF(B1336="","",CONCATENATE(COUNTA($B$4:B1336),"."))</f>
        <v/>
      </c>
      <c r="B1336" s="112"/>
      <c r="C1336" s="112"/>
      <c r="D1336" s="81"/>
      <c r="E1336" s="81"/>
      <c r="F1336" s="81"/>
      <c r="G1336" s="81"/>
      <c r="H1336" s="81"/>
      <c r="I1336" s="161"/>
      <c r="J1336" s="154" t="str">
        <f aca="false">IF(H1336="","",ROUNDUP(H1336*35%,0))</f>
        <v/>
      </c>
      <c r="K1336" s="113"/>
      <c r="L1336" s="113"/>
    </row>
    <row r="1337" customFormat="false" ht="12.75" hidden="false" customHeight="true" outlineLevel="0" collapsed="false">
      <c r="A1337" s="121" t="str">
        <f aca="false">IF(B1337="","",CONCATENATE(COUNTA($B$4:B1337),"."))</f>
        <v/>
      </c>
      <c r="B1337" s="112"/>
      <c r="C1337" s="112"/>
      <c r="D1337" s="81"/>
      <c r="E1337" s="81"/>
      <c r="F1337" s="81"/>
      <c r="G1337" s="81"/>
      <c r="H1337" s="81"/>
      <c r="I1337" s="161"/>
      <c r="J1337" s="154" t="str">
        <f aca="false">IF(H1337="","",ROUNDUP(H1337*35%,0))</f>
        <v/>
      </c>
      <c r="K1337" s="113"/>
      <c r="L1337" s="113"/>
    </row>
    <row r="1338" customFormat="false" ht="12.75" hidden="false" customHeight="true" outlineLevel="0" collapsed="false">
      <c r="A1338" s="121" t="str">
        <f aca="false">IF(B1338="","",CONCATENATE(COUNTA($B$4:B1338),"."))</f>
        <v/>
      </c>
      <c r="B1338" s="112"/>
      <c r="C1338" s="112"/>
      <c r="D1338" s="81"/>
      <c r="E1338" s="81"/>
      <c r="F1338" s="81"/>
      <c r="G1338" s="81"/>
      <c r="H1338" s="81"/>
      <c r="I1338" s="161"/>
      <c r="J1338" s="154" t="str">
        <f aca="false">IF(H1338="","",ROUNDUP(H1338*35%,0))</f>
        <v/>
      </c>
      <c r="K1338" s="113"/>
      <c r="L1338" s="113"/>
    </row>
    <row r="1339" customFormat="false" ht="12.75" hidden="false" customHeight="true" outlineLevel="0" collapsed="false">
      <c r="A1339" s="121" t="str">
        <f aca="false">IF(B1339="","",CONCATENATE(COUNTA($B$4:B1339),"."))</f>
        <v/>
      </c>
      <c r="B1339" s="112"/>
      <c r="C1339" s="112"/>
      <c r="D1339" s="81"/>
      <c r="E1339" s="81"/>
      <c r="F1339" s="81"/>
      <c r="G1339" s="81"/>
      <c r="H1339" s="81"/>
      <c r="I1339" s="161"/>
      <c r="J1339" s="154" t="str">
        <f aca="false">IF(H1339="","",ROUNDUP(H1339*35%,0))</f>
        <v/>
      </c>
      <c r="K1339" s="113"/>
      <c r="L1339" s="113"/>
    </row>
    <row r="1340" customFormat="false" ht="12.75" hidden="false" customHeight="true" outlineLevel="0" collapsed="false">
      <c r="A1340" s="121" t="str">
        <f aca="false">IF(B1340="","",CONCATENATE(COUNTA($B$4:B1340),"."))</f>
        <v/>
      </c>
      <c r="B1340" s="112"/>
      <c r="C1340" s="112"/>
      <c r="D1340" s="81"/>
      <c r="E1340" s="81"/>
      <c r="F1340" s="81"/>
      <c r="G1340" s="81"/>
      <c r="H1340" s="81"/>
      <c r="I1340" s="161"/>
      <c r="J1340" s="154" t="str">
        <f aca="false">IF(H1340="","",ROUNDUP(H1340*35%,0))</f>
        <v/>
      </c>
      <c r="K1340" s="113"/>
      <c r="L1340" s="113"/>
    </row>
    <row r="1341" customFormat="false" ht="12.75" hidden="false" customHeight="true" outlineLevel="0" collapsed="false">
      <c r="A1341" s="121" t="str">
        <f aca="false">IF(B1341="","",CONCATENATE(COUNTA($B$4:B1341),"."))</f>
        <v/>
      </c>
      <c r="B1341" s="112"/>
      <c r="C1341" s="112"/>
      <c r="D1341" s="81"/>
      <c r="E1341" s="81"/>
      <c r="F1341" s="81"/>
      <c r="G1341" s="81"/>
      <c r="H1341" s="81"/>
      <c r="I1341" s="161"/>
      <c r="J1341" s="154" t="str">
        <f aca="false">IF(H1341="","",ROUNDUP(H1341*35%,0))</f>
        <v/>
      </c>
      <c r="K1341" s="113"/>
      <c r="L1341" s="113"/>
    </row>
    <row r="1342" customFormat="false" ht="12.75" hidden="false" customHeight="true" outlineLevel="0" collapsed="false">
      <c r="A1342" s="121" t="str">
        <f aca="false">IF(B1342="","",CONCATENATE(COUNTA($B$4:B1342),"."))</f>
        <v/>
      </c>
      <c r="B1342" s="112"/>
      <c r="C1342" s="112"/>
      <c r="D1342" s="81"/>
      <c r="E1342" s="81"/>
      <c r="F1342" s="81"/>
      <c r="G1342" s="81"/>
      <c r="H1342" s="81"/>
      <c r="I1342" s="161"/>
      <c r="J1342" s="154" t="str">
        <f aca="false">IF(H1342="","",ROUNDUP(H1342*35%,0))</f>
        <v/>
      </c>
      <c r="K1342" s="113"/>
      <c r="L1342" s="113"/>
    </row>
    <row r="1343" customFormat="false" ht="12.75" hidden="false" customHeight="true" outlineLevel="0" collapsed="false">
      <c r="A1343" s="121" t="str">
        <f aca="false">IF(B1343="","",CONCATENATE(COUNTA($B$4:B1343),"."))</f>
        <v/>
      </c>
      <c r="B1343" s="112"/>
      <c r="C1343" s="112"/>
      <c r="D1343" s="81"/>
      <c r="E1343" s="81"/>
      <c r="F1343" s="81"/>
      <c r="G1343" s="81"/>
      <c r="H1343" s="81"/>
      <c r="I1343" s="161"/>
      <c r="J1343" s="154" t="str">
        <f aca="false">IF(H1343="","",ROUNDUP(H1343*35%,0))</f>
        <v/>
      </c>
      <c r="K1343" s="113"/>
      <c r="L1343" s="113"/>
    </row>
    <row r="1344" customFormat="false" ht="12.75" hidden="false" customHeight="true" outlineLevel="0" collapsed="false">
      <c r="A1344" s="121" t="str">
        <f aca="false">IF(B1344="","",CONCATENATE(COUNTA($B$4:B1344),"."))</f>
        <v/>
      </c>
      <c r="B1344" s="112"/>
      <c r="C1344" s="112"/>
      <c r="D1344" s="81"/>
      <c r="E1344" s="81"/>
      <c r="F1344" s="81"/>
      <c r="G1344" s="81"/>
      <c r="H1344" s="81"/>
      <c r="I1344" s="161"/>
      <c r="J1344" s="154" t="str">
        <f aca="false">IF(H1344="","",ROUNDUP(H1344*35%,0))</f>
        <v/>
      </c>
      <c r="K1344" s="113"/>
      <c r="L1344" s="113"/>
    </row>
    <row r="1345" customFormat="false" ht="12.75" hidden="false" customHeight="true" outlineLevel="0" collapsed="false">
      <c r="A1345" s="121" t="str">
        <f aca="false">IF(B1345="","",CONCATENATE(COUNTA($B$4:B1345),"."))</f>
        <v/>
      </c>
      <c r="B1345" s="112"/>
      <c r="C1345" s="112"/>
      <c r="D1345" s="81"/>
      <c r="E1345" s="81"/>
      <c r="F1345" s="81"/>
      <c r="G1345" s="81"/>
      <c r="H1345" s="81"/>
      <c r="I1345" s="161"/>
      <c r="J1345" s="154" t="str">
        <f aca="false">IF(H1345="","",ROUNDUP(H1345*35%,0))</f>
        <v/>
      </c>
      <c r="K1345" s="113"/>
      <c r="L1345" s="113"/>
    </row>
    <row r="1346" customFormat="false" ht="12.75" hidden="false" customHeight="true" outlineLevel="0" collapsed="false">
      <c r="A1346" s="121" t="str">
        <f aca="false">IF(B1346="","",CONCATENATE(COUNTA($B$4:B1346),"."))</f>
        <v/>
      </c>
      <c r="B1346" s="112"/>
      <c r="C1346" s="112"/>
      <c r="D1346" s="81"/>
      <c r="E1346" s="81"/>
      <c r="F1346" s="81"/>
      <c r="G1346" s="81"/>
      <c r="H1346" s="81"/>
      <c r="I1346" s="161"/>
      <c r="J1346" s="154" t="str">
        <f aca="false">IF(H1346="","",ROUNDUP(H1346*35%,0))</f>
        <v/>
      </c>
      <c r="K1346" s="113"/>
      <c r="L1346" s="113"/>
    </row>
    <row r="1347" customFormat="false" ht="12.75" hidden="false" customHeight="true" outlineLevel="0" collapsed="false">
      <c r="A1347" s="121" t="str">
        <f aca="false">IF(B1347="","",CONCATENATE(COUNTA($B$4:B1347),"."))</f>
        <v/>
      </c>
      <c r="B1347" s="112"/>
      <c r="C1347" s="112"/>
      <c r="D1347" s="81"/>
      <c r="E1347" s="81"/>
      <c r="F1347" s="81"/>
      <c r="G1347" s="81"/>
      <c r="H1347" s="81"/>
      <c r="I1347" s="161"/>
      <c r="J1347" s="154" t="str">
        <f aca="false">IF(H1347="","",ROUNDUP(H1347*35%,0))</f>
        <v/>
      </c>
      <c r="K1347" s="113"/>
      <c r="L1347" s="113"/>
    </row>
    <row r="1348" customFormat="false" ht="12.75" hidden="false" customHeight="true" outlineLevel="0" collapsed="false">
      <c r="A1348" s="121" t="str">
        <f aca="false">IF(B1348="","",CONCATENATE(COUNTA($B$4:B1348),"."))</f>
        <v/>
      </c>
      <c r="B1348" s="112"/>
      <c r="C1348" s="112"/>
      <c r="D1348" s="81"/>
      <c r="E1348" s="81"/>
      <c r="F1348" s="81"/>
      <c r="G1348" s="81"/>
      <c r="H1348" s="81"/>
      <c r="I1348" s="161"/>
      <c r="J1348" s="154" t="str">
        <f aca="false">IF(H1348="","",ROUNDUP(H1348*35%,0))</f>
        <v/>
      </c>
      <c r="K1348" s="113"/>
      <c r="L1348" s="113"/>
    </row>
    <row r="1349" customFormat="false" ht="12.75" hidden="false" customHeight="true" outlineLevel="0" collapsed="false">
      <c r="A1349" s="121" t="str">
        <f aca="false">IF(B1349="","",CONCATENATE(COUNTA($B$4:B1349),"."))</f>
        <v/>
      </c>
      <c r="B1349" s="112"/>
      <c r="C1349" s="112"/>
      <c r="D1349" s="81"/>
      <c r="E1349" s="81"/>
      <c r="F1349" s="81"/>
      <c r="G1349" s="81"/>
      <c r="H1349" s="81"/>
      <c r="I1349" s="161"/>
      <c r="J1349" s="154" t="str">
        <f aca="false">IF(H1349="","",ROUNDUP(H1349*35%,0))</f>
        <v/>
      </c>
      <c r="K1349" s="113"/>
      <c r="L1349" s="113"/>
    </row>
    <row r="1350" customFormat="false" ht="12.75" hidden="false" customHeight="true" outlineLevel="0" collapsed="false">
      <c r="A1350" s="121" t="str">
        <f aca="false">IF(B1350="","",CONCATENATE(COUNTA($B$4:B1350),"."))</f>
        <v/>
      </c>
      <c r="B1350" s="112"/>
      <c r="C1350" s="112"/>
      <c r="D1350" s="81"/>
      <c r="E1350" s="81"/>
      <c r="F1350" s="81"/>
      <c r="G1350" s="81"/>
      <c r="H1350" s="81"/>
      <c r="I1350" s="161"/>
      <c r="J1350" s="154" t="str">
        <f aca="false">IF(H1350="","",ROUNDUP(H1350*35%,0))</f>
        <v/>
      </c>
      <c r="K1350" s="113"/>
      <c r="L1350" s="113"/>
    </row>
    <row r="1351" customFormat="false" ht="12.75" hidden="false" customHeight="true" outlineLevel="0" collapsed="false">
      <c r="A1351" s="121" t="str">
        <f aca="false">IF(B1351="","",CONCATENATE(COUNTA($B$4:B1351),"."))</f>
        <v/>
      </c>
      <c r="B1351" s="112"/>
      <c r="C1351" s="112"/>
      <c r="D1351" s="81"/>
      <c r="E1351" s="81"/>
      <c r="F1351" s="81"/>
      <c r="G1351" s="81"/>
      <c r="H1351" s="81"/>
      <c r="I1351" s="161"/>
      <c r="J1351" s="154" t="str">
        <f aca="false">IF(H1351="","",ROUNDUP(H1351*35%,0))</f>
        <v/>
      </c>
      <c r="K1351" s="113"/>
      <c r="L1351" s="113"/>
    </row>
    <row r="1352" customFormat="false" ht="12.75" hidden="false" customHeight="true" outlineLevel="0" collapsed="false">
      <c r="A1352" s="121" t="str">
        <f aca="false">IF(B1352="","",CONCATENATE(COUNTA($B$4:B1352),"."))</f>
        <v/>
      </c>
      <c r="B1352" s="112"/>
      <c r="C1352" s="112"/>
      <c r="D1352" s="81"/>
      <c r="E1352" s="81"/>
      <c r="F1352" s="81"/>
      <c r="G1352" s="81"/>
      <c r="H1352" s="81"/>
      <c r="I1352" s="161"/>
      <c r="J1352" s="154" t="str">
        <f aca="false">IF(H1352="","",ROUNDUP(H1352*35%,0))</f>
        <v/>
      </c>
      <c r="K1352" s="113"/>
      <c r="L1352" s="113"/>
    </row>
    <row r="1353" customFormat="false" ht="12.75" hidden="false" customHeight="true" outlineLevel="0" collapsed="false">
      <c r="A1353" s="121" t="str">
        <f aca="false">IF(B1353="","",CONCATENATE(COUNTA($B$4:B1353),"."))</f>
        <v/>
      </c>
      <c r="B1353" s="112"/>
      <c r="C1353" s="112"/>
      <c r="D1353" s="81"/>
      <c r="E1353" s="81"/>
      <c r="F1353" s="81"/>
      <c r="G1353" s="81"/>
      <c r="H1353" s="81"/>
      <c r="I1353" s="161"/>
      <c r="J1353" s="154" t="str">
        <f aca="false">IF(H1353="","",ROUNDUP(H1353*35%,0))</f>
        <v/>
      </c>
      <c r="K1353" s="113"/>
      <c r="L1353" s="113"/>
    </row>
    <row r="1354" customFormat="false" ht="12.75" hidden="false" customHeight="true" outlineLevel="0" collapsed="false">
      <c r="A1354" s="121" t="str">
        <f aca="false">IF(B1354="","",CONCATENATE(COUNTA($B$4:B1354),"."))</f>
        <v/>
      </c>
      <c r="B1354" s="112"/>
      <c r="C1354" s="112"/>
      <c r="D1354" s="81"/>
      <c r="E1354" s="81"/>
      <c r="F1354" s="81"/>
      <c r="G1354" s="81"/>
      <c r="H1354" s="81"/>
      <c r="I1354" s="161"/>
      <c r="J1354" s="154" t="str">
        <f aca="false">IF(H1354="","",ROUNDUP(H1354*35%,0))</f>
        <v/>
      </c>
      <c r="K1354" s="113"/>
      <c r="L1354" s="113"/>
    </row>
    <row r="1355" customFormat="false" ht="12.75" hidden="false" customHeight="true" outlineLevel="0" collapsed="false">
      <c r="A1355" s="121" t="str">
        <f aca="false">IF(B1355="","",CONCATENATE(COUNTA($B$4:B1355),"."))</f>
        <v/>
      </c>
      <c r="B1355" s="112"/>
      <c r="C1355" s="112"/>
      <c r="D1355" s="81"/>
      <c r="E1355" s="81"/>
      <c r="F1355" s="81"/>
      <c r="G1355" s="81"/>
      <c r="H1355" s="81"/>
      <c r="I1355" s="161"/>
      <c r="J1355" s="154" t="str">
        <f aca="false">IF(H1355="","",ROUNDUP(H1355*35%,0))</f>
        <v/>
      </c>
      <c r="K1355" s="113"/>
      <c r="L1355" s="113"/>
    </row>
    <row r="1356" customFormat="false" ht="12.75" hidden="false" customHeight="true" outlineLevel="0" collapsed="false">
      <c r="A1356" s="121" t="str">
        <f aca="false">IF(B1356="","",CONCATENATE(COUNTA($B$4:B1356),"."))</f>
        <v/>
      </c>
      <c r="B1356" s="112"/>
      <c r="C1356" s="112"/>
      <c r="D1356" s="81"/>
      <c r="E1356" s="81"/>
      <c r="F1356" s="81"/>
      <c r="G1356" s="81"/>
      <c r="H1356" s="81"/>
      <c r="I1356" s="161"/>
      <c r="J1356" s="154" t="str">
        <f aca="false">IF(H1356="","",ROUNDUP(H1356*35%,0))</f>
        <v/>
      </c>
      <c r="K1356" s="113"/>
      <c r="L1356" s="113"/>
    </row>
    <row r="1357" customFormat="false" ht="12.75" hidden="false" customHeight="true" outlineLevel="0" collapsed="false">
      <c r="A1357" s="121" t="str">
        <f aca="false">IF(B1357="","",CONCATENATE(COUNTA($B$4:B1357),"."))</f>
        <v/>
      </c>
      <c r="B1357" s="112"/>
      <c r="C1357" s="112"/>
      <c r="D1357" s="81"/>
      <c r="E1357" s="81"/>
      <c r="F1357" s="81"/>
      <c r="G1357" s="81"/>
      <c r="H1357" s="81"/>
      <c r="I1357" s="161"/>
      <c r="J1357" s="154" t="str">
        <f aca="false">IF(H1357="","",ROUNDUP(H1357*35%,0))</f>
        <v/>
      </c>
      <c r="K1357" s="113"/>
      <c r="L1357" s="113"/>
    </row>
    <row r="1358" customFormat="false" ht="12.75" hidden="false" customHeight="true" outlineLevel="0" collapsed="false">
      <c r="A1358" s="121" t="str">
        <f aca="false">IF(B1358="","",CONCATENATE(COUNTA($B$4:B1358),"."))</f>
        <v/>
      </c>
      <c r="B1358" s="112"/>
      <c r="C1358" s="112"/>
      <c r="D1358" s="81"/>
      <c r="E1358" s="81"/>
      <c r="F1358" s="81"/>
      <c r="G1358" s="81"/>
      <c r="H1358" s="81"/>
      <c r="I1358" s="161"/>
      <c r="J1358" s="154" t="str">
        <f aca="false">IF(H1358="","",ROUNDUP(H1358*35%,0))</f>
        <v/>
      </c>
      <c r="K1358" s="113"/>
      <c r="L1358" s="113"/>
    </row>
    <row r="1359" customFormat="false" ht="12.75" hidden="false" customHeight="true" outlineLevel="0" collapsed="false">
      <c r="A1359" s="121" t="str">
        <f aca="false">IF(B1359="","",CONCATENATE(COUNTA($B$4:B1359),"."))</f>
        <v/>
      </c>
      <c r="B1359" s="112"/>
      <c r="C1359" s="112"/>
      <c r="D1359" s="81"/>
      <c r="E1359" s="81"/>
      <c r="F1359" s="81"/>
      <c r="G1359" s="81"/>
      <c r="H1359" s="81"/>
      <c r="I1359" s="161"/>
      <c r="J1359" s="154" t="str">
        <f aca="false">IF(H1359="","",ROUNDUP(H1359*35%,0))</f>
        <v/>
      </c>
      <c r="K1359" s="113"/>
      <c r="L1359" s="113"/>
    </row>
    <row r="1360" customFormat="false" ht="12.75" hidden="false" customHeight="true" outlineLevel="0" collapsed="false">
      <c r="A1360" s="121" t="str">
        <f aca="false">IF(B1360="","",CONCATENATE(COUNTA($B$4:B1360),"."))</f>
        <v/>
      </c>
      <c r="B1360" s="112"/>
      <c r="C1360" s="112"/>
      <c r="D1360" s="81"/>
      <c r="E1360" s="81"/>
      <c r="F1360" s="81"/>
      <c r="G1360" s="81"/>
      <c r="H1360" s="81"/>
      <c r="I1360" s="161"/>
      <c r="J1360" s="154" t="str">
        <f aca="false">IF(H1360="","",ROUNDUP(H1360*35%,0))</f>
        <v/>
      </c>
      <c r="K1360" s="113"/>
      <c r="L1360" s="113"/>
    </row>
    <row r="1361" customFormat="false" ht="12.75" hidden="false" customHeight="true" outlineLevel="0" collapsed="false">
      <c r="A1361" s="121" t="str">
        <f aca="false">IF(B1361="","",CONCATENATE(COUNTA($B$4:B1361),"."))</f>
        <v/>
      </c>
      <c r="B1361" s="112"/>
      <c r="C1361" s="112"/>
      <c r="D1361" s="81"/>
      <c r="E1361" s="81"/>
      <c r="F1361" s="81"/>
      <c r="G1361" s="81"/>
      <c r="H1361" s="81"/>
      <c r="I1361" s="161"/>
      <c r="J1361" s="154" t="str">
        <f aca="false">IF(H1361="","",ROUNDUP(H1361*35%,0))</f>
        <v/>
      </c>
      <c r="K1361" s="113"/>
      <c r="L1361" s="113"/>
    </row>
    <row r="1362" customFormat="false" ht="12.75" hidden="false" customHeight="true" outlineLevel="0" collapsed="false">
      <c r="A1362" s="121" t="str">
        <f aca="false">IF(B1362="","",CONCATENATE(COUNTA($B$4:B1362),"."))</f>
        <v/>
      </c>
      <c r="B1362" s="112"/>
      <c r="C1362" s="112"/>
      <c r="D1362" s="81"/>
      <c r="E1362" s="81"/>
      <c r="F1362" s="81"/>
      <c r="G1362" s="81"/>
      <c r="H1362" s="81"/>
      <c r="I1362" s="161"/>
      <c r="J1362" s="154" t="str">
        <f aca="false">IF(H1362="","",ROUNDUP(H1362*35%,0))</f>
        <v/>
      </c>
      <c r="K1362" s="113"/>
      <c r="L1362" s="113"/>
    </row>
    <row r="1363" customFormat="false" ht="12.75" hidden="false" customHeight="true" outlineLevel="0" collapsed="false">
      <c r="A1363" s="121" t="str">
        <f aca="false">IF(B1363="","",CONCATENATE(COUNTA($B$4:B1363),"."))</f>
        <v/>
      </c>
      <c r="B1363" s="112"/>
      <c r="C1363" s="112"/>
      <c r="D1363" s="81"/>
      <c r="E1363" s="81"/>
      <c r="F1363" s="81"/>
      <c r="G1363" s="81"/>
      <c r="H1363" s="81"/>
      <c r="I1363" s="161"/>
      <c r="J1363" s="154" t="str">
        <f aca="false">IF(H1363="","",ROUNDUP(H1363*35%,0))</f>
        <v/>
      </c>
      <c r="K1363" s="113"/>
      <c r="L1363" s="113"/>
    </row>
    <row r="1364" customFormat="false" ht="12.75" hidden="false" customHeight="true" outlineLevel="0" collapsed="false">
      <c r="A1364" s="121" t="str">
        <f aca="false">IF(B1364="","",CONCATENATE(COUNTA($B$4:B1364),"."))</f>
        <v/>
      </c>
      <c r="B1364" s="112"/>
      <c r="C1364" s="112"/>
      <c r="D1364" s="81"/>
      <c r="E1364" s="81"/>
      <c r="F1364" s="81"/>
      <c r="G1364" s="81"/>
      <c r="H1364" s="81"/>
      <c r="I1364" s="161"/>
      <c r="J1364" s="154" t="str">
        <f aca="false">IF(H1364="","",ROUNDUP(H1364*35%,0))</f>
        <v/>
      </c>
      <c r="K1364" s="113"/>
      <c r="L1364" s="113"/>
    </row>
    <row r="1365" customFormat="false" ht="12.75" hidden="false" customHeight="true" outlineLevel="0" collapsed="false">
      <c r="A1365" s="121" t="str">
        <f aca="false">IF(B1365="","",CONCATENATE(COUNTA($B$4:B1365),"."))</f>
        <v/>
      </c>
      <c r="B1365" s="112"/>
      <c r="C1365" s="112"/>
      <c r="D1365" s="81"/>
      <c r="E1365" s="81"/>
      <c r="F1365" s="81"/>
      <c r="G1365" s="81"/>
      <c r="H1365" s="81"/>
      <c r="I1365" s="161"/>
      <c r="J1365" s="154" t="str">
        <f aca="false">IF(H1365="","",ROUNDUP(H1365*35%,0))</f>
        <v/>
      </c>
      <c r="K1365" s="113"/>
      <c r="L1365" s="113"/>
    </row>
    <row r="1366" customFormat="false" ht="12.75" hidden="false" customHeight="true" outlineLevel="0" collapsed="false">
      <c r="A1366" s="121" t="str">
        <f aca="false">IF(B1366="","",CONCATENATE(COUNTA($B$4:B1366),"."))</f>
        <v/>
      </c>
      <c r="B1366" s="112"/>
      <c r="C1366" s="112"/>
      <c r="D1366" s="81"/>
      <c r="E1366" s="81"/>
      <c r="F1366" s="81"/>
      <c r="G1366" s="81"/>
      <c r="H1366" s="81"/>
      <c r="I1366" s="161"/>
      <c r="J1366" s="154" t="str">
        <f aca="false">IF(H1366="","",ROUNDUP(H1366*35%,0))</f>
        <v/>
      </c>
      <c r="K1366" s="113"/>
      <c r="L1366" s="113"/>
    </row>
    <row r="1367" customFormat="false" ht="12.75" hidden="false" customHeight="true" outlineLevel="0" collapsed="false">
      <c r="A1367" s="121" t="str">
        <f aca="false">IF(B1367="","",CONCATENATE(COUNTA($B$4:B1367),"."))</f>
        <v/>
      </c>
      <c r="B1367" s="112"/>
      <c r="C1367" s="112"/>
      <c r="D1367" s="81"/>
      <c r="E1367" s="81"/>
      <c r="F1367" s="81"/>
      <c r="G1367" s="81"/>
      <c r="H1367" s="81"/>
      <c r="I1367" s="161"/>
      <c r="J1367" s="154" t="str">
        <f aca="false">IF(H1367="","",ROUNDUP(H1367*35%,0))</f>
        <v/>
      </c>
      <c r="K1367" s="113"/>
      <c r="L1367" s="113"/>
    </row>
    <row r="1368" customFormat="false" ht="12.75" hidden="false" customHeight="true" outlineLevel="0" collapsed="false">
      <c r="A1368" s="121" t="str">
        <f aca="false">IF(B1368="","",CONCATENATE(COUNTA($B$4:B1368),"."))</f>
        <v/>
      </c>
      <c r="B1368" s="112"/>
      <c r="C1368" s="112"/>
      <c r="D1368" s="81"/>
      <c r="E1368" s="81"/>
      <c r="F1368" s="81"/>
      <c r="G1368" s="81"/>
      <c r="H1368" s="81"/>
      <c r="I1368" s="161"/>
      <c r="J1368" s="154" t="str">
        <f aca="false">IF(H1368="","",ROUNDUP(H1368*35%,0))</f>
        <v/>
      </c>
      <c r="K1368" s="113"/>
      <c r="L1368" s="113"/>
    </row>
    <row r="1369" customFormat="false" ht="12.75" hidden="false" customHeight="true" outlineLevel="0" collapsed="false">
      <c r="A1369" s="121" t="str">
        <f aca="false">IF(B1369="","",CONCATENATE(COUNTA($B$4:B1369),"."))</f>
        <v/>
      </c>
      <c r="B1369" s="112"/>
      <c r="C1369" s="112"/>
      <c r="D1369" s="81"/>
      <c r="E1369" s="81"/>
      <c r="F1369" s="81"/>
      <c r="G1369" s="81"/>
      <c r="H1369" s="81"/>
      <c r="I1369" s="161"/>
      <c r="J1369" s="154" t="str">
        <f aca="false">IF(H1369="","",ROUNDUP(H1369*35%,0))</f>
        <v/>
      </c>
      <c r="K1369" s="113"/>
      <c r="L1369" s="113"/>
    </row>
    <row r="1370" customFormat="false" ht="12.75" hidden="false" customHeight="true" outlineLevel="0" collapsed="false">
      <c r="A1370" s="121" t="str">
        <f aca="false">IF(B1370="","",CONCATENATE(COUNTA($B$4:B1370),"."))</f>
        <v/>
      </c>
      <c r="B1370" s="112"/>
      <c r="C1370" s="112"/>
      <c r="D1370" s="81"/>
      <c r="E1370" s="81"/>
      <c r="F1370" s="81"/>
      <c r="G1370" s="81"/>
      <c r="H1370" s="81"/>
      <c r="I1370" s="161"/>
      <c r="J1370" s="154" t="str">
        <f aca="false">IF(H1370="","",ROUNDUP(H1370*35%,0))</f>
        <v/>
      </c>
      <c r="K1370" s="113"/>
      <c r="L1370" s="113"/>
    </row>
    <row r="1371" customFormat="false" ht="12.75" hidden="false" customHeight="true" outlineLevel="0" collapsed="false">
      <c r="A1371" s="121" t="str">
        <f aca="false">IF(B1371="","",CONCATENATE(COUNTA($B$4:B1371),"."))</f>
        <v/>
      </c>
      <c r="B1371" s="112"/>
      <c r="C1371" s="112"/>
      <c r="D1371" s="81"/>
      <c r="E1371" s="81"/>
      <c r="F1371" s="81"/>
      <c r="G1371" s="81"/>
      <c r="H1371" s="81"/>
      <c r="I1371" s="161"/>
      <c r="J1371" s="154" t="str">
        <f aca="false">IF(H1371="","",ROUNDUP(H1371*35%,0))</f>
        <v/>
      </c>
      <c r="K1371" s="113"/>
      <c r="L1371" s="113"/>
    </row>
    <row r="1372" customFormat="false" ht="12.75" hidden="false" customHeight="true" outlineLevel="0" collapsed="false">
      <c r="A1372" s="121" t="str">
        <f aca="false">IF(B1372="","",CONCATENATE(COUNTA($B$4:B1372),"."))</f>
        <v/>
      </c>
      <c r="B1372" s="112"/>
      <c r="C1372" s="112"/>
      <c r="D1372" s="81"/>
      <c r="E1372" s="81"/>
      <c r="F1372" s="81"/>
      <c r="G1372" s="81"/>
      <c r="H1372" s="81"/>
      <c r="I1372" s="161"/>
      <c r="J1372" s="154" t="str">
        <f aca="false">IF(H1372="","",ROUNDUP(H1372*35%,0))</f>
        <v/>
      </c>
      <c r="K1372" s="113"/>
      <c r="L1372" s="113"/>
    </row>
    <row r="1373" customFormat="false" ht="12.75" hidden="false" customHeight="true" outlineLevel="0" collapsed="false">
      <c r="A1373" s="121" t="str">
        <f aca="false">IF(B1373="","",CONCATENATE(COUNTA($B$4:B1373),"."))</f>
        <v/>
      </c>
      <c r="B1373" s="112"/>
      <c r="C1373" s="112"/>
      <c r="D1373" s="81"/>
      <c r="E1373" s="81"/>
      <c r="F1373" s="81"/>
      <c r="G1373" s="81"/>
      <c r="H1373" s="81"/>
      <c r="I1373" s="161"/>
      <c r="J1373" s="154" t="str">
        <f aca="false">IF(H1373="","",ROUNDUP(H1373*35%,0))</f>
        <v/>
      </c>
      <c r="K1373" s="113"/>
      <c r="L1373" s="113"/>
    </row>
    <row r="1374" customFormat="false" ht="12.75" hidden="false" customHeight="true" outlineLevel="0" collapsed="false">
      <c r="A1374" s="121" t="str">
        <f aca="false">IF(B1374="","",CONCATENATE(COUNTA($B$4:B1374),"."))</f>
        <v/>
      </c>
      <c r="B1374" s="112"/>
      <c r="C1374" s="112"/>
      <c r="D1374" s="81"/>
      <c r="E1374" s="81"/>
      <c r="F1374" s="81"/>
      <c r="G1374" s="81"/>
      <c r="H1374" s="81"/>
      <c r="I1374" s="161"/>
      <c r="J1374" s="154" t="str">
        <f aca="false">IF(H1374="","",ROUNDUP(H1374*35%,0))</f>
        <v/>
      </c>
      <c r="K1374" s="113"/>
      <c r="L1374" s="113"/>
    </row>
    <row r="1375" customFormat="false" ht="12.75" hidden="false" customHeight="true" outlineLevel="0" collapsed="false">
      <c r="A1375" s="121" t="str">
        <f aca="false">IF(B1375="","",CONCATENATE(COUNTA($B$4:B1375),"."))</f>
        <v/>
      </c>
      <c r="B1375" s="112"/>
      <c r="C1375" s="112"/>
      <c r="D1375" s="81"/>
      <c r="E1375" s="81"/>
      <c r="F1375" s="81"/>
      <c r="G1375" s="81"/>
      <c r="H1375" s="81"/>
      <c r="I1375" s="161"/>
      <c r="J1375" s="154" t="str">
        <f aca="false">IF(H1375="","",ROUNDUP(H1375*35%,0))</f>
        <v/>
      </c>
      <c r="K1375" s="113"/>
      <c r="L1375" s="113"/>
    </row>
    <row r="1376" customFormat="false" ht="12.75" hidden="false" customHeight="true" outlineLevel="0" collapsed="false">
      <c r="A1376" s="121" t="str">
        <f aca="false">IF(B1376="","",CONCATENATE(COUNTA($B$4:B1376),"."))</f>
        <v/>
      </c>
      <c r="B1376" s="112"/>
      <c r="C1376" s="112"/>
      <c r="D1376" s="81"/>
      <c r="E1376" s="81"/>
      <c r="F1376" s="81"/>
      <c r="G1376" s="81"/>
      <c r="H1376" s="81"/>
      <c r="I1376" s="161"/>
      <c r="J1376" s="154" t="str">
        <f aca="false">IF(H1376="","",ROUNDUP(H1376*35%,0))</f>
        <v/>
      </c>
      <c r="K1376" s="113"/>
      <c r="L1376" s="113"/>
    </row>
    <row r="1377" customFormat="false" ht="12.75" hidden="false" customHeight="true" outlineLevel="0" collapsed="false">
      <c r="A1377" s="121" t="str">
        <f aca="false">IF(B1377="","",CONCATENATE(COUNTA($B$4:B1377),"."))</f>
        <v/>
      </c>
      <c r="B1377" s="112"/>
      <c r="C1377" s="112"/>
      <c r="D1377" s="81"/>
      <c r="E1377" s="81"/>
      <c r="F1377" s="81"/>
      <c r="G1377" s="81"/>
      <c r="H1377" s="81"/>
      <c r="I1377" s="161"/>
      <c r="J1377" s="154" t="str">
        <f aca="false">IF(H1377="","",ROUNDUP(H1377*35%,0))</f>
        <v/>
      </c>
      <c r="K1377" s="113"/>
      <c r="L1377" s="113"/>
    </row>
    <row r="1378" customFormat="false" ht="12.75" hidden="false" customHeight="true" outlineLevel="0" collapsed="false">
      <c r="A1378" s="121" t="str">
        <f aca="false">IF(B1378="","",CONCATENATE(COUNTA($B$4:B1378),"."))</f>
        <v/>
      </c>
      <c r="B1378" s="112"/>
      <c r="C1378" s="112"/>
      <c r="D1378" s="81"/>
      <c r="E1378" s="81"/>
      <c r="F1378" s="81"/>
      <c r="G1378" s="81"/>
      <c r="H1378" s="81"/>
      <c r="I1378" s="161"/>
      <c r="J1378" s="154" t="str">
        <f aca="false">IF(H1378="","",ROUNDUP(H1378*35%,0))</f>
        <v/>
      </c>
      <c r="K1378" s="113"/>
      <c r="L1378" s="113"/>
    </row>
    <row r="1379" customFormat="false" ht="12.75" hidden="false" customHeight="true" outlineLevel="0" collapsed="false">
      <c r="A1379" s="121" t="str">
        <f aca="false">IF(B1379="","",CONCATENATE(COUNTA($B$4:B1379),"."))</f>
        <v/>
      </c>
      <c r="B1379" s="112"/>
      <c r="C1379" s="112"/>
      <c r="D1379" s="81"/>
      <c r="E1379" s="81"/>
      <c r="F1379" s="81"/>
      <c r="G1379" s="81"/>
      <c r="H1379" s="81"/>
      <c r="I1379" s="161"/>
      <c r="J1379" s="154" t="str">
        <f aca="false">IF(H1379="","",ROUNDUP(H1379*35%,0))</f>
        <v/>
      </c>
      <c r="K1379" s="113"/>
      <c r="L1379" s="113"/>
    </row>
    <row r="1380" customFormat="false" ht="12.75" hidden="false" customHeight="true" outlineLevel="0" collapsed="false">
      <c r="A1380" s="121" t="str">
        <f aca="false">IF(B1380="","",CONCATENATE(COUNTA($B$4:B1380),"."))</f>
        <v/>
      </c>
      <c r="B1380" s="112"/>
      <c r="C1380" s="112"/>
      <c r="D1380" s="81"/>
      <c r="E1380" s="81"/>
      <c r="F1380" s="81"/>
      <c r="G1380" s="81"/>
      <c r="H1380" s="81"/>
      <c r="I1380" s="161"/>
      <c r="J1380" s="154" t="str">
        <f aca="false">IF(H1380="","",ROUNDUP(H1380*35%,0))</f>
        <v/>
      </c>
      <c r="K1380" s="113"/>
      <c r="L1380" s="113"/>
    </row>
    <row r="1381" customFormat="false" ht="12.75" hidden="false" customHeight="true" outlineLevel="0" collapsed="false">
      <c r="A1381" s="121" t="str">
        <f aca="false">IF(B1381="","",CONCATENATE(COUNTA($B$4:B1381),"."))</f>
        <v/>
      </c>
      <c r="B1381" s="112"/>
      <c r="C1381" s="112"/>
      <c r="D1381" s="81"/>
      <c r="E1381" s="81"/>
      <c r="F1381" s="81"/>
      <c r="G1381" s="81"/>
      <c r="H1381" s="81"/>
      <c r="I1381" s="161"/>
      <c r="J1381" s="154" t="str">
        <f aca="false">IF(H1381="","",ROUNDUP(H1381*35%,0))</f>
        <v/>
      </c>
      <c r="K1381" s="113"/>
      <c r="L1381" s="113"/>
    </row>
    <row r="1382" customFormat="false" ht="12.75" hidden="false" customHeight="true" outlineLevel="0" collapsed="false">
      <c r="A1382" s="121" t="str">
        <f aca="false">IF(B1382="","",CONCATENATE(COUNTA($B$4:B1382),"."))</f>
        <v/>
      </c>
      <c r="B1382" s="112"/>
      <c r="C1382" s="112"/>
      <c r="D1382" s="81"/>
      <c r="E1382" s="81"/>
      <c r="F1382" s="81"/>
      <c r="G1382" s="81"/>
      <c r="H1382" s="81"/>
      <c r="I1382" s="161"/>
      <c r="J1382" s="154" t="str">
        <f aca="false">IF(H1382="","",ROUNDUP(H1382*35%,0))</f>
        <v/>
      </c>
      <c r="K1382" s="113"/>
      <c r="L1382" s="113"/>
    </row>
    <row r="1383" customFormat="false" ht="12.75" hidden="false" customHeight="true" outlineLevel="0" collapsed="false">
      <c r="A1383" s="121" t="str">
        <f aca="false">IF(B1383="","",CONCATENATE(COUNTA($B$4:B1383),"."))</f>
        <v/>
      </c>
      <c r="B1383" s="112"/>
      <c r="C1383" s="112"/>
      <c r="D1383" s="81"/>
      <c r="E1383" s="81"/>
      <c r="F1383" s="81"/>
      <c r="G1383" s="81"/>
      <c r="H1383" s="81"/>
      <c r="I1383" s="161"/>
      <c r="J1383" s="154" t="str">
        <f aca="false">IF(H1383="","",ROUNDUP(H1383*35%,0))</f>
        <v/>
      </c>
      <c r="K1383" s="113"/>
      <c r="L1383" s="113"/>
    </row>
    <row r="1384" customFormat="false" ht="12.75" hidden="false" customHeight="true" outlineLevel="0" collapsed="false">
      <c r="A1384" s="121" t="str">
        <f aca="false">IF(B1384="","",CONCATENATE(COUNTA($B$4:B1384),"."))</f>
        <v/>
      </c>
      <c r="B1384" s="112"/>
      <c r="C1384" s="112"/>
      <c r="D1384" s="81"/>
      <c r="E1384" s="81"/>
      <c r="F1384" s="81"/>
      <c r="G1384" s="81"/>
      <c r="H1384" s="81"/>
      <c r="I1384" s="161"/>
      <c r="J1384" s="154" t="str">
        <f aca="false">IF(H1384="","",ROUNDUP(H1384*35%,0))</f>
        <v/>
      </c>
      <c r="K1384" s="113"/>
      <c r="L1384" s="113"/>
    </row>
    <row r="1385" customFormat="false" ht="12.75" hidden="false" customHeight="true" outlineLevel="0" collapsed="false">
      <c r="A1385" s="121" t="str">
        <f aca="false">IF(B1385="","",CONCATENATE(COUNTA($B$4:B1385),"."))</f>
        <v/>
      </c>
      <c r="B1385" s="112"/>
      <c r="C1385" s="112"/>
      <c r="D1385" s="81"/>
      <c r="E1385" s="81"/>
      <c r="F1385" s="81"/>
      <c r="G1385" s="81"/>
      <c r="H1385" s="81"/>
      <c r="I1385" s="161"/>
      <c r="J1385" s="154" t="str">
        <f aca="false">IF(H1385="","",ROUNDUP(H1385*35%,0))</f>
        <v/>
      </c>
      <c r="K1385" s="113"/>
      <c r="L1385" s="113"/>
    </row>
    <row r="1386" customFormat="false" ht="12.75" hidden="false" customHeight="true" outlineLevel="0" collapsed="false">
      <c r="A1386" s="121" t="str">
        <f aca="false">IF(B1386="","",CONCATENATE(COUNTA($B$4:B1386),"."))</f>
        <v/>
      </c>
      <c r="B1386" s="112"/>
      <c r="C1386" s="112"/>
      <c r="D1386" s="81"/>
      <c r="E1386" s="81"/>
      <c r="F1386" s="81"/>
      <c r="G1386" s="81"/>
      <c r="H1386" s="81"/>
      <c r="I1386" s="161"/>
      <c r="J1386" s="154" t="str">
        <f aca="false">IF(H1386="","",ROUNDUP(H1386*35%,0))</f>
        <v/>
      </c>
      <c r="K1386" s="113"/>
      <c r="L1386" s="113"/>
    </row>
    <row r="1387" customFormat="false" ht="12.75" hidden="false" customHeight="true" outlineLevel="0" collapsed="false">
      <c r="A1387" s="121" t="str">
        <f aca="false">IF(B1387="","",CONCATENATE(COUNTA($B$4:B1387),"."))</f>
        <v/>
      </c>
      <c r="B1387" s="112"/>
      <c r="C1387" s="112"/>
      <c r="D1387" s="81"/>
      <c r="E1387" s="81"/>
      <c r="F1387" s="81"/>
      <c r="G1387" s="81"/>
      <c r="H1387" s="81"/>
      <c r="I1387" s="161"/>
      <c r="J1387" s="154" t="str">
        <f aca="false">IF(H1387="","",ROUNDUP(H1387*35%,0))</f>
        <v/>
      </c>
      <c r="K1387" s="113"/>
      <c r="L1387" s="113"/>
    </row>
    <row r="1388" customFormat="false" ht="12.75" hidden="false" customHeight="true" outlineLevel="0" collapsed="false">
      <c r="A1388" s="121" t="str">
        <f aca="false">IF(B1388="","",CONCATENATE(COUNTA($B$4:B1388),"."))</f>
        <v/>
      </c>
      <c r="B1388" s="112"/>
      <c r="C1388" s="112"/>
      <c r="D1388" s="81"/>
      <c r="E1388" s="81"/>
      <c r="F1388" s="81"/>
      <c r="G1388" s="81"/>
      <c r="H1388" s="81"/>
      <c r="I1388" s="161"/>
      <c r="J1388" s="154" t="str">
        <f aca="false">IF(H1388="","",ROUNDUP(H1388*35%,0))</f>
        <v/>
      </c>
      <c r="K1388" s="113"/>
      <c r="L1388" s="113"/>
    </row>
    <row r="1389" customFormat="false" ht="12.75" hidden="false" customHeight="true" outlineLevel="0" collapsed="false">
      <c r="A1389" s="121" t="str">
        <f aca="false">IF(B1389="","",CONCATENATE(COUNTA($B$4:B1389),"."))</f>
        <v/>
      </c>
      <c r="B1389" s="112"/>
      <c r="C1389" s="112"/>
      <c r="D1389" s="81"/>
      <c r="E1389" s="81"/>
      <c r="F1389" s="81"/>
      <c r="G1389" s="81"/>
      <c r="H1389" s="81"/>
      <c r="I1389" s="161"/>
      <c r="J1389" s="154" t="str">
        <f aca="false">IF(H1389="","",ROUNDUP(H1389*35%,0))</f>
        <v/>
      </c>
      <c r="K1389" s="113"/>
      <c r="L1389" s="113"/>
    </row>
    <row r="1390" customFormat="false" ht="12.75" hidden="false" customHeight="true" outlineLevel="0" collapsed="false">
      <c r="A1390" s="121" t="str">
        <f aca="false">IF(B1390="","",CONCATENATE(COUNTA($B$4:B1390),"."))</f>
        <v/>
      </c>
      <c r="B1390" s="112"/>
      <c r="C1390" s="112"/>
      <c r="D1390" s="81"/>
      <c r="E1390" s="81"/>
      <c r="F1390" s="81"/>
      <c r="G1390" s="81"/>
      <c r="H1390" s="81"/>
      <c r="I1390" s="161"/>
      <c r="J1390" s="154" t="str">
        <f aca="false">IF(H1390="","",ROUNDUP(H1390*35%,0))</f>
        <v/>
      </c>
      <c r="K1390" s="113"/>
      <c r="L1390" s="113"/>
    </row>
    <row r="1391" customFormat="false" ht="12.75" hidden="false" customHeight="true" outlineLevel="0" collapsed="false">
      <c r="A1391" s="121" t="str">
        <f aca="false">IF(B1391="","",CONCATENATE(COUNTA($B$4:B1391),"."))</f>
        <v/>
      </c>
      <c r="B1391" s="112"/>
      <c r="C1391" s="112"/>
      <c r="D1391" s="81"/>
      <c r="E1391" s="81"/>
      <c r="F1391" s="81"/>
      <c r="G1391" s="81"/>
      <c r="H1391" s="81"/>
      <c r="I1391" s="161"/>
      <c r="J1391" s="154" t="str">
        <f aca="false">IF(H1391="","",ROUNDUP(H1391*35%,0))</f>
        <v/>
      </c>
      <c r="K1391" s="113"/>
      <c r="L1391" s="113"/>
    </row>
    <row r="1392" customFormat="false" ht="12.75" hidden="false" customHeight="true" outlineLevel="0" collapsed="false">
      <c r="A1392" s="121" t="str">
        <f aca="false">IF(B1392="","",CONCATENATE(COUNTA($B$4:B1392),"."))</f>
        <v/>
      </c>
      <c r="B1392" s="112"/>
      <c r="C1392" s="112"/>
      <c r="D1392" s="81"/>
      <c r="E1392" s="81"/>
      <c r="F1392" s="81"/>
      <c r="G1392" s="81"/>
      <c r="H1392" s="81"/>
      <c r="I1392" s="161"/>
      <c r="J1392" s="154" t="str">
        <f aca="false">IF(H1392="","",ROUNDUP(H1392*35%,0))</f>
        <v/>
      </c>
      <c r="K1392" s="113"/>
      <c r="L1392" s="113"/>
    </row>
    <row r="1393" customFormat="false" ht="12.75" hidden="false" customHeight="true" outlineLevel="0" collapsed="false">
      <c r="A1393" s="121" t="str">
        <f aca="false">IF(B1393="","",CONCATENATE(COUNTA($B$4:B1393),"."))</f>
        <v/>
      </c>
      <c r="B1393" s="112"/>
      <c r="C1393" s="112"/>
      <c r="D1393" s="81"/>
      <c r="E1393" s="81"/>
      <c r="F1393" s="81"/>
      <c r="G1393" s="81"/>
      <c r="H1393" s="81"/>
      <c r="I1393" s="161"/>
      <c r="J1393" s="154" t="str">
        <f aca="false">IF(H1393="","",ROUNDUP(H1393*35%,0))</f>
        <v/>
      </c>
      <c r="K1393" s="113"/>
      <c r="L1393" s="113"/>
    </row>
    <row r="1394" customFormat="false" ht="12.75" hidden="false" customHeight="true" outlineLevel="0" collapsed="false">
      <c r="A1394" s="121" t="str">
        <f aca="false">IF(B1394="","",CONCATENATE(COUNTA($B$4:B1394),"."))</f>
        <v/>
      </c>
      <c r="B1394" s="112"/>
      <c r="C1394" s="112"/>
      <c r="D1394" s="81"/>
      <c r="E1394" s="81"/>
      <c r="F1394" s="81"/>
      <c r="G1394" s="81"/>
      <c r="H1394" s="81"/>
      <c r="I1394" s="161"/>
      <c r="J1394" s="154" t="str">
        <f aca="false">IF(H1394="","",ROUNDUP(H1394*35%,0))</f>
        <v/>
      </c>
      <c r="K1394" s="113"/>
      <c r="L1394" s="113"/>
    </row>
    <row r="1395" customFormat="false" ht="12.75" hidden="false" customHeight="true" outlineLevel="0" collapsed="false">
      <c r="A1395" s="121" t="str">
        <f aca="false">IF(B1395="","",CONCATENATE(COUNTA($B$4:B1395),"."))</f>
        <v/>
      </c>
      <c r="B1395" s="112"/>
      <c r="C1395" s="112"/>
      <c r="D1395" s="81"/>
      <c r="E1395" s="81"/>
      <c r="F1395" s="81"/>
      <c r="G1395" s="81"/>
      <c r="H1395" s="81"/>
      <c r="I1395" s="161"/>
      <c r="J1395" s="154" t="str">
        <f aca="false">IF(H1395="","",ROUNDUP(H1395*35%,0))</f>
        <v/>
      </c>
      <c r="K1395" s="113"/>
      <c r="L1395" s="113"/>
    </row>
    <row r="1396" customFormat="false" ht="12.75" hidden="false" customHeight="true" outlineLevel="0" collapsed="false">
      <c r="A1396" s="121" t="str">
        <f aca="false">IF(B1396="","",CONCATENATE(COUNTA($B$4:B1396),"."))</f>
        <v/>
      </c>
      <c r="B1396" s="112"/>
      <c r="C1396" s="112"/>
      <c r="D1396" s="81"/>
      <c r="E1396" s="81"/>
      <c r="F1396" s="81"/>
      <c r="G1396" s="81"/>
      <c r="H1396" s="81"/>
      <c r="I1396" s="161"/>
      <c r="J1396" s="154" t="str">
        <f aca="false">IF(H1396="","",ROUNDUP(H1396*35%,0))</f>
        <v/>
      </c>
      <c r="K1396" s="113"/>
      <c r="L1396" s="113"/>
    </row>
    <row r="1397" customFormat="false" ht="12.75" hidden="false" customHeight="true" outlineLevel="0" collapsed="false">
      <c r="A1397" s="121" t="str">
        <f aca="false">IF(B1397="","",CONCATENATE(COUNTA($B$4:B1397),"."))</f>
        <v/>
      </c>
      <c r="B1397" s="112"/>
      <c r="C1397" s="112"/>
      <c r="D1397" s="81"/>
      <c r="E1397" s="81"/>
      <c r="F1397" s="81"/>
      <c r="G1397" s="81"/>
      <c r="H1397" s="81"/>
      <c r="I1397" s="161"/>
      <c r="J1397" s="154" t="str">
        <f aca="false">IF(H1397="","",ROUNDUP(H1397*35%,0))</f>
        <v/>
      </c>
      <c r="K1397" s="113"/>
      <c r="L1397" s="113"/>
    </row>
    <row r="1398" customFormat="false" ht="12.75" hidden="false" customHeight="true" outlineLevel="0" collapsed="false">
      <c r="A1398" s="121" t="str">
        <f aca="false">IF(B1398="","",CONCATENATE(COUNTA($B$4:B1398),"."))</f>
        <v/>
      </c>
      <c r="B1398" s="112"/>
      <c r="C1398" s="112"/>
      <c r="D1398" s="81"/>
      <c r="E1398" s="81"/>
      <c r="F1398" s="81"/>
      <c r="G1398" s="81"/>
      <c r="H1398" s="81"/>
      <c r="I1398" s="161"/>
      <c r="J1398" s="154" t="str">
        <f aca="false">IF(H1398="","",ROUNDUP(H1398*35%,0))</f>
        <v/>
      </c>
      <c r="K1398" s="113"/>
      <c r="L1398" s="113"/>
    </row>
    <row r="1399" customFormat="false" ht="12.75" hidden="false" customHeight="true" outlineLevel="0" collapsed="false">
      <c r="A1399" s="121" t="str">
        <f aca="false">IF(B1399="","",CONCATENATE(COUNTA($B$4:B1399),"."))</f>
        <v/>
      </c>
      <c r="B1399" s="112"/>
      <c r="C1399" s="112"/>
      <c r="D1399" s="81"/>
      <c r="E1399" s="81"/>
      <c r="F1399" s="81"/>
      <c r="G1399" s="81"/>
      <c r="H1399" s="81"/>
      <c r="I1399" s="161"/>
      <c r="J1399" s="154" t="str">
        <f aca="false">IF(H1399="","",ROUNDUP(H1399*35%,0))</f>
        <v/>
      </c>
      <c r="K1399" s="113"/>
      <c r="L1399" s="113"/>
    </row>
    <row r="1400" customFormat="false" ht="12.75" hidden="false" customHeight="true" outlineLevel="0" collapsed="false">
      <c r="A1400" s="121" t="str">
        <f aca="false">IF(B1400="","",CONCATENATE(COUNTA($B$4:B1400),"."))</f>
        <v/>
      </c>
      <c r="B1400" s="112"/>
      <c r="C1400" s="112"/>
      <c r="D1400" s="81"/>
      <c r="E1400" s="81"/>
      <c r="F1400" s="81"/>
      <c r="G1400" s="81"/>
      <c r="H1400" s="81"/>
      <c r="I1400" s="161"/>
      <c r="J1400" s="154" t="str">
        <f aca="false">IF(H1400="","",ROUNDUP(H1400*35%,0))</f>
        <v/>
      </c>
      <c r="K1400" s="113"/>
      <c r="L1400" s="113"/>
    </row>
    <row r="1401" customFormat="false" ht="12.75" hidden="false" customHeight="true" outlineLevel="0" collapsed="false">
      <c r="A1401" s="121" t="str">
        <f aca="false">IF(B1401="","",CONCATENATE(COUNTA($B$4:B1401),"."))</f>
        <v/>
      </c>
      <c r="B1401" s="112"/>
      <c r="C1401" s="112"/>
      <c r="D1401" s="81"/>
      <c r="E1401" s="81"/>
      <c r="F1401" s="81"/>
      <c r="G1401" s="81"/>
      <c r="H1401" s="81"/>
      <c r="I1401" s="161"/>
      <c r="J1401" s="154" t="str">
        <f aca="false">IF(H1401="","",ROUNDUP(H1401*35%,0))</f>
        <v/>
      </c>
      <c r="K1401" s="113"/>
      <c r="L1401" s="113"/>
    </row>
    <row r="1402" customFormat="false" ht="12.75" hidden="false" customHeight="true" outlineLevel="0" collapsed="false">
      <c r="A1402" s="121" t="str">
        <f aca="false">IF(B1402="","",CONCATENATE(COUNTA($B$4:B1402),"."))</f>
        <v/>
      </c>
      <c r="B1402" s="112"/>
      <c r="C1402" s="112"/>
      <c r="D1402" s="81"/>
      <c r="E1402" s="81"/>
      <c r="F1402" s="81"/>
      <c r="G1402" s="81"/>
      <c r="H1402" s="81"/>
      <c r="I1402" s="161"/>
      <c r="J1402" s="154" t="str">
        <f aca="false">IF(H1402="","",ROUNDUP(H1402*35%,0))</f>
        <v/>
      </c>
      <c r="K1402" s="113"/>
      <c r="L1402" s="113"/>
    </row>
    <row r="1403" customFormat="false" ht="12.75" hidden="false" customHeight="true" outlineLevel="0" collapsed="false">
      <c r="A1403" s="121" t="str">
        <f aca="false">IF(B1403="","",CONCATENATE(COUNTA($B$4:B1403),"."))</f>
        <v/>
      </c>
      <c r="B1403" s="112"/>
      <c r="C1403" s="112"/>
      <c r="D1403" s="81"/>
      <c r="E1403" s="81"/>
      <c r="F1403" s="81"/>
      <c r="G1403" s="81"/>
      <c r="H1403" s="81"/>
      <c r="I1403" s="161"/>
      <c r="J1403" s="154" t="str">
        <f aca="false">IF(H1403="","",ROUNDUP(H1403*35%,0))</f>
        <v/>
      </c>
      <c r="K1403" s="113"/>
      <c r="L1403" s="113"/>
    </row>
    <row r="1404" customFormat="false" ht="12.75" hidden="false" customHeight="true" outlineLevel="0" collapsed="false">
      <c r="A1404" s="121" t="str">
        <f aca="false">IF(B1404="","",CONCATENATE(COUNTA($B$4:B1404),"."))</f>
        <v/>
      </c>
      <c r="B1404" s="112"/>
      <c r="C1404" s="112"/>
      <c r="D1404" s="81"/>
      <c r="E1404" s="81"/>
      <c r="F1404" s="81"/>
      <c r="G1404" s="81"/>
      <c r="H1404" s="81"/>
      <c r="I1404" s="161"/>
      <c r="J1404" s="154" t="str">
        <f aca="false">IF(H1404="","",ROUNDUP(H1404*35%,0))</f>
        <v/>
      </c>
      <c r="K1404" s="113"/>
      <c r="L1404" s="113"/>
    </row>
    <row r="1405" customFormat="false" ht="12.75" hidden="false" customHeight="true" outlineLevel="0" collapsed="false">
      <c r="A1405" s="121" t="str">
        <f aca="false">IF(B1405="","",CONCATENATE(COUNTA($B$4:B1405),"."))</f>
        <v/>
      </c>
      <c r="B1405" s="112"/>
      <c r="C1405" s="112"/>
      <c r="D1405" s="81"/>
      <c r="E1405" s="81"/>
      <c r="F1405" s="81"/>
      <c r="G1405" s="81"/>
      <c r="H1405" s="81"/>
      <c r="I1405" s="161"/>
      <c r="J1405" s="154" t="str">
        <f aca="false">IF(H1405="","",ROUNDUP(H1405*35%,0))</f>
        <v/>
      </c>
      <c r="K1405" s="113"/>
      <c r="L1405" s="113"/>
    </row>
    <row r="1406" customFormat="false" ht="12.75" hidden="false" customHeight="true" outlineLevel="0" collapsed="false">
      <c r="A1406" s="121" t="str">
        <f aca="false">IF(B1406="","",CONCATENATE(COUNTA($B$4:B1406),"."))</f>
        <v/>
      </c>
      <c r="B1406" s="112"/>
      <c r="C1406" s="112"/>
      <c r="D1406" s="81"/>
      <c r="E1406" s="81"/>
      <c r="F1406" s="81"/>
      <c r="G1406" s="81"/>
      <c r="H1406" s="81"/>
      <c r="I1406" s="161"/>
      <c r="J1406" s="154" t="str">
        <f aca="false">IF(H1406="","",ROUNDUP(H1406*35%,0))</f>
        <v/>
      </c>
      <c r="K1406" s="113"/>
      <c r="L1406" s="113"/>
    </row>
    <row r="1407" customFormat="false" ht="12.75" hidden="false" customHeight="true" outlineLevel="0" collapsed="false">
      <c r="A1407" s="121" t="str">
        <f aca="false">IF(B1407="","",CONCATENATE(COUNTA($B$4:B1407),"."))</f>
        <v/>
      </c>
      <c r="B1407" s="112"/>
      <c r="C1407" s="112"/>
      <c r="D1407" s="81"/>
      <c r="E1407" s="81"/>
      <c r="F1407" s="81"/>
      <c r="G1407" s="81"/>
      <c r="H1407" s="81"/>
      <c r="I1407" s="161"/>
      <c r="J1407" s="154" t="str">
        <f aca="false">IF(H1407="","",ROUNDUP(H1407*35%,0))</f>
        <v/>
      </c>
      <c r="K1407" s="113"/>
      <c r="L1407" s="113"/>
    </row>
    <row r="1408" customFormat="false" ht="12.75" hidden="false" customHeight="true" outlineLevel="0" collapsed="false">
      <c r="A1408" s="121" t="str">
        <f aca="false">IF(B1408="","",CONCATENATE(COUNTA($B$4:B1408),"."))</f>
        <v/>
      </c>
      <c r="B1408" s="112"/>
      <c r="C1408" s="112"/>
      <c r="D1408" s="81"/>
      <c r="E1408" s="81"/>
      <c r="F1408" s="81"/>
      <c r="G1408" s="81"/>
      <c r="H1408" s="81"/>
      <c r="I1408" s="161"/>
      <c r="J1408" s="154" t="str">
        <f aca="false">IF(H1408="","",ROUNDUP(H1408*35%,0))</f>
        <v/>
      </c>
      <c r="K1408" s="113"/>
      <c r="L1408" s="113"/>
    </row>
    <row r="1409" customFormat="false" ht="12.75" hidden="false" customHeight="true" outlineLevel="0" collapsed="false">
      <c r="A1409" s="121" t="str">
        <f aca="false">IF(B1409="","",CONCATENATE(COUNTA($B$4:B1409),"."))</f>
        <v/>
      </c>
      <c r="B1409" s="112"/>
      <c r="C1409" s="112"/>
      <c r="D1409" s="81"/>
      <c r="E1409" s="81"/>
      <c r="F1409" s="81"/>
      <c r="G1409" s="81"/>
      <c r="H1409" s="81"/>
      <c r="I1409" s="161"/>
      <c r="J1409" s="154" t="str">
        <f aca="false">IF(H1409="","",ROUNDUP(H1409*35%,0))</f>
        <v/>
      </c>
      <c r="K1409" s="113"/>
      <c r="L1409" s="113"/>
    </row>
    <row r="1410" customFormat="false" ht="12.75" hidden="false" customHeight="true" outlineLevel="0" collapsed="false">
      <c r="A1410" s="121" t="str">
        <f aca="false">IF(B1410="","",CONCATENATE(COUNTA($B$4:B1410),"."))</f>
        <v/>
      </c>
      <c r="B1410" s="112"/>
      <c r="C1410" s="112"/>
      <c r="D1410" s="81"/>
      <c r="E1410" s="81"/>
      <c r="F1410" s="81"/>
      <c r="G1410" s="81"/>
      <c r="H1410" s="81"/>
      <c r="I1410" s="161"/>
      <c r="J1410" s="154" t="str">
        <f aca="false">IF(H1410="","",ROUNDUP(H1410*35%,0))</f>
        <v/>
      </c>
      <c r="K1410" s="113"/>
      <c r="L1410" s="113"/>
    </row>
    <row r="1411" customFormat="false" ht="12.75" hidden="false" customHeight="true" outlineLevel="0" collapsed="false">
      <c r="A1411" s="121" t="str">
        <f aca="false">IF(B1411="","",CONCATENATE(COUNTA($B$4:B1411),"."))</f>
        <v/>
      </c>
      <c r="B1411" s="112"/>
      <c r="C1411" s="112"/>
      <c r="D1411" s="81"/>
      <c r="E1411" s="81"/>
      <c r="F1411" s="81"/>
      <c r="G1411" s="81"/>
      <c r="H1411" s="81"/>
      <c r="I1411" s="161"/>
      <c r="J1411" s="154" t="str">
        <f aca="false">IF(H1411="","",ROUNDUP(H1411*35%,0))</f>
        <v/>
      </c>
      <c r="K1411" s="113"/>
      <c r="L1411" s="113"/>
    </row>
    <row r="1412" customFormat="false" ht="12.75" hidden="false" customHeight="true" outlineLevel="0" collapsed="false">
      <c r="A1412" s="121" t="str">
        <f aca="false">IF(B1412="","",CONCATENATE(COUNTA($B$4:B1412),"."))</f>
        <v/>
      </c>
      <c r="B1412" s="112"/>
      <c r="C1412" s="112"/>
      <c r="D1412" s="81"/>
      <c r="E1412" s="81"/>
      <c r="F1412" s="81"/>
      <c r="G1412" s="81"/>
      <c r="H1412" s="81"/>
      <c r="I1412" s="161"/>
      <c r="J1412" s="154" t="str">
        <f aca="false">IF(H1412="","",ROUNDUP(H1412*35%,0))</f>
        <v/>
      </c>
      <c r="K1412" s="113"/>
      <c r="L1412" s="113"/>
    </row>
    <row r="1413" customFormat="false" ht="12.75" hidden="false" customHeight="true" outlineLevel="0" collapsed="false">
      <c r="A1413" s="121" t="str">
        <f aca="false">IF(B1413="","",CONCATENATE(COUNTA($B$4:B1413),"."))</f>
        <v/>
      </c>
      <c r="B1413" s="112"/>
      <c r="C1413" s="112"/>
      <c r="D1413" s="81"/>
      <c r="E1413" s="81"/>
      <c r="F1413" s="81"/>
      <c r="G1413" s="81"/>
      <c r="H1413" s="81"/>
      <c r="I1413" s="161"/>
      <c r="J1413" s="154" t="str">
        <f aca="false">IF(H1413="","",ROUNDUP(H1413*35%,0))</f>
        <v/>
      </c>
      <c r="K1413" s="113"/>
      <c r="L1413" s="113"/>
    </row>
    <row r="1414" customFormat="false" ht="12.75" hidden="false" customHeight="true" outlineLevel="0" collapsed="false">
      <c r="A1414" s="121" t="str">
        <f aca="false">IF(B1414="","",CONCATENATE(COUNTA($B$4:B1414),"."))</f>
        <v/>
      </c>
      <c r="B1414" s="112"/>
      <c r="C1414" s="112"/>
      <c r="D1414" s="81"/>
      <c r="E1414" s="81"/>
      <c r="F1414" s="81"/>
      <c r="G1414" s="81"/>
      <c r="H1414" s="81"/>
      <c r="I1414" s="161"/>
      <c r="J1414" s="154" t="str">
        <f aca="false">IF(H1414="","",ROUNDUP(H1414*35%,0))</f>
        <v/>
      </c>
      <c r="K1414" s="113"/>
      <c r="L1414" s="113"/>
    </row>
    <row r="1415" customFormat="false" ht="12.75" hidden="false" customHeight="true" outlineLevel="0" collapsed="false">
      <c r="A1415" s="121" t="str">
        <f aca="false">IF(B1415="","",CONCATENATE(COUNTA($B$4:B1415),"."))</f>
        <v/>
      </c>
      <c r="B1415" s="112"/>
      <c r="C1415" s="112"/>
      <c r="D1415" s="81"/>
      <c r="E1415" s="81"/>
      <c r="F1415" s="81"/>
      <c r="G1415" s="81"/>
      <c r="H1415" s="81"/>
      <c r="I1415" s="161"/>
      <c r="J1415" s="154" t="str">
        <f aca="false">IF(H1415="","",ROUNDUP(H1415*35%,0))</f>
        <v/>
      </c>
      <c r="K1415" s="113"/>
      <c r="L1415" s="113"/>
    </row>
    <row r="1416" customFormat="false" ht="12.75" hidden="false" customHeight="true" outlineLevel="0" collapsed="false">
      <c r="A1416" s="121" t="str">
        <f aca="false">IF(B1416="","",CONCATENATE(COUNTA($B$4:B1416),"."))</f>
        <v/>
      </c>
      <c r="B1416" s="112"/>
      <c r="C1416" s="112"/>
      <c r="D1416" s="81"/>
      <c r="E1416" s="81"/>
      <c r="F1416" s="81"/>
      <c r="G1416" s="81"/>
      <c r="H1416" s="81"/>
      <c r="I1416" s="161"/>
      <c r="J1416" s="154" t="str">
        <f aca="false">IF(H1416="","",ROUNDUP(H1416*35%,0))</f>
        <v/>
      </c>
      <c r="K1416" s="113"/>
      <c r="L1416" s="113"/>
    </row>
    <row r="1417" customFormat="false" ht="12.75" hidden="false" customHeight="true" outlineLevel="0" collapsed="false">
      <c r="A1417" s="121" t="str">
        <f aca="false">IF(B1417="","",CONCATENATE(COUNTA($B$4:B1417),"."))</f>
        <v/>
      </c>
      <c r="B1417" s="112"/>
      <c r="C1417" s="112"/>
      <c r="D1417" s="81"/>
      <c r="E1417" s="81"/>
      <c r="F1417" s="81"/>
      <c r="G1417" s="81"/>
      <c r="H1417" s="81"/>
      <c r="I1417" s="161"/>
      <c r="J1417" s="154" t="str">
        <f aca="false">IF(H1417="","",ROUNDUP(H1417*35%,0))</f>
        <v/>
      </c>
      <c r="K1417" s="113"/>
      <c r="L1417" s="113"/>
    </row>
    <row r="1418" customFormat="false" ht="12.75" hidden="false" customHeight="true" outlineLevel="0" collapsed="false">
      <c r="A1418" s="121" t="str">
        <f aca="false">IF(B1418="","",CONCATENATE(COUNTA($B$4:B1418),"."))</f>
        <v/>
      </c>
      <c r="B1418" s="112"/>
      <c r="C1418" s="112"/>
      <c r="D1418" s="81"/>
      <c r="E1418" s="81"/>
      <c r="F1418" s="81"/>
      <c r="G1418" s="81"/>
      <c r="H1418" s="81"/>
      <c r="I1418" s="161"/>
      <c r="J1418" s="154" t="str">
        <f aca="false">IF(H1418="","",ROUNDUP(H1418*35%,0))</f>
        <v/>
      </c>
      <c r="K1418" s="113"/>
      <c r="L1418" s="113"/>
    </row>
    <row r="1419" customFormat="false" ht="12.75" hidden="false" customHeight="true" outlineLevel="0" collapsed="false">
      <c r="A1419" s="121" t="str">
        <f aca="false">IF(B1419="","",CONCATENATE(COUNTA($B$4:B1419),"."))</f>
        <v/>
      </c>
      <c r="B1419" s="112"/>
      <c r="C1419" s="112"/>
      <c r="D1419" s="81"/>
      <c r="E1419" s="81"/>
      <c r="F1419" s="81"/>
      <c r="G1419" s="81"/>
      <c r="H1419" s="81"/>
      <c r="I1419" s="161"/>
      <c r="J1419" s="154" t="str">
        <f aca="false">IF(H1419="","",ROUNDUP(H1419*35%,0))</f>
        <v/>
      </c>
      <c r="K1419" s="113"/>
      <c r="L1419" s="113"/>
    </row>
    <row r="1420" customFormat="false" ht="12.75" hidden="false" customHeight="true" outlineLevel="0" collapsed="false">
      <c r="A1420" s="121" t="str">
        <f aca="false">IF(B1420="","",CONCATENATE(COUNTA($B$4:B1420),"."))</f>
        <v/>
      </c>
      <c r="B1420" s="112"/>
      <c r="C1420" s="112"/>
      <c r="D1420" s="81"/>
      <c r="E1420" s="81"/>
      <c r="F1420" s="81"/>
      <c r="G1420" s="81"/>
      <c r="H1420" s="81"/>
      <c r="I1420" s="161"/>
      <c r="J1420" s="154" t="str">
        <f aca="false">IF(H1420="","",ROUNDUP(H1420*35%,0))</f>
        <v/>
      </c>
      <c r="K1420" s="113"/>
      <c r="L1420" s="113"/>
    </row>
    <row r="1421" customFormat="false" ht="12.75" hidden="false" customHeight="true" outlineLevel="0" collapsed="false">
      <c r="A1421" s="121" t="str">
        <f aca="false">IF(B1421="","",CONCATENATE(COUNTA($B$4:B1421),"."))</f>
        <v/>
      </c>
      <c r="B1421" s="112"/>
      <c r="C1421" s="112"/>
      <c r="D1421" s="81"/>
      <c r="E1421" s="81"/>
      <c r="F1421" s="81"/>
      <c r="G1421" s="81"/>
      <c r="H1421" s="81"/>
      <c r="I1421" s="161"/>
      <c r="J1421" s="154" t="str">
        <f aca="false">IF(H1421="","",ROUNDUP(H1421*35%,0))</f>
        <v/>
      </c>
      <c r="K1421" s="113"/>
      <c r="L1421" s="113"/>
    </row>
    <row r="1422" customFormat="false" ht="12.75" hidden="false" customHeight="true" outlineLevel="0" collapsed="false">
      <c r="A1422" s="121" t="str">
        <f aca="false">IF(B1422="","",CONCATENATE(COUNTA($B$4:B1422),"."))</f>
        <v/>
      </c>
      <c r="B1422" s="112"/>
      <c r="C1422" s="112"/>
      <c r="D1422" s="81"/>
      <c r="E1422" s="81"/>
      <c r="F1422" s="81"/>
      <c r="G1422" s="81"/>
      <c r="H1422" s="81"/>
      <c r="I1422" s="161"/>
      <c r="J1422" s="154" t="str">
        <f aca="false">IF(H1422="","",ROUNDUP(H1422*35%,0))</f>
        <v/>
      </c>
      <c r="K1422" s="113"/>
      <c r="L1422" s="113"/>
    </row>
    <row r="1423" customFormat="false" ht="12.75" hidden="false" customHeight="true" outlineLevel="0" collapsed="false">
      <c r="A1423" s="121" t="str">
        <f aca="false">IF(B1423="","",CONCATENATE(COUNTA($B$4:B1423),"."))</f>
        <v/>
      </c>
      <c r="B1423" s="112"/>
      <c r="C1423" s="112"/>
      <c r="D1423" s="81"/>
      <c r="E1423" s="81"/>
      <c r="F1423" s="81"/>
      <c r="G1423" s="81"/>
      <c r="H1423" s="81"/>
      <c r="I1423" s="161"/>
      <c r="J1423" s="154" t="str">
        <f aca="false">IF(H1423="","",ROUNDUP(H1423*35%,0))</f>
        <v/>
      </c>
      <c r="K1423" s="113"/>
      <c r="L1423" s="113"/>
    </row>
    <row r="1424" customFormat="false" ht="12.75" hidden="false" customHeight="true" outlineLevel="0" collapsed="false">
      <c r="A1424" s="121" t="str">
        <f aca="false">IF(B1424="","",CONCATENATE(COUNTA($B$4:B1424),"."))</f>
        <v/>
      </c>
      <c r="B1424" s="112"/>
      <c r="C1424" s="112"/>
      <c r="D1424" s="81"/>
      <c r="E1424" s="81"/>
      <c r="F1424" s="81"/>
      <c r="G1424" s="81"/>
      <c r="H1424" s="81"/>
      <c r="I1424" s="161"/>
      <c r="J1424" s="154" t="str">
        <f aca="false">IF(H1424="","",ROUNDUP(H1424*35%,0))</f>
        <v/>
      </c>
      <c r="K1424" s="113"/>
      <c r="L1424" s="113"/>
    </row>
    <row r="1425" customFormat="false" ht="12.75" hidden="false" customHeight="true" outlineLevel="0" collapsed="false">
      <c r="A1425" s="121" t="str">
        <f aca="false">IF(B1425="","",CONCATENATE(COUNTA($B$4:B1425),"."))</f>
        <v/>
      </c>
      <c r="B1425" s="112"/>
      <c r="C1425" s="112"/>
      <c r="D1425" s="81"/>
      <c r="E1425" s="81"/>
      <c r="F1425" s="81"/>
      <c r="G1425" s="81"/>
      <c r="H1425" s="81"/>
      <c r="I1425" s="161"/>
      <c r="J1425" s="154" t="str">
        <f aca="false">IF(H1425="","",ROUNDUP(H1425*35%,0))</f>
        <v/>
      </c>
      <c r="K1425" s="113"/>
      <c r="L1425" s="113"/>
    </row>
    <row r="1426" customFormat="false" ht="12.75" hidden="false" customHeight="true" outlineLevel="0" collapsed="false">
      <c r="A1426" s="121" t="str">
        <f aca="false">IF(B1426="","",CONCATENATE(COUNTA($B$4:B1426),"."))</f>
        <v/>
      </c>
      <c r="B1426" s="112"/>
      <c r="C1426" s="112"/>
      <c r="D1426" s="81"/>
      <c r="E1426" s="81"/>
      <c r="F1426" s="81"/>
      <c r="G1426" s="81"/>
      <c r="H1426" s="81"/>
      <c r="I1426" s="161"/>
      <c r="J1426" s="154" t="str">
        <f aca="false">IF(H1426="","",ROUNDUP(H1426*35%,0))</f>
        <v/>
      </c>
      <c r="K1426" s="113"/>
      <c r="L1426" s="113"/>
    </row>
    <row r="1427" customFormat="false" ht="12.75" hidden="false" customHeight="true" outlineLevel="0" collapsed="false">
      <c r="A1427" s="121" t="str">
        <f aca="false">IF(B1427="","",CONCATENATE(COUNTA($B$4:B1427),"."))</f>
        <v/>
      </c>
      <c r="B1427" s="112"/>
      <c r="C1427" s="112"/>
      <c r="D1427" s="81"/>
      <c r="E1427" s="81"/>
      <c r="F1427" s="81"/>
      <c r="G1427" s="81"/>
      <c r="H1427" s="81"/>
      <c r="I1427" s="161"/>
      <c r="J1427" s="154" t="str">
        <f aca="false">IF(H1427="","",ROUNDUP(H1427*35%,0))</f>
        <v/>
      </c>
      <c r="K1427" s="113"/>
      <c r="L1427" s="113"/>
    </row>
    <row r="1428" customFormat="false" ht="12.75" hidden="false" customHeight="true" outlineLevel="0" collapsed="false">
      <c r="A1428" s="121" t="str">
        <f aca="false">IF(B1428="","",CONCATENATE(COUNTA($B$4:B1428),"."))</f>
        <v/>
      </c>
      <c r="B1428" s="112"/>
      <c r="C1428" s="112"/>
      <c r="D1428" s="81"/>
      <c r="E1428" s="81"/>
      <c r="F1428" s="81"/>
      <c r="G1428" s="81"/>
      <c r="H1428" s="81"/>
      <c r="I1428" s="161"/>
      <c r="J1428" s="154" t="str">
        <f aca="false">IF(H1428="","",ROUNDUP(H1428*35%,0))</f>
        <v/>
      </c>
      <c r="K1428" s="113"/>
      <c r="L1428" s="113"/>
    </row>
    <row r="1429" customFormat="false" ht="12.75" hidden="false" customHeight="true" outlineLevel="0" collapsed="false">
      <c r="A1429" s="121" t="str">
        <f aca="false">IF(B1429="","",CONCATENATE(COUNTA($B$4:B1429),"."))</f>
        <v/>
      </c>
      <c r="B1429" s="112"/>
      <c r="C1429" s="112"/>
      <c r="D1429" s="81"/>
      <c r="E1429" s="81"/>
      <c r="F1429" s="81"/>
      <c r="G1429" s="81"/>
      <c r="H1429" s="81"/>
      <c r="I1429" s="161"/>
      <c r="J1429" s="154" t="str">
        <f aca="false">IF(H1429="","",ROUNDUP(H1429*35%,0))</f>
        <v/>
      </c>
      <c r="K1429" s="113"/>
      <c r="L1429" s="113"/>
    </row>
    <row r="1430" customFormat="false" ht="12.75" hidden="false" customHeight="true" outlineLevel="0" collapsed="false">
      <c r="A1430" s="121" t="str">
        <f aca="false">IF(B1430="","",CONCATENATE(COUNTA($B$4:B1430),"."))</f>
        <v/>
      </c>
      <c r="B1430" s="112"/>
      <c r="C1430" s="112"/>
      <c r="D1430" s="81"/>
      <c r="E1430" s="81"/>
      <c r="F1430" s="81"/>
      <c r="G1430" s="81"/>
      <c r="H1430" s="81"/>
      <c r="I1430" s="161"/>
      <c r="J1430" s="154" t="str">
        <f aca="false">IF(H1430="","",ROUNDUP(H1430*35%,0))</f>
        <v/>
      </c>
      <c r="K1430" s="113"/>
      <c r="L1430" s="113"/>
    </row>
    <row r="1431" customFormat="false" ht="12.75" hidden="false" customHeight="true" outlineLevel="0" collapsed="false">
      <c r="A1431" s="121" t="str">
        <f aca="false">IF(B1431="","",CONCATENATE(COUNTA($B$4:B1431),"."))</f>
        <v/>
      </c>
      <c r="B1431" s="112"/>
      <c r="C1431" s="112"/>
      <c r="D1431" s="81"/>
      <c r="E1431" s="81"/>
      <c r="F1431" s="81"/>
      <c r="G1431" s="81"/>
      <c r="H1431" s="81"/>
      <c r="I1431" s="161"/>
      <c r="J1431" s="154" t="str">
        <f aca="false">IF(H1431="","",ROUNDUP(H1431*35%,0))</f>
        <v/>
      </c>
      <c r="K1431" s="113"/>
      <c r="L1431" s="113"/>
    </row>
    <row r="1432" customFormat="false" ht="12.75" hidden="false" customHeight="true" outlineLevel="0" collapsed="false">
      <c r="A1432" s="121" t="str">
        <f aca="false">IF(B1432="","",CONCATENATE(COUNTA($B$4:B1432),"."))</f>
        <v/>
      </c>
      <c r="B1432" s="112"/>
      <c r="C1432" s="112"/>
      <c r="D1432" s="81"/>
      <c r="E1432" s="81"/>
      <c r="F1432" s="81"/>
      <c r="G1432" s="81"/>
      <c r="H1432" s="81"/>
      <c r="I1432" s="161"/>
      <c r="J1432" s="154" t="str">
        <f aca="false">IF(H1432="","",ROUNDUP(H1432*35%,0))</f>
        <v/>
      </c>
      <c r="K1432" s="113"/>
      <c r="L1432" s="113"/>
    </row>
    <row r="1433" customFormat="false" ht="12.75" hidden="false" customHeight="true" outlineLevel="0" collapsed="false">
      <c r="A1433" s="121" t="str">
        <f aca="false">IF(B1433="","",CONCATENATE(COUNTA($B$4:B1433),"."))</f>
        <v/>
      </c>
      <c r="B1433" s="112"/>
      <c r="C1433" s="112"/>
      <c r="D1433" s="81"/>
      <c r="E1433" s="81"/>
      <c r="F1433" s="81"/>
      <c r="G1433" s="81"/>
      <c r="H1433" s="81"/>
      <c r="I1433" s="161"/>
      <c r="J1433" s="154" t="str">
        <f aca="false">IF(H1433="","",ROUNDUP(H1433*35%,0))</f>
        <v/>
      </c>
      <c r="K1433" s="113"/>
      <c r="L1433" s="113"/>
    </row>
    <row r="1434" customFormat="false" ht="12.75" hidden="false" customHeight="true" outlineLevel="0" collapsed="false">
      <c r="A1434" s="121" t="str">
        <f aca="false">IF(B1434="","",CONCATENATE(COUNTA($B$4:B1434),"."))</f>
        <v/>
      </c>
      <c r="B1434" s="112"/>
      <c r="C1434" s="112"/>
      <c r="D1434" s="81"/>
      <c r="E1434" s="81"/>
      <c r="F1434" s="81"/>
      <c r="G1434" s="81"/>
      <c r="H1434" s="81"/>
      <c r="I1434" s="161"/>
      <c r="J1434" s="154" t="str">
        <f aca="false">IF(H1434="","",ROUNDUP(H1434*35%,0))</f>
        <v/>
      </c>
      <c r="K1434" s="113"/>
      <c r="L1434" s="113"/>
    </row>
    <row r="1435" customFormat="false" ht="12.75" hidden="false" customHeight="true" outlineLevel="0" collapsed="false">
      <c r="A1435" s="121" t="str">
        <f aca="false">IF(B1435="","",CONCATENATE(COUNTA($B$4:B1435),"."))</f>
        <v/>
      </c>
      <c r="B1435" s="112"/>
      <c r="C1435" s="112"/>
      <c r="D1435" s="81"/>
      <c r="E1435" s="81"/>
      <c r="F1435" s="81"/>
      <c r="G1435" s="81"/>
      <c r="H1435" s="81"/>
      <c r="I1435" s="161"/>
      <c r="J1435" s="154" t="str">
        <f aca="false">IF(H1435="","",ROUNDUP(H1435*35%,0))</f>
        <v/>
      </c>
      <c r="K1435" s="113"/>
      <c r="L1435" s="113"/>
    </row>
    <row r="1436" customFormat="false" ht="12.75" hidden="false" customHeight="true" outlineLevel="0" collapsed="false">
      <c r="A1436" s="121" t="str">
        <f aca="false">IF(B1436="","",CONCATENATE(COUNTA($B$4:B1436),"."))</f>
        <v/>
      </c>
      <c r="B1436" s="112"/>
      <c r="C1436" s="112"/>
      <c r="D1436" s="81"/>
      <c r="E1436" s="81"/>
      <c r="F1436" s="81"/>
      <c r="G1436" s="81"/>
      <c r="H1436" s="81"/>
      <c r="I1436" s="161"/>
      <c r="J1436" s="154" t="str">
        <f aca="false">IF(H1436="","",ROUNDUP(H1436*35%,0))</f>
        <v/>
      </c>
      <c r="K1436" s="113"/>
      <c r="L1436" s="113"/>
    </row>
    <row r="1437" customFormat="false" ht="12.75" hidden="false" customHeight="true" outlineLevel="0" collapsed="false">
      <c r="A1437" s="121" t="str">
        <f aca="false">IF(B1437="","",CONCATENATE(COUNTA($B$4:B1437),"."))</f>
        <v/>
      </c>
      <c r="B1437" s="112"/>
      <c r="C1437" s="112"/>
      <c r="D1437" s="81"/>
      <c r="E1437" s="81"/>
      <c r="F1437" s="81"/>
      <c r="G1437" s="81"/>
      <c r="H1437" s="81"/>
      <c r="I1437" s="161"/>
      <c r="J1437" s="154" t="str">
        <f aca="false">IF(H1437="","",ROUNDUP(H1437*35%,0))</f>
        <v/>
      </c>
      <c r="K1437" s="113"/>
      <c r="L1437" s="113"/>
    </row>
    <row r="1438" customFormat="false" ht="12.75" hidden="false" customHeight="true" outlineLevel="0" collapsed="false">
      <c r="A1438" s="121" t="str">
        <f aca="false">IF(B1438="","",CONCATENATE(COUNTA($B$4:B1438),"."))</f>
        <v/>
      </c>
      <c r="B1438" s="112"/>
      <c r="C1438" s="112"/>
      <c r="D1438" s="81"/>
      <c r="E1438" s="81"/>
      <c r="F1438" s="81"/>
      <c r="G1438" s="81"/>
      <c r="H1438" s="81"/>
      <c r="I1438" s="161"/>
      <c r="J1438" s="154" t="str">
        <f aca="false">IF(H1438="","",ROUNDUP(H1438*35%,0))</f>
        <v/>
      </c>
      <c r="K1438" s="113"/>
      <c r="L1438" s="113"/>
    </row>
    <row r="1439" customFormat="false" ht="12.75" hidden="false" customHeight="true" outlineLevel="0" collapsed="false">
      <c r="A1439" s="121" t="str">
        <f aca="false">IF(B1439="","",CONCATENATE(COUNTA($B$4:B1439),"."))</f>
        <v/>
      </c>
      <c r="B1439" s="112"/>
      <c r="C1439" s="112"/>
      <c r="D1439" s="81"/>
      <c r="E1439" s="81"/>
      <c r="F1439" s="81"/>
      <c r="G1439" s="81"/>
      <c r="H1439" s="81"/>
      <c r="I1439" s="161"/>
      <c r="J1439" s="154" t="str">
        <f aca="false">IF(H1439="","",ROUNDUP(H1439*35%,0))</f>
        <v/>
      </c>
      <c r="K1439" s="113"/>
      <c r="L1439" s="113"/>
    </row>
    <row r="1440" customFormat="false" ht="12.75" hidden="false" customHeight="true" outlineLevel="0" collapsed="false">
      <c r="A1440" s="121" t="str">
        <f aca="false">IF(B1440="","",CONCATENATE(COUNTA($B$4:B1440),"."))</f>
        <v/>
      </c>
      <c r="B1440" s="112"/>
      <c r="C1440" s="112"/>
      <c r="D1440" s="81"/>
      <c r="E1440" s="81"/>
      <c r="F1440" s="81"/>
      <c r="G1440" s="81"/>
      <c r="H1440" s="81"/>
      <c r="I1440" s="161"/>
      <c r="J1440" s="154" t="str">
        <f aca="false">IF(H1440="","",ROUNDUP(H1440*35%,0))</f>
        <v/>
      </c>
      <c r="K1440" s="113"/>
      <c r="L1440" s="113"/>
    </row>
    <row r="1441" customFormat="false" ht="12.75" hidden="false" customHeight="true" outlineLevel="0" collapsed="false">
      <c r="A1441" s="121" t="str">
        <f aca="false">IF(B1441="","",CONCATENATE(COUNTA($B$4:B1441),"."))</f>
        <v/>
      </c>
      <c r="B1441" s="112"/>
      <c r="C1441" s="112"/>
      <c r="D1441" s="81"/>
      <c r="E1441" s="81"/>
      <c r="F1441" s="81"/>
      <c r="G1441" s="81"/>
      <c r="H1441" s="81"/>
      <c r="I1441" s="161"/>
      <c r="J1441" s="154" t="str">
        <f aca="false">IF(H1441="","",ROUNDUP(H1441*35%,0))</f>
        <v/>
      </c>
      <c r="K1441" s="113"/>
      <c r="L1441" s="113"/>
    </row>
    <row r="1442" customFormat="false" ht="12.75" hidden="false" customHeight="true" outlineLevel="0" collapsed="false">
      <c r="A1442" s="121" t="str">
        <f aca="false">IF(B1442="","",CONCATENATE(COUNTA($B$4:B1442),"."))</f>
        <v/>
      </c>
      <c r="B1442" s="112"/>
      <c r="C1442" s="112"/>
      <c r="D1442" s="81"/>
      <c r="E1442" s="81"/>
      <c r="F1442" s="81"/>
      <c r="G1442" s="81"/>
      <c r="H1442" s="81"/>
      <c r="I1442" s="161"/>
      <c r="J1442" s="154" t="str">
        <f aca="false">IF(H1442="","",ROUNDUP(H1442*35%,0))</f>
        <v/>
      </c>
      <c r="K1442" s="113"/>
      <c r="L1442" s="113"/>
    </row>
    <row r="1443" customFormat="false" ht="12.75" hidden="false" customHeight="true" outlineLevel="0" collapsed="false">
      <c r="A1443" s="121" t="str">
        <f aca="false">IF(B1443="","",CONCATENATE(COUNTA($B$4:B1443),"."))</f>
        <v/>
      </c>
      <c r="B1443" s="112"/>
      <c r="C1443" s="112"/>
      <c r="D1443" s="81"/>
      <c r="E1443" s="81"/>
      <c r="F1443" s="81"/>
      <c r="G1443" s="81"/>
      <c r="H1443" s="81"/>
      <c r="I1443" s="161"/>
      <c r="J1443" s="154" t="str">
        <f aca="false">IF(H1443="","",ROUNDUP(H1443*35%,0))</f>
        <v/>
      </c>
      <c r="K1443" s="113"/>
      <c r="L1443" s="113"/>
    </row>
    <row r="1444" customFormat="false" ht="12.75" hidden="false" customHeight="true" outlineLevel="0" collapsed="false">
      <c r="A1444" s="121" t="str">
        <f aca="false">IF(B1444="","",CONCATENATE(COUNTA($B$4:B1444),"."))</f>
        <v/>
      </c>
      <c r="B1444" s="112"/>
      <c r="C1444" s="112"/>
      <c r="D1444" s="81"/>
      <c r="E1444" s="81"/>
      <c r="F1444" s="81"/>
      <c r="G1444" s="81"/>
      <c r="H1444" s="81"/>
      <c r="I1444" s="161"/>
      <c r="J1444" s="154" t="str">
        <f aca="false">IF(H1444="","",ROUNDUP(H1444*35%,0))</f>
        <v/>
      </c>
      <c r="K1444" s="113"/>
      <c r="L1444" s="113"/>
    </row>
    <row r="1445" customFormat="false" ht="12.75" hidden="false" customHeight="true" outlineLevel="0" collapsed="false">
      <c r="A1445" s="121" t="str">
        <f aca="false">IF(B1445="","",CONCATENATE(COUNTA($B$4:B1445),"."))</f>
        <v/>
      </c>
      <c r="B1445" s="112"/>
      <c r="C1445" s="112"/>
      <c r="D1445" s="81"/>
      <c r="E1445" s="81"/>
      <c r="F1445" s="81"/>
      <c r="G1445" s="81"/>
      <c r="H1445" s="81"/>
      <c r="I1445" s="161"/>
      <c r="J1445" s="154" t="str">
        <f aca="false">IF(H1445="","",ROUNDUP(H1445*35%,0))</f>
        <v/>
      </c>
      <c r="K1445" s="113"/>
      <c r="L1445" s="113"/>
    </row>
    <row r="1446" customFormat="false" ht="12.75" hidden="false" customHeight="true" outlineLevel="0" collapsed="false">
      <c r="A1446" s="121" t="str">
        <f aca="false">IF(B1446="","",CONCATENATE(COUNTA($B$4:B1446),"."))</f>
        <v/>
      </c>
      <c r="B1446" s="112"/>
      <c r="C1446" s="112"/>
      <c r="D1446" s="81"/>
      <c r="E1446" s="81"/>
      <c r="F1446" s="81"/>
      <c r="G1446" s="81"/>
      <c r="H1446" s="81"/>
      <c r="I1446" s="161"/>
      <c r="J1446" s="154" t="str">
        <f aca="false">IF(H1446="","",ROUNDUP(H1446*35%,0))</f>
        <v/>
      </c>
      <c r="K1446" s="113"/>
      <c r="L1446" s="113"/>
    </row>
    <row r="1447" customFormat="false" ht="12.75" hidden="false" customHeight="true" outlineLevel="0" collapsed="false">
      <c r="A1447" s="121" t="str">
        <f aca="false">IF(B1447="","",CONCATENATE(COUNTA($B$4:B1447),"."))</f>
        <v/>
      </c>
      <c r="B1447" s="112"/>
      <c r="C1447" s="112"/>
      <c r="D1447" s="81"/>
      <c r="E1447" s="81"/>
      <c r="F1447" s="81"/>
      <c r="G1447" s="81"/>
      <c r="H1447" s="81"/>
      <c r="I1447" s="161"/>
      <c r="J1447" s="154" t="str">
        <f aca="false">IF(H1447="","",ROUNDUP(H1447*35%,0))</f>
        <v/>
      </c>
      <c r="K1447" s="113"/>
      <c r="L1447" s="113"/>
    </row>
    <row r="1448" customFormat="false" ht="12.75" hidden="false" customHeight="true" outlineLevel="0" collapsed="false">
      <c r="A1448" s="121" t="str">
        <f aca="false">IF(B1448="","",CONCATENATE(COUNTA($B$4:B1448),"."))</f>
        <v/>
      </c>
      <c r="B1448" s="112"/>
      <c r="C1448" s="112"/>
      <c r="D1448" s="81"/>
      <c r="E1448" s="81"/>
      <c r="F1448" s="81"/>
      <c r="G1448" s="81"/>
      <c r="H1448" s="81"/>
      <c r="I1448" s="161"/>
      <c r="J1448" s="154" t="str">
        <f aca="false">IF(H1448="","",ROUNDUP(H1448*35%,0))</f>
        <v/>
      </c>
      <c r="K1448" s="113"/>
      <c r="L1448" s="113"/>
    </row>
    <row r="1449" customFormat="false" ht="12.75" hidden="false" customHeight="true" outlineLevel="0" collapsed="false">
      <c r="A1449" s="121" t="str">
        <f aca="false">IF(B1449="","",CONCATENATE(COUNTA($B$4:B1449),"."))</f>
        <v/>
      </c>
      <c r="B1449" s="112"/>
      <c r="C1449" s="112"/>
      <c r="D1449" s="81"/>
      <c r="E1449" s="81"/>
      <c r="F1449" s="81"/>
      <c r="G1449" s="81"/>
      <c r="H1449" s="81"/>
      <c r="I1449" s="161"/>
      <c r="J1449" s="154" t="str">
        <f aca="false">IF(H1449="","",ROUNDUP(H1449*35%,0))</f>
        <v/>
      </c>
      <c r="K1449" s="113"/>
      <c r="L1449" s="113"/>
    </row>
    <row r="1450" customFormat="false" ht="12.75" hidden="false" customHeight="true" outlineLevel="0" collapsed="false">
      <c r="A1450" s="121" t="str">
        <f aca="false">IF(B1450="","",CONCATENATE(COUNTA($B$4:B1450),"."))</f>
        <v/>
      </c>
      <c r="B1450" s="112"/>
      <c r="C1450" s="112"/>
      <c r="D1450" s="81"/>
      <c r="E1450" s="81"/>
      <c r="F1450" s="81"/>
      <c r="G1450" s="81"/>
      <c r="H1450" s="81"/>
      <c r="I1450" s="161"/>
      <c r="J1450" s="154" t="str">
        <f aca="false">IF(H1450="","",ROUNDUP(H1450*35%,0))</f>
        <v/>
      </c>
      <c r="K1450" s="113"/>
      <c r="L1450" s="113"/>
    </row>
    <row r="1451" customFormat="false" ht="12.75" hidden="false" customHeight="true" outlineLevel="0" collapsed="false">
      <c r="A1451" s="121" t="str">
        <f aca="false">IF(B1451="","",CONCATENATE(COUNTA($B$4:B1451),"."))</f>
        <v/>
      </c>
      <c r="B1451" s="112"/>
      <c r="C1451" s="112"/>
      <c r="D1451" s="81"/>
      <c r="E1451" s="81"/>
      <c r="F1451" s="81"/>
      <c r="G1451" s="81"/>
      <c r="H1451" s="81"/>
      <c r="I1451" s="161"/>
      <c r="J1451" s="154" t="str">
        <f aca="false">IF(H1451="","",ROUNDUP(H1451*35%,0))</f>
        <v/>
      </c>
      <c r="K1451" s="113"/>
      <c r="L1451" s="113"/>
    </row>
    <row r="1452" customFormat="false" ht="12.75" hidden="false" customHeight="true" outlineLevel="0" collapsed="false">
      <c r="A1452" s="121" t="str">
        <f aca="false">IF(B1452="","",CONCATENATE(COUNTA($B$4:B1452),"."))</f>
        <v/>
      </c>
      <c r="B1452" s="112"/>
      <c r="C1452" s="112"/>
      <c r="D1452" s="81"/>
      <c r="E1452" s="81"/>
      <c r="F1452" s="81"/>
      <c r="G1452" s="81"/>
      <c r="H1452" s="81"/>
      <c r="I1452" s="161"/>
      <c r="J1452" s="154" t="str">
        <f aca="false">IF(H1452="","",ROUNDUP(H1452*35%,0))</f>
        <v/>
      </c>
      <c r="K1452" s="113"/>
      <c r="L1452" s="113"/>
    </row>
    <row r="1453" customFormat="false" ht="12.75" hidden="false" customHeight="true" outlineLevel="0" collapsed="false">
      <c r="A1453" s="121" t="str">
        <f aca="false">IF(B1453="","",CONCATENATE(COUNTA($B$4:B1453),"."))</f>
        <v/>
      </c>
      <c r="B1453" s="112"/>
      <c r="C1453" s="112"/>
      <c r="D1453" s="81"/>
      <c r="E1453" s="81"/>
      <c r="F1453" s="81"/>
      <c r="G1453" s="81"/>
      <c r="H1453" s="81"/>
      <c r="I1453" s="161"/>
      <c r="J1453" s="154" t="str">
        <f aca="false">IF(H1453="","",ROUNDUP(H1453*35%,0))</f>
        <v/>
      </c>
      <c r="K1453" s="113"/>
      <c r="L1453" s="113"/>
    </row>
    <row r="1454" customFormat="false" ht="12.75" hidden="false" customHeight="true" outlineLevel="0" collapsed="false">
      <c r="A1454" s="121" t="str">
        <f aca="false">IF(B1454="","",CONCATENATE(COUNTA($B$4:B1454),"."))</f>
        <v/>
      </c>
      <c r="B1454" s="112"/>
      <c r="C1454" s="112"/>
      <c r="D1454" s="81"/>
      <c r="E1454" s="81"/>
      <c r="F1454" s="81"/>
      <c r="G1454" s="81"/>
      <c r="H1454" s="81"/>
      <c r="I1454" s="161"/>
      <c r="J1454" s="154" t="str">
        <f aca="false">IF(H1454="","",ROUNDUP(H1454*35%,0))</f>
        <v/>
      </c>
      <c r="K1454" s="113"/>
      <c r="L1454" s="113"/>
    </row>
    <row r="1455" customFormat="false" ht="12.75" hidden="false" customHeight="true" outlineLevel="0" collapsed="false">
      <c r="A1455" s="121" t="str">
        <f aca="false">IF(B1455="","",CONCATENATE(COUNTA($B$4:B1455),"."))</f>
        <v/>
      </c>
      <c r="B1455" s="112"/>
      <c r="C1455" s="112"/>
      <c r="D1455" s="81"/>
      <c r="E1455" s="81"/>
      <c r="F1455" s="81"/>
      <c r="G1455" s="81"/>
      <c r="H1455" s="81"/>
      <c r="I1455" s="161"/>
      <c r="J1455" s="154" t="str">
        <f aca="false">IF(H1455="","",ROUNDUP(H1455*35%,0))</f>
        <v/>
      </c>
      <c r="K1455" s="113"/>
      <c r="L1455" s="113"/>
    </row>
    <row r="1456" customFormat="false" ht="12.75" hidden="false" customHeight="true" outlineLevel="0" collapsed="false">
      <c r="A1456" s="121" t="str">
        <f aca="false">IF(B1456="","",CONCATENATE(COUNTA($B$4:B1456),"."))</f>
        <v/>
      </c>
      <c r="B1456" s="112"/>
      <c r="C1456" s="112"/>
      <c r="D1456" s="81"/>
      <c r="E1456" s="81"/>
      <c r="F1456" s="81"/>
      <c r="G1456" s="81"/>
      <c r="H1456" s="81"/>
      <c r="I1456" s="161"/>
      <c r="J1456" s="154" t="str">
        <f aca="false">IF(H1456="","",ROUNDUP(H1456*35%,0))</f>
        <v/>
      </c>
      <c r="K1456" s="113"/>
      <c r="L1456" s="113"/>
    </row>
    <row r="1457" customFormat="false" ht="12.75" hidden="false" customHeight="true" outlineLevel="0" collapsed="false">
      <c r="A1457" s="121" t="str">
        <f aca="false">IF(B1457="","",CONCATENATE(COUNTA($B$4:B1457),"."))</f>
        <v/>
      </c>
      <c r="B1457" s="112"/>
      <c r="C1457" s="112"/>
      <c r="D1457" s="81"/>
      <c r="E1457" s="81"/>
      <c r="F1457" s="81"/>
      <c r="G1457" s="81"/>
      <c r="H1457" s="81"/>
      <c r="I1457" s="161"/>
      <c r="J1457" s="154" t="str">
        <f aca="false">IF(H1457="","",ROUNDUP(H1457*35%,0))</f>
        <v/>
      </c>
      <c r="K1457" s="113"/>
      <c r="L1457" s="113"/>
    </row>
    <row r="1458" customFormat="false" ht="12.75" hidden="false" customHeight="true" outlineLevel="0" collapsed="false">
      <c r="A1458" s="121" t="str">
        <f aca="false">IF(B1458="","",CONCATENATE(COUNTA($B$4:B1458),"."))</f>
        <v/>
      </c>
      <c r="B1458" s="112"/>
      <c r="C1458" s="112"/>
      <c r="D1458" s="81"/>
      <c r="E1458" s="81"/>
      <c r="F1458" s="81"/>
      <c r="G1458" s="81"/>
      <c r="H1458" s="81"/>
      <c r="I1458" s="161"/>
      <c r="J1458" s="154" t="str">
        <f aca="false">IF(H1458="","",ROUNDUP(H1458*35%,0))</f>
        <v/>
      </c>
      <c r="K1458" s="113"/>
      <c r="L1458" s="113"/>
    </row>
    <row r="1459" customFormat="false" ht="12.75" hidden="false" customHeight="true" outlineLevel="0" collapsed="false">
      <c r="A1459" s="121" t="str">
        <f aca="false">IF(B1459="","",CONCATENATE(COUNTA($B$4:B1459),"."))</f>
        <v/>
      </c>
      <c r="B1459" s="112"/>
      <c r="C1459" s="112"/>
      <c r="D1459" s="81"/>
      <c r="E1459" s="81"/>
      <c r="F1459" s="81"/>
      <c r="G1459" s="81"/>
      <c r="H1459" s="81"/>
      <c r="I1459" s="161"/>
      <c r="J1459" s="154" t="str">
        <f aca="false">IF(H1459="","",ROUNDUP(H1459*35%,0))</f>
        <v/>
      </c>
      <c r="K1459" s="113"/>
      <c r="L1459" s="113"/>
    </row>
    <row r="1460" customFormat="false" ht="12.75" hidden="false" customHeight="true" outlineLevel="0" collapsed="false">
      <c r="A1460" s="121" t="str">
        <f aca="false">IF(B1460="","",CONCATENATE(COUNTA($B$4:B1460),"."))</f>
        <v/>
      </c>
      <c r="B1460" s="112"/>
      <c r="C1460" s="112"/>
      <c r="D1460" s="81"/>
      <c r="E1460" s="81"/>
      <c r="F1460" s="81"/>
      <c r="G1460" s="81"/>
      <c r="H1460" s="81"/>
      <c r="I1460" s="161"/>
      <c r="J1460" s="154" t="str">
        <f aca="false">IF(H1460="","",ROUNDUP(H1460*35%,0))</f>
        <v/>
      </c>
      <c r="K1460" s="113"/>
      <c r="L1460" s="113"/>
    </row>
    <row r="1461" customFormat="false" ht="12.75" hidden="false" customHeight="true" outlineLevel="0" collapsed="false">
      <c r="A1461" s="121" t="str">
        <f aca="false">IF(B1461="","",CONCATENATE(COUNTA($B$4:B1461),"."))</f>
        <v/>
      </c>
      <c r="B1461" s="112"/>
      <c r="C1461" s="112"/>
      <c r="D1461" s="81"/>
      <c r="E1461" s="81"/>
      <c r="F1461" s="81"/>
      <c r="G1461" s="81"/>
      <c r="H1461" s="81"/>
      <c r="I1461" s="161"/>
      <c r="J1461" s="154" t="str">
        <f aca="false">IF(H1461="","",ROUNDUP(H1461*35%,0))</f>
        <v/>
      </c>
      <c r="K1461" s="113"/>
      <c r="L1461" s="113"/>
    </row>
    <row r="1462" customFormat="false" ht="12.75" hidden="false" customHeight="true" outlineLevel="0" collapsed="false">
      <c r="A1462" s="121" t="str">
        <f aca="false">IF(B1462="","",CONCATENATE(COUNTA($B$4:B1462),"."))</f>
        <v/>
      </c>
      <c r="B1462" s="112"/>
      <c r="C1462" s="112"/>
      <c r="D1462" s="81"/>
      <c r="E1462" s="81"/>
      <c r="F1462" s="81"/>
      <c r="G1462" s="81"/>
      <c r="H1462" s="81"/>
      <c r="I1462" s="161"/>
      <c r="J1462" s="154" t="str">
        <f aca="false">IF(H1462="","",ROUNDUP(H1462*35%,0))</f>
        <v/>
      </c>
      <c r="K1462" s="113"/>
      <c r="L1462" s="113"/>
    </row>
    <row r="1463" customFormat="false" ht="12.75" hidden="false" customHeight="true" outlineLevel="0" collapsed="false">
      <c r="A1463" s="121" t="str">
        <f aca="false">IF(B1463="","",CONCATENATE(COUNTA($B$4:B1463),"."))</f>
        <v/>
      </c>
      <c r="B1463" s="112"/>
      <c r="C1463" s="112"/>
      <c r="D1463" s="81"/>
      <c r="E1463" s="81"/>
      <c r="F1463" s="81"/>
      <c r="G1463" s="81"/>
      <c r="H1463" s="81"/>
      <c r="I1463" s="161"/>
      <c r="J1463" s="154" t="str">
        <f aca="false">IF(H1463="","",ROUNDUP(H1463*35%,0))</f>
        <v/>
      </c>
      <c r="K1463" s="113"/>
      <c r="L1463" s="113"/>
    </row>
    <row r="1464" customFormat="false" ht="12.75" hidden="false" customHeight="true" outlineLevel="0" collapsed="false">
      <c r="A1464" s="121" t="str">
        <f aca="false">IF(B1464="","",CONCATENATE(COUNTA($B$4:B1464),"."))</f>
        <v/>
      </c>
      <c r="B1464" s="112"/>
      <c r="C1464" s="112"/>
      <c r="D1464" s="81"/>
      <c r="E1464" s="81"/>
      <c r="F1464" s="81"/>
      <c r="G1464" s="81"/>
      <c r="H1464" s="81"/>
      <c r="I1464" s="161"/>
      <c r="J1464" s="154" t="str">
        <f aca="false">IF(H1464="","",ROUNDUP(H1464*35%,0))</f>
        <v/>
      </c>
      <c r="K1464" s="113"/>
      <c r="L1464" s="113"/>
    </row>
    <row r="1465" customFormat="false" ht="12.75" hidden="false" customHeight="true" outlineLevel="0" collapsed="false">
      <c r="A1465" s="121" t="str">
        <f aca="false">IF(B1465="","",CONCATENATE(COUNTA($B$4:B1465),"."))</f>
        <v/>
      </c>
      <c r="B1465" s="112"/>
      <c r="C1465" s="112"/>
      <c r="D1465" s="81"/>
      <c r="E1465" s="81"/>
      <c r="F1465" s="81"/>
      <c r="G1465" s="81"/>
      <c r="H1465" s="81"/>
      <c r="I1465" s="161"/>
      <c r="J1465" s="154" t="str">
        <f aca="false">IF(H1465="","",ROUNDUP(H1465*35%,0))</f>
        <v/>
      </c>
      <c r="K1465" s="113"/>
      <c r="L1465" s="113"/>
    </row>
    <row r="1466" customFormat="false" ht="12.75" hidden="false" customHeight="true" outlineLevel="0" collapsed="false">
      <c r="A1466" s="121" t="str">
        <f aca="false">IF(B1466="","",CONCATENATE(COUNTA($B$4:B1466),"."))</f>
        <v/>
      </c>
      <c r="B1466" s="112"/>
      <c r="C1466" s="112"/>
      <c r="D1466" s="81"/>
      <c r="E1466" s="81"/>
      <c r="F1466" s="81"/>
      <c r="G1466" s="81"/>
      <c r="H1466" s="81"/>
      <c r="I1466" s="161"/>
      <c r="J1466" s="154" t="str">
        <f aca="false">IF(H1466="","",ROUNDUP(H1466*35%,0))</f>
        <v/>
      </c>
      <c r="K1466" s="113"/>
      <c r="L1466" s="113"/>
    </row>
    <row r="1467" customFormat="false" ht="12.75" hidden="false" customHeight="true" outlineLevel="0" collapsed="false">
      <c r="A1467" s="121" t="str">
        <f aca="false">IF(B1467="","",CONCATENATE(COUNTA($B$4:B1467),"."))</f>
        <v/>
      </c>
      <c r="B1467" s="112"/>
      <c r="C1467" s="112"/>
      <c r="D1467" s="81"/>
      <c r="E1467" s="81"/>
      <c r="F1467" s="81"/>
      <c r="G1467" s="81"/>
      <c r="H1467" s="81"/>
      <c r="I1467" s="161"/>
      <c r="J1467" s="154" t="str">
        <f aca="false">IF(H1467="","",ROUNDUP(H1467*35%,0))</f>
        <v/>
      </c>
      <c r="K1467" s="113"/>
      <c r="L1467" s="113"/>
    </row>
    <row r="1468" customFormat="false" ht="12.75" hidden="false" customHeight="true" outlineLevel="0" collapsed="false">
      <c r="A1468" s="121" t="str">
        <f aca="false">IF(B1468="","",CONCATENATE(COUNTA($B$4:B1468),"."))</f>
        <v/>
      </c>
      <c r="B1468" s="112"/>
      <c r="C1468" s="112"/>
      <c r="D1468" s="81"/>
      <c r="E1468" s="81"/>
      <c r="F1468" s="81"/>
      <c r="G1468" s="81"/>
      <c r="H1468" s="81"/>
      <c r="I1468" s="161"/>
      <c r="J1468" s="154" t="str">
        <f aca="false">IF(H1468="","",ROUNDUP(H1468*35%,0))</f>
        <v/>
      </c>
      <c r="K1468" s="113"/>
      <c r="L1468" s="113"/>
    </row>
    <row r="1469" customFormat="false" ht="12.75" hidden="false" customHeight="true" outlineLevel="0" collapsed="false">
      <c r="A1469" s="121" t="str">
        <f aca="false">IF(B1469="","",CONCATENATE(COUNTA($B$4:B1469),"."))</f>
        <v/>
      </c>
      <c r="B1469" s="112"/>
      <c r="C1469" s="112"/>
      <c r="D1469" s="81"/>
      <c r="E1469" s="81"/>
      <c r="F1469" s="81"/>
      <c r="G1469" s="81"/>
      <c r="H1469" s="81"/>
      <c r="I1469" s="161"/>
      <c r="J1469" s="154" t="str">
        <f aca="false">IF(H1469="","",ROUNDUP(H1469*35%,0))</f>
        <v/>
      </c>
      <c r="K1469" s="113"/>
      <c r="L1469" s="113"/>
    </row>
    <row r="1470" customFormat="false" ht="12.75" hidden="false" customHeight="true" outlineLevel="0" collapsed="false">
      <c r="A1470" s="121" t="str">
        <f aca="false">IF(B1470="","",CONCATENATE(COUNTA($B$4:B1470),"."))</f>
        <v/>
      </c>
      <c r="B1470" s="112"/>
      <c r="C1470" s="112"/>
      <c r="D1470" s="81"/>
      <c r="E1470" s="81"/>
      <c r="F1470" s="81"/>
      <c r="G1470" s="81"/>
      <c r="H1470" s="81"/>
      <c r="I1470" s="161"/>
      <c r="J1470" s="154" t="str">
        <f aca="false">IF(H1470="","",ROUNDUP(H1470*35%,0))</f>
        <v/>
      </c>
      <c r="K1470" s="113"/>
      <c r="L1470" s="113"/>
    </row>
    <row r="1471" customFormat="false" ht="12.75" hidden="false" customHeight="true" outlineLevel="0" collapsed="false">
      <c r="A1471" s="121" t="str">
        <f aca="false">IF(B1471="","",CONCATENATE(COUNTA($B$4:B1471),"."))</f>
        <v/>
      </c>
      <c r="B1471" s="112"/>
      <c r="C1471" s="112"/>
      <c r="D1471" s="81"/>
      <c r="E1471" s="81"/>
      <c r="F1471" s="81"/>
      <c r="G1471" s="81"/>
      <c r="H1471" s="81"/>
      <c r="I1471" s="161"/>
      <c r="J1471" s="154" t="str">
        <f aca="false">IF(H1471="","",ROUNDUP(H1471*35%,0))</f>
        <v/>
      </c>
      <c r="K1471" s="113"/>
      <c r="L1471" s="113"/>
    </row>
    <row r="1472" customFormat="false" ht="12.75" hidden="false" customHeight="true" outlineLevel="0" collapsed="false">
      <c r="A1472" s="121" t="str">
        <f aca="false">IF(B1472="","",CONCATENATE(COUNTA($B$4:B1472),"."))</f>
        <v/>
      </c>
      <c r="B1472" s="112"/>
      <c r="C1472" s="112"/>
      <c r="D1472" s="81"/>
      <c r="E1472" s="81"/>
      <c r="F1472" s="81"/>
      <c r="G1472" s="81"/>
      <c r="H1472" s="81"/>
      <c r="I1472" s="161"/>
      <c r="J1472" s="154" t="str">
        <f aca="false">IF(H1472="","",ROUNDUP(H1472*35%,0))</f>
        <v/>
      </c>
      <c r="K1472" s="113"/>
      <c r="L1472" s="113"/>
    </row>
    <row r="1473" customFormat="false" ht="12.75" hidden="false" customHeight="true" outlineLevel="0" collapsed="false">
      <c r="A1473" s="121" t="str">
        <f aca="false">IF(B1473="","",CONCATENATE(COUNTA($B$4:B1473),"."))</f>
        <v/>
      </c>
      <c r="B1473" s="112"/>
      <c r="C1473" s="112"/>
      <c r="D1473" s="81"/>
      <c r="E1473" s="81"/>
      <c r="F1473" s="81"/>
      <c r="G1473" s="81"/>
      <c r="H1473" s="81"/>
      <c r="I1473" s="161"/>
      <c r="J1473" s="154" t="str">
        <f aca="false">IF(H1473="","",ROUNDUP(H1473*35%,0))</f>
        <v/>
      </c>
      <c r="K1473" s="113"/>
      <c r="L1473" s="113"/>
    </row>
    <row r="1474" customFormat="false" ht="12.75" hidden="false" customHeight="true" outlineLevel="0" collapsed="false">
      <c r="A1474" s="121" t="str">
        <f aca="false">IF(B1474="","",CONCATENATE(COUNTA($B$4:B1474),"."))</f>
        <v/>
      </c>
      <c r="B1474" s="112"/>
      <c r="C1474" s="112"/>
      <c r="D1474" s="81"/>
      <c r="E1474" s="81"/>
      <c r="F1474" s="81"/>
      <c r="G1474" s="81"/>
      <c r="H1474" s="81"/>
      <c r="I1474" s="161"/>
      <c r="J1474" s="154" t="str">
        <f aca="false">IF(H1474="","",ROUNDUP(H1474*35%,0))</f>
        <v/>
      </c>
      <c r="K1474" s="113"/>
      <c r="L1474" s="113"/>
    </row>
    <row r="1475" customFormat="false" ht="12.75" hidden="false" customHeight="true" outlineLevel="0" collapsed="false">
      <c r="A1475" s="121" t="str">
        <f aca="false">IF(B1475="","",CONCATENATE(COUNTA($B$4:B1475),"."))</f>
        <v/>
      </c>
      <c r="B1475" s="112"/>
      <c r="C1475" s="112"/>
      <c r="D1475" s="81"/>
      <c r="E1475" s="81"/>
      <c r="F1475" s="81"/>
      <c r="G1475" s="81"/>
      <c r="H1475" s="81"/>
      <c r="I1475" s="161"/>
      <c r="J1475" s="154" t="str">
        <f aca="false">IF(H1475="","",ROUNDUP(H1475*35%,0))</f>
        <v/>
      </c>
      <c r="K1475" s="113"/>
      <c r="L1475" s="113"/>
    </row>
    <row r="1476" customFormat="false" ht="12.75" hidden="false" customHeight="true" outlineLevel="0" collapsed="false">
      <c r="A1476" s="121" t="str">
        <f aca="false">IF(B1476="","",CONCATENATE(COUNTA($B$4:B1476),"."))</f>
        <v/>
      </c>
      <c r="B1476" s="112"/>
      <c r="C1476" s="112"/>
      <c r="D1476" s="81"/>
      <c r="E1476" s="81"/>
      <c r="F1476" s="81"/>
      <c r="G1476" s="81"/>
      <c r="H1476" s="81"/>
      <c r="I1476" s="161"/>
      <c r="J1476" s="154" t="str">
        <f aca="false">IF(H1476="","",ROUNDUP(H1476*35%,0))</f>
        <v/>
      </c>
      <c r="K1476" s="113"/>
      <c r="L1476" s="113"/>
    </row>
    <row r="1477" customFormat="false" ht="12.75" hidden="false" customHeight="true" outlineLevel="0" collapsed="false">
      <c r="A1477" s="121" t="str">
        <f aca="false">IF(B1477="","",CONCATENATE(COUNTA($B$4:B1477),"."))</f>
        <v/>
      </c>
      <c r="B1477" s="112"/>
      <c r="C1477" s="112"/>
      <c r="D1477" s="81"/>
      <c r="E1477" s="81"/>
      <c r="F1477" s="81"/>
      <c r="G1477" s="81"/>
      <c r="H1477" s="81"/>
      <c r="I1477" s="161"/>
      <c r="J1477" s="154" t="str">
        <f aca="false">IF(H1477="","",ROUNDUP(H1477*35%,0))</f>
        <v/>
      </c>
      <c r="K1477" s="113"/>
      <c r="L1477" s="113"/>
    </row>
    <row r="1478" customFormat="false" ht="12.75" hidden="false" customHeight="true" outlineLevel="0" collapsed="false">
      <c r="A1478" s="121" t="str">
        <f aca="false">IF(B1478="","",CONCATENATE(COUNTA($B$4:B1478),"."))</f>
        <v/>
      </c>
      <c r="B1478" s="112"/>
      <c r="C1478" s="112"/>
      <c r="D1478" s="81"/>
      <c r="E1478" s="81"/>
      <c r="F1478" s="81"/>
      <c r="G1478" s="81"/>
      <c r="H1478" s="81"/>
      <c r="I1478" s="161"/>
      <c r="J1478" s="154" t="str">
        <f aca="false">IF(H1478="","",ROUNDUP(H1478*35%,0))</f>
        <v/>
      </c>
      <c r="K1478" s="113"/>
      <c r="L1478" s="113"/>
    </row>
    <row r="1479" customFormat="false" ht="12.75" hidden="false" customHeight="true" outlineLevel="0" collapsed="false">
      <c r="A1479" s="121" t="str">
        <f aca="false">IF(B1479="","",CONCATENATE(COUNTA($B$4:B1479),"."))</f>
        <v/>
      </c>
      <c r="B1479" s="112"/>
      <c r="C1479" s="112"/>
      <c r="D1479" s="81"/>
      <c r="E1479" s="81"/>
      <c r="F1479" s="81"/>
      <c r="G1479" s="81"/>
      <c r="H1479" s="81"/>
      <c r="I1479" s="161"/>
      <c r="J1479" s="154" t="str">
        <f aca="false">IF(H1479="","",ROUNDUP(H1479*35%,0))</f>
        <v/>
      </c>
      <c r="K1479" s="113"/>
      <c r="L1479" s="113"/>
    </row>
    <row r="1480" customFormat="false" ht="12.75" hidden="false" customHeight="true" outlineLevel="0" collapsed="false">
      <c r="A1480" s="121" t="str">
        <f aca="false">IF(B1480="","",CONCATENATE(COUNTA($B$4:B1480),"."))</f>
        <v/>
      </c>
      <c r="B1480" s="112"/>
      <c r="C1480" s="112"/>
      <c r="D1480" s="81"/>
      <c r="E1480" s="81"/>
      <c r="F1480" s="81"/>
      <c r="G1480" s="81"/>
      <c r="H1480" s="81"/>
      <c r="I1480" s="161"/>
      <c r="J1480" s="154" t="str">
        <f aca="false">IF(H1480="","",ROUNDUP(H1480*35%,0))</f>
        <v/>
      </c>
      <c r="K1480" s="113"/>
      <c r="L1480" s="113"/>
    </row>
    <row r="1481" customFormat="false" ht="12.75" hidden="false" customHeight="true" outlineLevel="0" collapsed="false">
      <c r="A1481" s="121" t="str">
        <f aca="false">IF(B1481="","",CONCATENATE(COUNTA($B$4:B1481),"."))</f>
        <v/>
      </c>
      <c r="B1481" s="112"/>
      <c r="C1481" s="112"/>
      <c r="D1481" s="81"/>
      <c r="E1481" s="81"/>
      <c r="F1481" s="81"/>
      <c r="G1481" s="81"/>
      <c r="H1481" s="81"/>
      <c r="I1481" s="161"/>
      <c r="J1481" s="154" t="str">
        <f aca="false">IF(H1481="","",ROUNDUP(H1481*35%,0))</f>
        <v/>
      </c>
      <c r="K1481" s="113"/>
      <c r="L1481" s="113"/>
    </row>
    <row r="1482" customFormat="false" ht="12.75" hidden="false" customHeight="true" outlineLevel="0" collapsed="false">
      <c r="A1482" s="121" t="str">
        <f aca="false">IF(B1482="","",CONCATENATE(COUNTA($B$4:B1482),"."))</f>
        <v/>
      </c>
      <c r="B1482" s="112"/>
      <c r="C1482" s="112"/>
      <c r="D1482" s="81"/>
      <c r="E1482" s="81"/>
      <c r="F1482" s="81"/>
      <c r="G1482" s="81"/>
      <c r="H1482" s="81"/>
      <c r="I1482" s="161"/>
      <c r="J1482" s="154" t="str">
        <f aca="false">IF(H1482="","",ROUNDUP(H1482*35%,0))</f>
        <v/>
      </c>
      <c r="K1482" s="113"/>
      <c r="L1482" s="113"/>
    </row>
    <row r="1483" customFormat="false" ht="12.75" hidden="false" customHeight="true" outlineLevel="0" collapsed="false">
      <c r="A1483" s="121" t="str">
        <f aca="false">IF(B1483="","",CONCATENATE(COUNTA($B$4:B1483),"."))</f>
        <v/>
      </c>
      <c r="B1483" s="112"/>
      <c r="C1483" s="112"/>
      <c r="D1483" s="81"/>
      <c r="E1483" s="81"/>
      <c r="F1483" s="81"/>
      <c r="G1483" s="81"/>
      <c r="H1483" s="81"/>
      <c r="I1483" s="161"/>
      <c r="J1483" s="154" t="str">
        <f aca="false">IF(H1483="","",ROUNDUP(H1483*35%,0))</f>
        <v/>
      </c>
      <c r="K1483" s="113"/>
      <c r="L1483" s="113"/>
    </row>
    <row r="1484" customFormat="false" ht="12.75" hidden="false" customHeight="true" outlineLevel="0" collapsed="false">
      <c r="A1484" s="121" t="str">
        <f aca="false">IF(B1484="","",CONCATENATE(COUNTA($B$4:B1484),"."))</f>
        <v/>
      </c>
      <c r="B1484" s="112"/>
      <c r="C1484" s="112"/>
      <c r="D1484" s="81"/>
      <c r="E1484" s="81"/>
      <c r="F1484" s="81"/>
      <c r="G1484" s="81"/>
      <c r="H1484" s="81"/>
      <c r="I1484" s="161"/>
      <c r="J1484" s="154" t="str">
        <f aca="false">IF(H1484="","",ROUNDUP(H1484*35%,0))</f>
        <v/>
      </c>
      <c r="K1484" s="113"/>
      <c r="L1484" s="113"/>
    </row>
    <row r="1485" customFormat="false" ht="12.75" hidden="false" customHeight="true" outlineLevel="0" collapsed="false">
      <c r="A1485" s="121" t="str">
        <f aca="false">IF(B1485="","",CONCATENATE(COUNTA($B$4:B1485),"."))</f>
        <v/>
      </c>
      <c r="B1485" s="112"/>
      <c r="C1485" s="112"/>
      <c r="D1485" s="81"/>
      <c r="E1485" s="81"/>
      <c r="F1485" s="81"/>
      <c r="G1485" s="81"/>
      <c r="H1485" s="81"/>
      <c r="I1485" s="161"/>
      <c r="J1485" s="154" t="str">
        <f aca="false">IF(H1485="","",ROUNDUP(H1485*35%,0))</f>
        <v/>
      </c>
      <c r="K1485" s="113"/>
      <c r="L1485" s="113"/>
    </row>
    <row r="1486" customFormat="false" ht="12.75" hidden="false" customHeight="true" outlineLevel="0" collapsed="false">
      <c r="A1486" s="121" t="str">
        <f aca="false">IF(B1486="","",CONCATENATE(COUNTA($B$4:B1486),"."))</f>
        <v/>
      </c>
      <c r="B1486" s="112"/>
      <c r="C1486" s="112"/>
      <c r="D1486" s="81"/>
      <c r="E1486" s="81"/>
      <c r="F1486" s="81"/>
      <c r="G1486" s="81"/>
      <c r="H1486" s="81"/>
      <c r="I1486" s="161"/>
      <c r="J1486" s="154" t="str">
        <f aca="false">IF(H1486="","",ROUNDUP(H1486*35%,0))</f>
        <v/>
      </c>
      <c r="K1486" s="113"/>
      <c r="L1486" s="113"/>
    </row>
    <row r="1487" customFormat="false" ht="12.75" hidden="false" customHeight="true" outlineLevel="0" collapsed="false">
      <c r="A1487" s="121" t="str">
        <f aca="false">IF(B1487="","",CONCATENATE(COUNTA($B$4:B1487),"."))</f>
        <v/>
      </c>
      <c r="B1487" s="112"/>
      <c r="C1487" s="112"/>
      <c r="D1487" s="81"/>
      <c r="E1487" s="81"/>
      <c r="F1487" s="81"/>
      <c r="G1487" s="81"/>
      <c r="H1487" s="81"/>
      <c r="I1487" s="161"/>
      <c r="J1487" s="154" t="str">
        <f aca="false">IF(H1487="","",ROUNDUP(H1487*35%,0))</f>
        <v/>
      </c>
      <c r="K1487" s="113"/>
      <c r="L1487" s="113"/>
    </row>
    <row r="1488" customFormat="false" ht="12.75" hidden="false" customHeight="true" outlineLevel="0" collapsed="false">
      <c r="A1488" s="121" t="str">
        <f aca="false">IF(B1488="","",CONCATENATE(COUNTA($B$4:B1488),"."))</f>
        <v/>
      </c>
      <c r="B1488" s="112"/>
      <c r="C1488" s="112"/>
      <c r="D1488" s="81"/>
      <c r="E1488" s="81"/>
      <c r="F1488" s="81"/>
      <c r="G1488" s="81"/>
      <c r="H1488" s="81"/>
      <c r="I1488" s="161"/>
      <c r="J1488" s="154" t="str">
        <f aca="false">IF(H1488="","",ROUNDUP(H1488*35%,0))</f>
        <v/>
      </c>
      <c r="K1488" s="113"/>
      <c r="L1488" s="113"/>
    </row>
    <row r="1489" customFormat="false" ht="12.75" hidden="false" customHeight="true" outlineLevel="0" collapsed="false">
      <c r="A1489" s="121" t="str">
        <f aca="false">IF(B1489="","",CONCATENATE(COUNTA($B$4:B1489),"."))</f>
        <v/>
      </c>
      <c r="B1489" s="112"/>
      <c r="C1489" s="112"/>
      <c r="D1489" s="81"/>
      <c r="E1489" s="81"/>
      <c r="F1489" s="81"/>
      <c r="G1489" s="81"/>
      <c r="H1489" s="81"/>
      <c r="I1489" s="161"/>
      <c r="J1489" s="154" t="str">
        <f aca="false">IF(H1489="","",ROUNDUP(H1489*35%,0))</f>
        <v/>
      </c>
      <c r="K1489" s="113"/>
      <c r="L1489" s="113"/>
    </row>
    <row r="1490" customFormat="false" ht="12.75" hidden="false" customHeight="true" outlineLevel="0" collapsed="false">
      <c r="A1490" s="121" t="str">
        <f aca="false">IF(B1490="","",CONCATENATE(COUNTA($B$4:B1490),"."))</f>
        <v/>
      </c>
      <c r="B1490" s="112"/>
      <c r="C1490" s="112"/>
      <c r="D1490" s="81"/>
      <c r="E1490" s="81"/>
      <c r="F1490" s="81"/>
      <c r="G1490" s="81"/>
      <c r="H1490" s="81"/>
      <c r="I1490" s="161"/>
      <c r="J1490" s="154" t="str">
        <f aca="false">IF(H1490="","",ROUNDUP(H1490*35%,0))</f>
        <v/>
      </c>
      <c r="K1490" s="113"/>
      <c r="L1490" s="113"/>
    </row>
    <row r="1491" customFormat="false" ht="12.75" hidden="false" customHeight="true" outlineLevel="0" collapsed="false">
      <c r="A1491" s="121" t="str">
        <f aca="false">IF(B1491="","",CONCATENATE(COUNTA($B$4:B1491),"."))</f>
        <v/>
      </c>
      <c r="B1491" s="112"/>
      <c r="C1491" s="112"/>
      <c r="D1491" s="81"/>
      <c r="E1491" s="81"/>
      <c r="F1491" s="81"/>
      <c r="G1491" s="81"/>
      <c r="H1491" s="81"/>
      <c r="I1491" s="161"/>
      <c r="J1491" s="154" t="str">
        <f aca="false">IF(H1491="","",ROUNDUP(H1491*35%,0))</f>
        <v/>
      </c>
      <c r="K1491" s="113"/>
      <c r="L1491" s="113"/>
    </row>
    <row r="1492" customFormat="false" ht="12.75" hidden="false" customHeight="true" outlineLevel="0" collapsed="false">
      <c r="A1492" s="121" t="str">
        <f aca="false">IF(B1492="","",CONCATENATE(COUNTA($B$4:B1492),"."))</f>
        <v/>
      </c>
      <c r="B1492" s="112"/>
      <c r="C1492" s="112"/>
      <c r="D1492" s="81"/>
      <c r="E1492" s="81"/>
      <c r="F1492" s="81"/>
      <c r="G1492" s="81"/>
      <c r="H1492" s="81"/>
      <c r="I1492" s="161"/>
      <c r="J1492" s="154" t="str">
        <f aca="false">IF(H1492="","",ROUNDUP(H1492*35%,0))</f>
        <v/>
      </c>
      <c r="K1492" s="113"/>
      <c r="L1492" s="113"/>
    </row>
    <row r="1493" customFormat="false" ht="12.75" hidden="false" customHeight="true" outlineLevel="0" collapsed="false">
      <c r="A1493" s="121" t="str">
        <f aca="false">IF(B1493="","",CONCATENATE(COUNTA($B$4:B1493),"."))</f>
        <v/>
      </c>
      <c r="B1493" s="112"/>
      <c r="C1493" s="112"/>
      <c r="D1493" s="81"/>
      <c r="E1493" s="81"/>
      <c r="F1493" s="81"/>
      <c r="G1493" s="81"/>
      <c r="H1493" s="81"/>
      <c r="I1493" s="161"/>
      <c r="J1493" s="154" t="str">
        <f aca="false">IF(H1493="","",ROUNDUP(H1493*35%,0))</f>
        <v/>
      </c>
      <c r="K1493" s="113"/>
      <c r="L1493" s="113"/>
    </row>
    <row r="1494" customFormat="false" ht="12.75" hidden="false" customHeight="true" outlineLevel="0" collapsed="false">
      <c r="A1494" s="121" t="str">
        <f aca="false">IF(B1494="","",CONCATENATE(COUNTA($B$4:B1494),"."))</f>
        <v/>
      </c>
      <c r="B1494" s="112"/>
      <c r="C1494" s="112"/>
      <c r="D1494" s="81"/>
      <c r="E1494" s="81"/>
      <c r="F1494" s="81"/>
      <c r="G1494" s="81"/>
      <c r="H1494" s="81"/>
      <c r="I1494" s="161"/>
      <c r="J1494" s="154" t="str">
        <f aca="false">IF(H1494="","",ROUNDUP(H1494*35%,0))</f>
        <v/>
      </c>
      <c r="K1494" s="113"/>
      <c r="L1494" s="113"/>
    </row>
    <row r="1495" customFormat="false" ht="12.75" hidden="false" customHeight="true" outlineLevel="0" collapsed="false">
      <c r="A1495" s="121" t="str">
        <f aca="false">IF(B1495="","",CONCATENATE(COUNTA($B$4:B1495),"."))</f>
        <v/>
      </c>
      <c r="B1495" s="112"/>
      <c r="C1495" s="112"/>
      <c r="D1495" s="81"/>
      <c r="E1495" s="81"/>
      <c r="F1495" s="81"/>
      <c r="G1495" s="81"/>
      <c r="H1495" s="81"/>
      <c r="I1495" s="161"/>
      <c r="J1495" s="154" t="str">
        <f aca="false">IF(H1495="","",ROUNDUP(H1495*35%,0))</f>
        <v/>
      </c>
      <c r="K1495" s="113"/>
      <c r="L1495" s="113"/>
    </row>
    <row r="1496" customFormat="false" ht="12.75" hidden="false" customHeight="true" outlineLevel="0" collapsed="false">
      <c r="A1496" s="121" t="str">
        <f aca="false">IF(B1496="","",CONCATENATE(COUNTA($B$4:B1496),"."))</f>
        <v/>
      </c>
      <c r="B1496" s="112"/>
      <c r="C1496" s="112"/>
      <c r="D1496" s="81"/>
      <c r="E1496" s="81"/>
      <c r="F1496" s="81"/>
      <c r="G1496" s="81"/>
      <c r="H1496" s="81"/>
      <c r="I1496" s="161"/>
      <c r="J1496" s="154" t="str">
        <f aca="false">IF(H1496="","",ROUNDUP(H1496*35%,0))</f>
        <v/>
      </c>
      <c r="K1496" s="113"/>
      <c r="L1496" s="113"/>
    </row>
    <row r="1497" customFormat="false" ht="12.75" hidden="false" customHeight="true" outlineLevel="0" collapsed="false">
      <c r="A1497" s="121" t="str">
        <f aca="false">IF(B1497="","",CONCATENATE(COUNTA($B$4:B1497),"."))</f>
        <v/>
      </c>
      <c r="B1497" s="112"/>
      <c r="C1497" s="112"/>
      <c r="D1497" s="81"/>
      <c r="E1497" s="81"/>
      <c r="F1497" s="81"/>
      <c r="G1497" s="81"/>
      <c r="H1497" s="81"/>
      <c r="I1497" s="161"/>
      <c r="J1497" s="154" t="str">
        <f aca="false">IF(H1497="","",ROUNDUP(H1497*35%,0))</f>
        <v/>
      </c>
      <c r="K1497" s="113"/>
      <c r="L1497" s="113"/>
    </row>
    <row r="1498" customFormat="false" ht="12.75" hidden="false" customHeight="true" outlineLevel="0" collapsed="false">
      <c r="A1498" s="121" t="str">
        <f aca="false">IF(B1498="","",CONCATENATE(COUNTA($B$4:B1498),"."))</f>
        <v/>
      </c>
      <c r="B1498" s="112"/>
      <c r="C1498" s="112"/>
      <c r="D1498" s="81"/>
      <c r="E1498" s="81"/>
      <c r="F1498" s="81"/>
      <c r="G1498" s="81"/>
      <c r="H1498" s="81"/>
      <c r="I1498" s="161"/>
      <c r="J1498" s="154" t="str">
        <f aca="false">IF(H1498="","",ROUNDUP(H1498*35%,0))</f>
        <v/>
      </c>
      <c r="K1498" s="113"/>
      <c r="L1498" s="113"/>
    </row>
    <row r="1499" customFormat="false" ht="12.75" hidden="false" customHeight="true" outlineLevel="0" collapsed="false">
      <c r="A1499" s="121" t="str">
        <f aca="false">IF(B1499="","",CONCATENATE(COUNTA($B$4:B1499),"."))</f>
        <v/>
      </c>
      <c r="B1499" s="112"/>
      <c r="C1499" s="112"/>
      <c r="D1499" s="81"/>
      <c r="E1499" s="81"/>
      <c r="F1499" s="81"/>
      <c r="G1499" s="81"/>
      <c r="H1499" s="81"/>
      <c r="I1499" s="161"/>
      <c r="J1499" s="154" t="str">
        <f aca="false">IF(H1499="","",ROUNDUP(H1499*35%,0))</f>
        <v/>
      </c>
      <c r="K1499" s="113"/>
      <c r="L1499" s="113"/>
    </row>
    <row r="1500" customFormat="false" ht="12.75" hidden="false" customHeight="true" outlineLevel="0" collapsed="false">
      <c r="A1500" s="121" t="str">
        <f aca="false">IF(B1500="","",CONCATENATE(COUNTA($B$4:B1500),"."))</f>
        <v/>
      </c>
      <c r="B1500" s="112"/>
      <c r="C1500" s="112"/>
      <c r="D1500" s="81"/>
      <c r="E1500" s="81"/>
      <c r="F1500" s="81"/>
      <c r="G1500" s="81"/>
      <c r="H1500" s="81"/>
      <c r="I1500" s="161"/>
      <c r="J1500" s="154" t="str">
        <f aca="false">IF(H1500="","",ROUNDUP(H1500*35%,0))</f>
        <v/>
      </c>
      <c r="K1500" s="113"/>
      <c r="L1500" s="113"/>
    </row>
    <row r="1501" customFormat="false" ht="12.75" hidden="false" customHeight="true" outlineLevel="0" collapsed="false">
      <c r="A1501" s="121" t="str">
        <f aca="false">IF(B1501="","",CONCATENATE(COUNTA($B$4:B1501),"."))</f>
        <v/>
      </c>
      <c r="B1501" s="112"/>
      <c r="C1501" s="112"/>
      <c r="D1501" s="81"/>
      <c r="E1501" s="81"/>
      <c r="F1501" s="81"/>
      <c r="G1501" s="81"/>
      <c r="H1501" s="81"/>
      <c r="I1501" s="161"/>
      <c r="J1501" s="154" t="str">
        <f aca="false">IF(H1501="","",ROUNDUP(H1501*35%,0))</f>
        <v/>
      </c>
      <c r="K1501" s="113"/>
      <c r="L1501" s="113"/>
    </row>
    <row r="1502" customFormat="false" ht="12.75" hidden="false" customHeight="true" outlineLevel="0" collapsed="false">
      <c r="A1502" s="121" t="str">
        <f aca="false">IF(B1502="","",CONCATENATE(COUNTA($B$4:B1502),"."))</f>
        <v/>
      </c>
      <c r="B1502" s="112"/>
      <c r="C1502" s="112"/>
      <c r="D1502" s="81"/>
      <c r="E1502" s="81"/>
      <c r="F1502" s="81"/>
      <c r="G1502" s="81"/>
      <c r="H1502" s="81"/>
      <c r="I1502" s="161"/>
      <c r="J1502" s="154" t="str">
        <f aca="false">IF(H1502="","",ROUNDUP(H1502*35%,0))</f>
        <v/>
      </c>
      <c r="K1502" s="113"/>
      <c r="L1502" s="113"/>
    </row>
    <row r="1503" customFormat="false" ht="12.75" hidden="false" customHeight="true" outlineLevel="0" collapsed="false">
      <c r="A1503" s="121" t="str">
        <f aca="false">IF(B1503="","",CONCATENATE(COUNTA($B$4:B1503),"."))</f>
        <v/>
      </c>
      <c r="B1503" s="112"/>
      <c r="C1503" s="112"/>
      <c r="D1503" s="81"/>
      <c r="E1503" s="81"/>
      <c r="F1503" s="81"/>
      <c r="G1503" s="81"/>
      <c r="H1503" s="81"/>
      <c r="I1503" s="161"/>
      <c r="J1503" s="154" t="str">
        <f aca="false">IF(H1503="","",ROUNDUP(H1503*35%,0))</f>
        <v/>
      </c>
      <c r="K1503" s="113"/>
      <c r="L1503" s="113"/>
    </row>
    <row r="1504" customFormat="false" ht="12.75" hidden="false" customHeight="true" outlineLevel="0" collapsed="false">
      <c r="A1504" s="121" t="str">
        <f aca="false">IF(B1504="","",CONCATENATE(COUNTA($B$4:B1504),"."))</f>
        <v/>
      </c>
      <c r="B1504" s="112"/>
      <c r="C1504" s="112"/>
      <c r="D1504" s="81"/>
      <c r="E1504" s="81"/>
      <c r="F1504" s="81"/>
      <c r="G1504" s="81"/>
      <c r="H1504" s="81"/>
      <c r="I1504" s="161"/>
      <c r="J1504" s="154" t="str">
        <f aca="false">IF(H1504="","",ROUNDUP(H1504*35%,0))</f>
        <v/>
      </c>
      <c r="K1504" s="113"/>
      <c r="L1504" s="113"/>
    </row>
    <row r="1505" customFormat="false" ht="12.75" hidden="false" customHeight="true" outlineLevel="0" collapsed="false">
      <c r="A1505" s="121" t="str">
        <f aca="false">IF(B1505="","",CONCATENATE(COUNTA($B$4:B1505),"."))</f>
        <v/>
      </c>
      <c r="B1505" s="112"/>
      <c r="C1505" s="112"/>
      <c r="D1505" s="81"/>
      <c r="E1505" s="81"/>
      <c r="F1505" s="81"/>
      <c r="G1505" s="81"/>
      <c r="H1505" s="81"/>
      <c r="I1505" s="161"/>
      <c r="J1505" s="154" t="str">
        <f aca="false">IF(H1505="","",ROUNDUP(H1505*35%,0))</f>
        <v/>
      </c>
      <c r="K1505" s="113"/>
      <c r="L1505" s="113"/>
    </row>
    <row r="1506" customFormat="false" ht="12.75" hidden="false" customHeight="true" outlineLevel="0" collapsed="false">
      <c r="A1506" s="121" t="str">
        <f aca="false">IF(B1506="","",CONCATENATE(COUNTA($B$4:B1506),"."))</f>
        <v/>
      </c>
      <c r="B1506" s="112"/>
      <c r="C1506" s="112"/>
      <c r="D1506" s="81"/>
      <c r="E1506" s="81"/>
      <c r="F1506" s="81"/>
      <c r="G1506" s="81"/>
      <c r="H1506" s="81"/>
      <c r="I1506" s="161"/>
      <c r="J1506" s="154" t="str">
        <f aca="false">IF(H1506="","",ROUNDUP(H1506*35%,0))</f>
        <v/>
      </c>
      <c r="K1506" s="113"/>
      <c r="L1506" s="113"/>
    </row>
    <row r="1507" customFormat="false" ht="12.75" hidden="false" customHeight="true" outlineLevel="0" collapsed="false">
      <c r="A1507" s="121" t="str">
        <f aca="false">IF(B1507="","",CONCATENATE(COUNTA($B$4:B1507),"."))</f>
        <v/>
      </c>
      <c r="B1507" s="112"/>
      <c r="C1507" s="112"/>
      <c r="D1507" s="81"/>
      <c r="E1507" s="81"/>
      <c r="F1507" s="81"/>
      <c r="G1507" s="81"/>
      <c r="H1507" s="81"/>
      <c r="I1507" s="161"/>
      <c r="J1507" s="154" t="str">
        <f aca="false">IF(H1507="","",ROUNDUP(H1507*35%,0))</f>
        <v/>
      </c>
      <c r="K1507" s="113"/>
      <c r="L1507" s="113"/>
    </row>
    <row r="1508" customFormat="false" ht="12.75" hidden="false" customHeight="true" outlineLevel="0" collapsed="false">
      <c r="A1508" s="121" t="str">
        <f aca="false">IF(B1508="","",CONCATENATE(COUNTA($B$4:B1508),"."))</f>
        <v/>
      </c>
      <c r="B1508" s="112"/>
      <c r="C1508" s="112"/>
      <c r="D1508" s="81"/>
      <c r="E1508" s="81"/>
      <c r="F1508" s="81"/>
      <c r="G1508" s="81"/>
      <c r="H1508" s="81"/>
      <c r="I1508" s="161"/>
      <c r="J1508" s="154" t="str">
        <f aca="false">IF(H1508="","",ROUNDUP(H1508*35%,0))</f>
        <v/>
      </c>
      <c r="K1508" s="113"/>
      <c r="L1508" s="113"/>
    </row>
    <row r="1509" customFormat="false" ht="12.75" hidden="false" customHeight="true" outlineLevel="0" collapsed="false">
      <c r="A1509" s="121" t="str">
        <f aca="false">IF(B1509="","",CONCATENATE(COUNTA($B$4:B1509),"."))</f>
        <v/>
      </c>
      <c r="B1509" s="112"/>
      <c r="C1509" s="112"/>
      <c r="D1509" s="81"/>
      <c r="E1509" s="81"/>
      <c r="F1509" s="81"/>
      <c r="G1509" s="81"/>
      <c r="H1509" s="81"/>
      <c r="I1509" s="161"/>
      <c r="J1509" s="154" t="str">
        <f aca="false">IF(H1509="","",ROUNDUP(H1509*35%,0))</f>
        <v/>
      </c>
      <c r="K1509" s="113"/>
      <c r="L1509" s="113"/>
    </row>
    <row r="1510" customFormat="false" ht="12.75" hidden="false" customHeight="true" outlineLevel="0" collapsed="false">
      <c r="A1510" s="121" t="str">
        <f aca="false">IF(B1510="","",CONCATENATE(COUNTA($B$4:B1510),"."))</f>
        <v/>
      </c>
      <c r="B1510" s="112"/>
      <c r="C1510" s="112"/>
      <c r="D1510" s="81"/>
      <c r="E1510" s="81"/>
      <c r="F1510" s="81"/>
      <c r="G1510" s="81"/>
      <c r="H1510" s="81"/>
      <c r="I1510" s="161"/>
      <c r="J1510" s="154" t="str">
        <f aca="false">IF(H1510="","",ROUNDUP(H1510*35%,0))</f>
        <v/>
      </c>
      <c r="K1510" s="113"/>
      <c r="L1510" s="113"/>
    </row>
    <row r="1511" customFormat="false" ht="12.75" hidden="false" customHeight="true" outlineLevel="0" collapsed="false">
      <c r="A1511" s="121" t="str">
        <f aca="false">IF(B1511="","",CONCATENATE(COUNTA($B$4:B1511),"."))</f>
        <v/>
      </c>
      <c r="B1511" s="112"/>
      <c r="C1511" s="112"/>
      <c r="D1511" s="81"/>
      <c r="E1511" s="81"/>
      <c r="F1511" s="81"/>
      <c r="G1511" s="81"/>
      <c r="H1511" s="81"/>
      <c r="I1511" s="161"/>
      <c r="J1511" s="154" t="str">
        <f aca="false">IF(H1511="","",ROUNDUP(H1511*35%,0))</f>
        <v/>
      </c>
      <c r="K1511" s="113"/>
      <c r="L1511" s="113"/>
    </row>
    <row r="1512" customFormat="false" ht="12.75" hidden="false" customHeight="true" outlineLevel="0" collapsed="false">
      <c r="A1512" s="121" t="str">
        <f aca="false">IF(B1512="","",CONCATENATE(COUNTA($B$4:B1512),"."))</f>
        <v/>
      </c>
      <c r="B1512" s="112"/>
      <c r="C1512" s="112"/>
      <c r="D1512" s="81"/>
      <c r="E1512" s="81"/>
      <c r="F1512" s="81"/>
      <c r="G1512" s="81"/>
      <c r="H1512" s="81"/>
      <c r="I1512" s="161"/>
      <c r="J1512" s="154" t="str">
        <f aca="false">IF(H1512="","",ROUNDUP(H1512*35%,0))</f>
        <v/>
      </c>
      <c r="K1512" s="113"/>
      <c r="L1512" s="113"/>
    </row>
    <row r="1513" customFormat="false" ht="12.75" hidden="false" customHeight="true" outlineLevel="0" collapsed="false">
      <c r="A1513" s="121" t="str">
        <f aca="false">IF(B1513="","",CONCATENATE(COUNTA($B$4:B1513),"."))</f>
        <v/>
      </c>
      <c r="B1513" s="112"/>
      <c r="C1513" s="112"/>
      <c r="D1513" s="81"/>
      <c r="E1513" s="81"/>
      <c r="F1513" s="81"/>
      <c r="G1513" s="81"/>
      <c r="H1513" s="81"/>
      <c r="I1513" s="161"/>
      <c r="J1513" s="154" t="str">
        <f aca="false">IF(H1513="","",ROUNDUP(H1513*35%,0))</f>
        <v/>
      </c>
      <c r="K1513" s="113"/>
      <c r="L1513" s="113"/>
    </row>
    <row r="1514" customFormat="false" ht="12.75" hidden="false" customHeight="true" outlineLevel="0" collapsed="false">
      <c r="A1514" s="121" t="str">
        <f aca="false">IF(B1514="","",CONCATENATE(COUNTA($B$4:B1514),"."))</f>
        <v/>
      </c>
      <c r="B1514" s="112"/>
      <c r="C1514" s="112"/>
      <c r="D1514" s="81"/>
      <c r="E1514" s="81"/>
      <c r="F1514" s="81"/>
      <c r="G1514" s="81"/>
      <c r="H1514" s="81"/>
      <c r="I1514" s="161"/>
      <c r="J1514" s="154" t="str">
        <f aca="false">IF(H1514="","",ROUNDUP(H1514*35%,0))</f>
        <v/>
      </c>
      <c r="K1514" s="113"/>
      <c r="L1514" s="113"/>
    </row>
    <row r="1515" customFormat="false" ht="12.75" hidden="false" customHeight="true" outlineLevel="0" collapsed="false">
      <c r="A1515" s="121" t="str">
        <f aca="false">IF(B1515="","",CONCATENATE(COUNTA($B$4:B1515),"."))</f>
        <v/>
      </c>
      <c r="B1515" s="112"/>
      <c r="C1515" s="112"/>
      <c r="D1515" s="81"/>
      <c r="E1515" s="81"/>
      <c r="F1515" s="81"/>
      <c r="G1515" s="81"/>
      <c r="H1515" s="81"/>
      <c r="I1515" s="161"/>
      <c r="J1515" s="154" t="str">
        <f aca="false">IF(H1515="","",ROUNDUP(H1515*35%,0))</f>
        <v/>
      </c>
      <c r="K1515" s="113"/>
      <c r="L1515" s="113"/>
    </row>
    <row r="1516" customFormat="false" ht="12.75" hidden="false" customHeight="true" outlineLevel="0" collapsed="false">
      <c r="A1516" s="121" t="str">
        <f aca="false">IF(B1516="","",CONCATENATE(COUNTA($B$4:B1516),"."))</f>
        <v/>
      </c>
      <c r="B1516" s="112"/>
      <c r="C1516" s="112"/>
      <c r="D1516" s="81"/>
      <c r="E1516" s="81"/>
      <c r="F1516" s="81"/>
      <c r="G1516" s="81"/>
      <c r="H1516" s="81"/>
      <c r="I1516" s="161"/>
      <c r="J1516" s="154" t="str">
        <f aca="false">IF(H1516="","",ROUNDUP(H1516*35%,0))</f>
        <v/>
      </c>
      <c r="K1516" s="113"/>
      <c r="L1516" s="113"/>
    </row>
    <row r="1517" customFormat="false" ht="12.75" hidden="false" customHeight="true" outlineLevel="0" collapsed="false">
      <c r="A1517" s="121" t="str">
        <f aca="false">IF(B1517="","",CONCATENATE(COUNTA($B$4:B1517),"."))</f>
        <v/>
      </c>
      <c r="B1517" s="112"/>
      <c r="C1517" s="112"/>
      <c r="D1517" s="81"/>
      <c r="E1517" s="81"/>
      <c r="F1517" s="81"/>
      <c r="G1517" s="81"/>
      <c r="H1517" s="81"/>
      <c r="I1517" s="161"/>
      <c r="J1517" s="154" t="str">
        <f aca="false">IF(H1517="","",ROUNDUP(H1517*35%,0))</f>
        <v/>
      </c>
      <c r="K1517" s="113"/>
      <c r="L1517" s="113"/>
    </row>
    <row r="1518" customFormat="false" ht="12.75" hidden="false" customHeight="true" outlineLevel="0" collapsed="false">
      <c r="A1518" s="121" t="str">
        <f aca="false">IF(B1518="","",CONCATENATE(COUNTA($B$4:B1518),"."))</f>
        <v/>
      </c>
      <c r="B1518" s="112"/>
      <c r="C1518" s="112"/>
      <c r="D1518" s="81"/>
      <c r="E1518" s="81"/>
      <c r="F1518" s="81"/>
      <c r="G1518" s="81"/>
      <c r="H1518" s="81"/>
      <c r="I1518" s="161"/>
      <c r="J1518" s="154" t="str">
        <f aca="false">IF(H1518="","",ROUNDUP(H1518*35%,0))</f>
        <v/>
      </c>
      <c r="K1518" s="113"/>
      <c r="L1518" s="113"/>
    </row>
    <row r="1519" customFormat="false" ht="12.75" hidden="false" customHeight="true" outlineLevel="0" collapsed="false">
      <c r="A1519" s="121" t="str">
        <f aca="false">IF(B1519="","",CONCATENATE(COUNTA($B$4:B1519),"."))</f>
        <v/>
      </c>
      <c r="B1519" s="112"/>
      <c r="C1519" s="112"/>
      <c r="D1519" s="81"/>
      <c r="E1519" s="81"/>
      <c r="F1519" s="81"/>
      <c r="G1519" s="81"/>
      <c r="H1519" s="81"/>
      <c r="I1519" s="161"/>
      <c r="J1519" s="154" t="str">
        <f aca="false">IF(H1519="","",ROUNDUP(H1519*35%,0))</f>
        <v/>
      </c>
      <c r="K1519" s="113"/>
      <c r="L1519" s="113"/>
    </row>
    <row r="1520" customFormat="false" ht="12.75" hidden="false" customHeight="true" outlineLevel="0" collapsed="false">
      <c r="A1520" s="121" t="str">
        <f aca="false">IF(B1520="","",CONCATENATE(COUNTA($B$4:B1520),"."))</f>
        <v/>
      </c>
      <c r="B1520" s="112"/>
      <c r="C1520" s="112"/>
      <c r="D1520" s="81"/>
      <c r="E1520" s="81"/>
      <c r="F1520" s="81"/>
      <c r="G1520" s="81"/>
      <c r="H1520" s="81"/>
      <c r="I1520" s="161"/>
      <c r="J1520" s="154" t="str">
        <f aca="false">IF(H1520="","",ROUNDUP(H1520*35%,0))</f>
        <v/>
      </c>
      <c r="K1520" s="113"/>
      <c r="L1520" s="113"/>
    </row>
    <row r="1521" customFormat="false" ht="12.75" hidden="false" customHeight="true" outlineLevel="0" collapsed="false">
      <c r="A1521" s="121" t="str">
        <f aca="false">IF(B1521="","",CONCATENATE(COUNTA($B$4:B1521),"."))</f>
        <v/>
      </c>
      <c r="B1521" s="112"/>
      <c r="C1521" s="112"/>
      <c r="D1521" s="81"/>
      <c r="E1521" s="81"/>
      <c r="F1521" s="81"/>
      <c r="G1521" s="81"/>
      <c r="H1521" s="81"/>
      <c r="I1521" s="161"/>
      <c r="J1521" s="154" t="str">
        <f aca="false">IF(H1521="","",ROUNDUP(H1521*35%,0))</f>
        <v/>
      </c>
      <c r="K1521" s="113"/>
      <c r="L1521" s="113"/>
    </row>
    <row r="1522" customFormat="false" ht="12.75" hidden="false" customHeight="true" outlineLevel="0" collapsed="false">
      <c r="A1522" s="121" t="str">
        <f aca="false">IF(B1522="","",CONCATENATE(COUNTA($B$4:B1522),"."))</f>
        <v/>
      </c>
      <c r="B1522" s="112"/>
      <c r="C1522" s="112"/>
      <c r="D1522" s="81"/>
      <c r="E1522" s="81"/>
      <c r="F1522" s="81"/>
      <c r="G1522" s="81"/>
      <c r="H1522" s="81"/>
      <c r="I1522" s="161"/>
      <c r="J1522" s="154" t="str">
        <f aca="false">IF(H1522="","",ROUNDUP(H1522*35%,0))</f>
        <v/>
      </c>
      <c r="K1522" s="113"/>
      <c r="L1522" s="113"/>
    </row>
    <row r="1523" customFormat="false" ht="12.75" hidden="false" customHeight="true" outlineLevel="0" collapsed="false">
      <c r="A1523" s="121" t="str">
        <f aca="false">IF(B1523="","",CONCATENATE(COUNTA($B$4:B1523),"."))</f>
        <v/>
      </c>
      <c r="B1523" s="112"/>
      <c r="C1523" s="112"/>
      <c r="D1523" s="81"/>
      <c r="E1523" s="81"/>
      <c r="F1523" s="81"/>
      <c r="G1523" s="81"/>
      <c r="H1523" s="81"/>
      <c r="I1523" s="161"/>
      <c r="J1523" s="154" t="str">
        <f aca="false">IF(H1523="","",ROUNDUP(H1523*35%,0))</f>
        <v/>
      </c>
      <c r="K1523" s="113"/>
      <c r="L1523" s="113"/>
    </row>
    <row r="1524" customFormat="false" ht="12.75" hidden="false" customHeight="true" outlineLevel="0" collapsed="false">
      <c r="A1524" s="121" t="str">
        <f aca="false">IF(B1524="","",CONCATENATE(COUNTA($B$4:B1524),"."))</f>
        <v/>
      </c>
      <c r="B1524" s="112"/>
      <c r="C1524" s="112"/>
      <c r="D1524" s="81"/>
      <c r="E1524" s="81"/>
      <c r="F1524" s="81"/>
      <c r="G1524" s="81"/>
      <c r="H1524" s="81"/>
      <c r="I1524" s="161"/>
      <c r="J1524" s="154" t="str">
        <f aca="false">IF(H1524="","",ROUNDUP(H1524*35%,0))</f>
        <v/>
      </c>
      <c r="K1524" s="113"/>
      <c r="L1524" s="113"/>
    </row>
    <row r="1525" customFormat="false" ht="12.75" hidden="false" customHeight="true" outlineLevel="0" collapsed="false">
      <c r="A1525" s="121" t="str">
        <f aca="false">IF(B1525="","",CONCATENATE(COUNTA($B$4:B1525),"."))</f>
        <v/>
      </c>
      <c r="B1525" s="112"/>
      <c r="C1525" s="112"/>
      <c r="D1525" s="81"/>
      <c r="E1525" s="81"/>
      <c r="F1525" s="81"/>
      <c r="G1525" s="81"/>
      <c r="H1525" s="81"/>
      <c r="I1525" s="161"/>
      <c r="J1525" s="154" t="str">
        <f aca="false">IF(H1525="","",ROUNDUP(H1525*35%,0))</f>
        <v/>
      </c>
      <c r="K1525" s="113"/>
      <c r="L1525" s="113"/>
    </row>
    <row r="1526" customFormat="false" ht="12.75" hidden="false" customHeight="true" outlineLevel="0" collapsed="false">
      <c r="A1526" s="121" t="str">
        <f aca="false">IF(B1526="","",CONCATENATE(COUNTA($B$4:B1526),"."))</f>
        <v/>
      </c>
      <c r="B1526" s="112"/>
      <c r="C1526" s="112"/>
      <c r="D1526" s="81"/>
      <c r="E1526" s="81"/>
      <c r="F1526" s="81"/>
      <c r="G1526" s="81"/>
      <c r="H1526" s="81"/>
      <c r="I1526" s="161"/>
      <c r="J1526" s="154" t="str">
        <f aca="false">IF(H1526="","",ROUNDUP(H1526*35%,0))</f>
        <v/>
      </c>
      <c r="K1526" s="113"/>
      <c r="L1526" s="113"/>
    </row>
    <row r="1527" customFormat="false" ht="12.75" hidden="false" customHeight="true" outlineLevel="0" collapsed="false">
      <c r="A1527" s="121" t="str">
        <f aca="false">IF(B1527="","",CONCATENATE(COUNTA($B$4:B1527),"."))</f>
        <v/>
      </c>
      <c r="B1527" s="112"/>
      <c r="C1527" s="112"/>
      <c r="D1527" s="81"/>
      <c r="E1527" s="81"/>
      <c r="F1527" s="81"/>
      <c r="G1527" s="81"/>
      <c r="H1527" s="81"/>
      <c r="I1527" s="161"/>
      <c r="J1527" s="154" t="str">
        <f aca="false">IF(H1527="","",ROUNDUP(H1527*35%,0))</f>
        <v/>
      </c>
      <c r="K1527" s="113"/>
      <c r="L1527" s="113"/>
    </row>
    <row r="1528" customFormat="false" ht="12.75" hidden="false" customHeight="true" outlineLevel="0" collapsed="false">
      <c r="A1528" s="121" t="str">
        <f aca="false">IF(B1528="","",CONCATENATE(COUNTA($B$4:B1528),"."))</f>
        <v/>
      </c>
      <c r="B1528" s="112"/>
      <c r="C1528" s="112"/>
      <c r="D1528" s="81"/>
      <c r="E1528" s="81"/>
      <c r="F1528" s="81"/>
      <c r="G1528" s="81"/>
      <c r="H1528" s="81"/>
      <c r="I1528" s="161"/>
      <c r="J1528" s="154" t="str">
        <f aca="false">IF(H1528="","",ROUNDUP(H1528*35%,0))</f>
        <v/>
      </c>
      <c r="K1528" s="113"/>
      <c r="L1528" s="113"/>
    </row>
    <row r="1529" customFormat="false" ht="12.75" hidden="false" customHeight="true" outlineLevel="0" collapsed="false">
      <c r="A1529" s="121" t="str">
        <f aca="false">IF(B1529="","",CONCATENATE(COUNTA($B$4:B1529),"."))</f>
        <v/>
      </c>
      <c r="B1529" s="112"/>
      <c r="C1529" s="112"/>
      <c r="D1529" s="81"/>
      <c r="E1529" s="81"/>
      <c r="F1529" s="81"/>
      <c r="G1529" s="81"/>
      <c r="H1529" s="81"/>
      <c r="I1529" s="161"/>
      <c r="J1529" s="154" t="str">
        <f aca="false">IF(H1529="","",ROUNDUP(H1529*35%,0))</f>
        <v/>
      </c>
      <c r="K1529" s="113"/>
      <c r="L1529" s="113"/>
    </row>
    <row r="1530" customFormat="false" ht="12.75" hidden="false" customHeight="true" outlineLevel="0" collapsed="false">
      <c r="A1530" s="121" t="str">
        <f aca="false">IF(B1530="","",CONCATENATE(COUNTA($B$4:B1530),"."))</f>
        <v/>
      </c>
      <c r="B1530" s="112"/>
      <c r="C1530" s="112"/>
      <c r="D1530" s="81"/>
      <c r="E1530" s="81"/>
      <c r="F1530" s="81"/>
      <c r="G1530" s="81"/>
      <c r="H1530" s="81"/>
      <c r="I1530" s="161"/>
      <c r="J1530" s="154" t="str">
        <f aca="false">IF(H1530="","",ROUNDUP(H1530*35%,0))</f>
        <v/>
      </c>
      <c r="K1530" s="113"/>
      <c r="L1530" s="113"/>
    </row>
    <row r="1531" customFormat="false" ht="12.75" hidden="false" customHeight="true" outlineLevel="0" collapsed="false">
      <c r="A1531" s="121" t="str">
        <f aca="false">IF(B1531="","",CONCATENATE(COUNTA($B$4:B1531),"."))</f>
        <v/>
      </c>
      <c r="B1531" s="112"/>
      <c r="C1531" s="112"/>
      <c r="D1531" s="81"/>
      <c r="E1531" s="81"/>
      <c r="F1531" s="81"/>
      <c r="G1531" s="81"/>
      <c r="H1531" s="81"/>
      <c r="I1531" s="161"/>
      <c r="J1531" s="154" t="str">
        <f aca="false">IF(H1531="","",ROUNDUP(H1531*35%,0))</f>
        <v/>
      </c>
      <c r="K1531" s="113"/>
      <c r="L1531" s="113"/>
    </row>
    <row r="1532" customFormat="false" ht="12.75" hidden="false" customHeight="true" outlineLevel="0" collapsed="false">
      <c r="A1532" s="121" t="str">
        <f aca="false">IF(B1532="","",CONCATENATE(COUNTA($B$4:B1532),"."))</f>
        <v/>
      </c>
      <c r="B1532" s="112"/>
      <c r="C1532" s="112"/>
      <c r="D1532" s="81"/>
      <c r="E1532" s="81"/>
      <c r="F1532" s="81"/>
      <c r="G1532" s="81"/>
      <c r="H1532" s="81"/>
      <c r="I1532" s="161"/>
      <c r="J1532" s="154" t="str">
        <f aca="false">IF(H1532="","",ROUNDUP(H1532*35%,0))</f>
        <v/>
      </c>
      <c r="K1532" s="113"/>
      <c r="L1532" s="113"/>
    </row>
    <row r="1533" customFormat="false" ht="12.75" hidden="false" customHeight="true" outlineLevel="0" collapsed="false">
      <c r="A1533" s="121" t="str">
        <f aca="false">IF(B1533="","",CONCATENATE(COUNTA($B$4:B1533),"."))</f>
        <v/>
      </c>
      <c r="B1533" s="112"/>
      <c r="C1533" s="112"/>
      <c r="D1533" s="81"/>
      <c r="E1533" s="81"/>
      <c r="F1533" s="81"/>
      <c r="G1533" s="81"/>
      <c r="H1533" s="81"/>
      <c r="I1533" s="161"/>
      <c r="J1533" s="154" t="str">
        <f aca="false">IF(H1533="","",ROUNDUP(H1533*35%,0))</f>
        <v/>
      </c>
      <c r="K1533" s="113"/>
      <c r="L1533" s="113"/>
    </row>
    <row r="1534" customFormat="false" ht="12.75" hidden="false" customHeight="true" outlineLevel="0" collapsed="false">
      <c r="A1534" s="121" t="str">
        <f aca="false">IF(B1534="","",CONCATENATE(COUNTA($B$4:B1534),"."))</f>
        <v/>
      </c>
      <c r="B1534" s="112"/>
      <c r="C1534" s="112"/>
      <c r="D1534" s="81"/>
      <c r="E1534" s="81"/>
      <c r="F1534" s="81"/>
      <c r="G1534" s="81"/>
      <c r="H1534" s="81"/>
      <c r="I1534" s="161"/>
      <c r="J1534" s="154" t="str">
        <f aca="false">IF(H1534="","",ROUNDUP(H1534*35%,0))</f>
        <v/>
      </c>
      <c r="K1534" s="113"/>
      <c r="L1534" s="113"/>
    </row>
    <row r="1535" customFormat="false" ht="12.75" hidden="false" customHeight="true" outlineLevel="0" collapsed="false">
      <c r="A1535" s="121" t="str">
        <f aca="false">IF(B1535="","",CONCATENATE(COUNTA($B$4:B1535),"."))</f>
        <v/>
      </c>
      <c r="B1535" s="112"/>
      <c r="C1535" s="112"/>
      <c r="D1535" s="81"/>
      <c r="E1535" s="81"/>
      <c r="F1535" s="81"/>
      <c r="G1535" s="81"/>
      <c r="H1535" s="81"/>
      <c r="I1535" s="161"/>
      <c r="J1535" s="154" t="str">
        <f aca="false">IF(H1535="","",ROUNDUP(H1535*35%,0))</f>
        <v/>
      </c>
      <c r="K1535" s="113"/>
      <c r="L1535" s="113"/>
    </row>
    <row r="1536" customFormat="false" ht="12.75" hidden="false" customHeight="true" outlineLevel="0" collapsed="false">
      <c r="A1536" s="121" t="str">
        <f aca="false">IF(B1536="","",CONCATENATE(COUNTA($B$4:B1536),"."))</f>
        <v/>
      </c>
      <c r="B1536" s="112"/>
      <c r="C1536" s="112"/>
      <c r="D1536" s="81"/>
      <c r="E1536" s="81"/>
      <c r="F1536" s="81"/>
      <c r="G1536" s="81"/>
      <c r="H1536" s="81"/>
      <c r="I1536" s="161"/>
      <c r="J1536" s="154" t="str">
        <f aca="false">IF(H1536="","",ROUNDUP(H1536*35%,0))</f>
        <v/>
      </c>
      <c r="K1536" s="113"/>
      <c r="L1536" s="113"/>
    </row>
    <row r="1537" customFormat="false" ht="12.75" hidden="false" customHeight="true" outlineLevel="0" collapsed="false">
      <c r="A1537" s="121" t="str">
        <f aca="false">IF(B1537="","",CONCATENATE(COUNTA($B$4:B1537),"."))</f>
        <v/>
      </c>
      <c r="B1537" s="112"/>
      <c r="C1537" s="112"/>
      <c r="D1537" s="81"/>
      <c r="E1537" s="81"/>
      <c r="F1537" s="81"/>
      <c r="G1537" s="81"/>
      <c r="H1537" s="81"/>
      <c r="I1537" s="161"/>
      <c r="J1537" s="154" t="str">
        <f aca="false">IF(H1537="","",ROUNDUP(H1537*35%,0))</f>
        <v/>
      </c>
      <c r="K1537" s="113"/>
      <c r="L1537" s="113"/>
    </row>
    <row r="1538" customFormat="false" ht="12.75" hidden="false" customHeight="true" outlineLevel="0" collapsed="false">
      <c r="A1538" s="121" t="str">
        <f aca="false">IF(B1538="","",CONCATENATE(COUNTA($B$4:B1538),"."))</f>
        <v/>
      </c>
      <c r="B1538" s="112"/>
      <c r="C1538" s="112"/>
      <c r="D1538" s="81"/>
      <c r="E1538" s="81"/>
      <c r="F1538" s="81"/>
      <c r="G1538" s="81"/>
      <c r="H1538" s="81"/>
      <c r="I1538" s="161"/>
      <c r="J1538" s="154" t="str">
        <f aca="false">IF(H1538="","",ROUNDUP(H1538*35%,0))</f>
        <v/>
      </c>
      <c r="K1538" s="113"/>
      <c r="L1538" s="113"/>
    </row>
    <row r="1539" customFormat="false" ht="12.75" hidden="false" customHeight="true" outlineLevel="0" collapsed="false">
      <c r="A1539" s="121" t="str">
        <f aca="false">IF(B1539="","",CONCATENATE(COUNTA($B$4:B1539),"."))</f>
        <v/>
      </c>
      <c r="B1539" s="112"/>
      <c r="C1539" s="112"/>
      <c r="D1539" s="81"/>
      <c r="E1539" s="81"/>
      <c r="F1539" s="81"/>
      <c r="G1539" s="81"/>
      <c r="H1539" s="81"/>
      <c r="I1539" s="161"/>
      <c r="J1539" s="154" t="str">
        <f aca="false">IF(H1539="","",ROUNDUP(H1539*35%,0))</f>
        <v/>
      </c>
      <c r="K1539" s="113"/>
      <c r="L1539" s="113"/>
    </row>
    <row r="1540" customFormat="false" ht="12.75" hidden="false" customHeight="true" outlineLevel="0" collapsed="false">
      <c r="A1540" s="121" t="str">
        <f aca="false">IF(B1540="","",CONCATENATE(COUNTA($B$4:B1540),"."))</f>
        <v/>
      </c>
      <c r="B1540" s="112"/>
      <c r="C1540" s="112"/>
      <c r="D1540" s="81"/>
      <c r="E1540" s="81"/>
      <c r="F1540" s="81"/>
      <c r="G1540" s="81"/>
      <c r="H1540" s="81"/>
      <c r="I1540" s="161"/>
      <c r="J1540" s="154" t="str">
        <f aca="false">IF(H1540="","",ROUNDUP(H1540*35%,0))</f>
        <v/>
      </c>
      <c r="K1540" s="113"/>
      <c r="L1540" s="113"/>
    </row>
    <row r="1541" customFormat="false" ht="12.75" hidden="false" customHeight="true" outlineLevel="0" collapsed="false">
      <c r="A1541" s="121" t="str">
        <f aca="false">IF(B1541="","",CONCATENATE(COUNTA($B$4:B1541),"."))</f>
        <v/>
      </c>
      <c r="B1541" s="112"/>
      <c r="C1541" s="112"/>
      <c r="D1541" s="81"/>
      <c r="E1541" s="81"/>
      <c r="F1541" s="81"/>
      <c r="G1541" s="81"/>
      <c r="H1541" s="81"/>
      <c r="I1541" s="161"/>
      <c r="J1541" s="154" t="str">
        <f aca="false">IF(H1541="","",ROUNDUP(H1541*35%,0))</f>
        <v/>
      </c>
      <c r="K1541" s="113"/>
      <c r="L1541" s="113"/>
    </row>
    <row r="1542" customFormat="false" ht="12.75" hidden="false" customHeight="true" outlineLevel="0" collapsed="false">
      <c r="A1542" s="121" t="str">
        <f aca="false">IF(B1542="","",CONCATENATE(COUNTA($B$4:B1542),"."))</f>
        <v/>
      </c>
      <c r="B1542" s="112"/>
      <c r="C1542" s="112"/>
      <c r="D1542" s="81"/>
      <c r="E1542" s="81"/>
      <c r="F1542" s="81"/>
      <c r="G1542" s="81"/>
      <c r="H1542" s="81"/>
      <c r="I1542" s="161"/>
      <c r="J1542" s="154" t="str">
        <f aca="false">IF(H1542="","",ROUNDUP(H1542*35%,0))</f>
        <v/>
      </c>
      <c r="K1542" s="113"/>
      <c r="L1542" s="113"/>
    </row>
    <row r="1543" customFormat="false" ht="12.75" hidden="false" customHeight="true" outlineLevel="0" collapsed="false">
      <c r="A1543" s="121" t="str">
        <f aca="false">IF(B1543="","",CONCATENATE(COUNTA($B$4:B1543),"."))</f>
        <v/>
      </c>
      <c r="B1543" s="112"/>
      <c r="C1543" s="112"/>
      <c r="D1543" s="81"/>
      <c r="E1543" s="81"/>
      <c r="F1543" s="81"/>
      <c r="G1543" s="81"/>
      <c r="H1543" s="81"/>
      <c r="I1543" s="161"/>
      <c r="J1543" s="154" t="str">
        <f aca="false">IF(H1543="","",ROUNDUP(H1543*35%,0))</f>
        <v/>
      </c>
      <c r="K1543" s="113"/>
      <c r="L1543" s="113"/>
    </row>
    <row r="1544" customFormat="false" ht="12.75" hidden="false" customHeight="true" outlineLevel="0" collapsed="false">
      <c r="A1544" s="121" t="str">
        <f aca="false">IF(B1544="","",CONCATENATE(COUNTA($B$4:B1544),"."))</f>
        <v/>
      </c>
      <c r="B1544" s="112"/>
      <c r="C1544" s="112"/>
      <c r="D1544" s="81"/>
      <c r="E1544" s="81"/>
      <c r="F1544" s="81"/>
      <c r="G1544" s="81"/>
      <c r="H1544" s="81"/>
      <c r="I1544" s="161"/>
      <c r="J1544" s="154" t="str">
        <f aca="false">IF(H1544="","",ROUNDUP(H1544*35%,0))</f>
        <v/>
      </c>
      <c r="K1544" s="113"/>
      <c r="L1544" s="113"/>
    </row>
    <row r="1545" customFormat="false" ht="12.75" hidden="false" customHeight="true" outlineLevel="0" collapsed="false">
      <c r="A1545" s="121" t="str">
        <f aca="false">IF(B1545="","",CONCATENATE(COUNTA($B$4:B1545),"."))</f>
        <v/>
      </c>
      <c r="B1545" s="112"/>
      <c r="C1545" s="112"/>
      <c r="D1545" s="81"/>
      <c r="E1545" s="81"/>
      <c r="F1545" s="81"/>
      <c r="G1545" s="81"/>
      <c r="H1545" s="81"/>
      <c r="I1545" s="161"/>
      <c r="J1545" s="154" t="str">
        <f aca="false">IF(H1545="","",ROUNDUP(H1545*35%,0))</f>
        <v/>
      </c>
      <c r="K1545" s="113"/>
      <c r="L1545" s="113"/>
    </row>
    <row r="1546" customFormat="false" ht="12.75" hidden="false" customHeight="true" outlineLevel="0" collapsed="false">
      <c r="A1546" s="121" t="str">
        <f aca="false">IF(B1546="","",CONCATENATE(COUNTA($B$4:B1546),"."))</f>
        <v/>
      </c>
      <c r="B1546" s="112"/>
      <c r="C1546" s="112"/>
      <c r="D1546" s="81"/>
      <c r="E1546" s="81"/>
      <c r="F1546" s="81"/>
      <c r="G1546" s="81"/>
      <c r="H1546" s="81"/>
      <c r="I1546" s="161"/>
      <c r="J1546" s="154" t="str">
        <f aca="false">IF(H1546="","",ROUNDUP(H1546*35%,0))</f>
        <v/>
      </c>
      <c r="K1546" s="113"/>
      <c r="L1546" s="113"/>
    </row>
    <row r="1547" customFormat="false" ht="12.75" hidden="false" customHeight="true" outlineLevel="0" collapsed="false">
      <c r="A1547" s="121" t="str">
        <f aca="false">IF(B1547="","",CONCATENATE(COUNTA($B$4:B1547),"."))</f>
        <v/>
      </c>
      <c r="B1547" s="112"/>
      <c r="C1547" s="112"/>
      <c r="D1547" s="81"/>
      <c r="E1547" s="81"/>
      <c r="F1547" s="81"/>
      <c r="G1547" s="81"/>
      <c r="H1547" s="81"/>
      <c r="I1547" s="161"/>
      <c r="J1547" s="154" t="str">
        <f aca="false">IF(H1547="","",ROUNDUP(H1547*35%,0))</f>
        <v/>
      </c>
      <c r="K1547" s="113"/>
      <c r="L1547" s="113"/>
    </row>
    <row r="1548" customFormat="false" ht="12.75" hidden="false" customHeight="true" outlineLevel="0" collapsed="false">
      <c r="A1548" s="121" t="str">
        <f aca="false">IF(B1548="","",CONCATENATE(COUNTA($B$4:B1548),"."))</f>
        <v/>
      </c>
      <c r="B1548" s="112"/>
      <c r="C1548" s="112"/>
      <c r="D1548" s="81"/>
      <c r="E1548" s="81"/>
      <c r="F1548" s="81"/>
      <c r="G1548" s="81"/>
      <c r="H1548" s="81"/>
      <c r="I1548" s="161"/>
      <c r="J1548" s="154" t="str">
        <f aca="false">IF(H1548="","",ROUNDUP(H1548*35%,0))</f>
        <v/>
      </c>
      <c r="K1548" s="113"/>
      <c r="L1548" s="113"/>
    </row>
    <row r="1549" customFormat="false" ht="12.75" hidden="false" customHeight="true" outlineLevel="0" collapsed="false">
      <c r="A1549" s="121" t="str">
        <f aca="false">IF(B1549="","",CONCATENATE(COUNTA($B$4:B1549),"."))</f>
        <v/>
      </c>
      <c r="B1549" s="112"/>
      <c r="C1549" s="112"/>
      <c r="D1549" s="81"/>
      <c r="E1549" s="81"/>
      <c r="F1549" s="81"/>
      <c r="G1549" s="81"/>
      <c r="H1549" s="81"/>
      <c r="I1549" s="161"/>
      <c r="J1549" s="154" t="str">
        <f aca="false">IF(H1549="","",ROUNDUP(H1549*35%,0))</f>
        <v/>
      </c>
      <c r="K1549" s="113"/>
      <c r="L1549" s="113"/>
    </row>
    <row r="1550" customFormat="false" ht="12.75" hidden="false" customHeight="true" outlineLevel="0" collapsed="false">
      <c r="A1550" s="121" t="str">
        <f aca="false">IF(B1550="","",CONCATENATE(COUNTA($B$4:B1550),"."))</f>
        <v/>
      </c>
      <c r="B1550" s="112"/>
      <c r="C1550" s="112"/>
      <c r="D1550" s="81"/>
      <c r="E1550" s="81"/>
      <c r="F1550" s="81"/>
      <c r="G1550" s="81"/>
      <c r="H1550" s="81"/>
      <c r="I1550" s="161"/>
      <c r="J1550" s="154" t="str">
        <f aca="false">IF(H1550="","",ROUNDUP(H1550*35%,0))</f>
        <v/>
      </c>
      <c r="K1550" s="113"/>
      <c r="L1550" s="113"/>
    </row>
    <row r="1551" customFormat="false" ht="12.75" hidden="false" customHeight="true" outlineLevel="0" collapsed="false">
      <c r="A1551" s="121" t="str">
        <f aca="false">IF(B1551="","",CONCATENATE(COUNTA($B$4:B1551),"."))</f>
        <v/>
      </c>
      <c r="B1551" s="112"/>
      <c r="C1551" s="112"/>
      <c r="D1551" s="81"/>
      <c r="E1551" s="81"/>
      <c r="F1551" s="81"/>
      <c r="G1551" s="81"/>
      <c r="H1551" s="81"/>
      <c r="I1551" s="161"/>
      <c r="J1551" s="154" t="str">
        <f aca="false">IF(H1551="","",ROUNDUP(H1551*35%,0))</f>
        <v/>
      </c>
      <c r="K1551" s="113"/>
      <c r="L1551" s="113"/>
    </row>
    <row r="1552" customFormat="false" ht="12.75" hidden="false" customHeight="true" outlineLevel="0" collapsed="false">
      <c r="A1552" s="121" t="str">
        <f aca="false">IF(B1552="","",CONCATENATE(COUNTA($B$4:B1552),"."))</f>
        <v/>
      </c>
      <c r="B1552" s="112"/>
      <c r="C1552" s="112"/>
      <c r="D1552" s="81"/>
      <c r="E1552" s="81"/>
      <c r="F1552" s="81"/>
      <c r="G1552" s="81"/>
      <c r="H1552" s="81"/>
      <c r="I1552" s="161"/>
      <c r="J1552" s="154" t="str">
        <f aca="false">IF(H1552="","",ROUNDUP(H1552*35%,0))</f>
        <v/>
      </c>
      <c r="K1552" s="113"/>
      <c r="L1552" s="113"/>
    </row>
    <row r="1553" customFormat="false" ht="12.75" hidden="false" customHeight="true" outlineLevel="0" collapsed="false">
      <c r="A1553" s="121" t="str">
        <f aca="false">IF(B1553="","",CONCATENATE(COUNTA($B$4:B1553),"."))</f>
        <v/>
      </c>
      <c r="B1553" s="112"/>
      <c r="C1553" s="112"/>
      <c r="D1553" s="81"/>
      <c r="E1553" s="81"/>
      <c r="F1553" s="81"/>
      <c r="G1553" s="81"/>
      <c r="H1553" s="81"/>
      <c r="I1553" s="161"/>
      <c r="J1553" s="154" t="str">
        <f aca="false">IF(H1553="","",ROUNDUP(H1553*35%,0))</f>
        <v/>
      </c>
      <c r="K1553" s="113"/>
      <c r="L1553" s="113"/>
    </row>
    <row r="1554" customFormat="false" ht="12.75" hidden="false" customHeight="true" outlineLevel="0" collapsed="false">
      <c r="A1554" s="121" t="str">
        <f aca="false">IF(B1554="","",CONCATENATE(COUNTA($B$4:B1554),"."))</f>
        <v/>
      </c>
      <c r="B1554" s="112"/>
      <c r="C1554" s="112"/>
      <c r="D1554" s="81"/>
      <c r="E1554" s="81"/>
      <c r="F1554" s="81"/>
      <c r="G1554" s="81"/>
      <c r="H1554" s="81"/>
      <c r="I1554" s="161"/>
      <c r="J1554" s="154" t="str">
        <f aca="false">IF(H1554="","",ROUNDUP(H1554*35%,0))</f>
        <v/>
      </c>
      <c r="K1554" s="113"/>
      <c r="L1554" s="113"/>
    </row>
    <row r="1555" customFormat="false" ht="12.75" hidden="false" customHeight="true" outlineLevel="0" collapsed="false">
      <c r="A1555" s="121" t="str">
        <f aca="false">IF(B1555="","",CONCATENATE(COUNTA($B$4:B1555),"."))</f>
        <v/>
      </c>
      <c r="B1555" s="112"/>
      <c r="C1555" s="112"/>
      <c r="D1555" s="81"/>
      <c r="E1555" s="81"/>
      <c r="F1555" s="81"/>
      <c r="G1555" s="81"/>
      <c r="H1555" s="81"/>
      <c r="I1555" s="161"/>
      <c r="J1555" s="154" t="str">
        <f aca="false">IF(H1555="","",ROUNDUP(H1555*35%,0))</f>
        <v/>
      </c>
      <c r="K1555" s="113"/>
      <c r="L1555" s="113"/>
    </row>
    <row r="1556" customFormat="false" ht="12.75" hidden="false" customHeight="true" outlineLevel="0" collapsed="false">
      <c r="A1556" s="121" t="str">
        <f aca="false">IF(B1556="","",CONCATENATE(COUNTA($B$4:B1556),"."))</f>
        <v/>
      </c>
      <c r="B1556" s="112"/>
      <c r="C1556" s="112"/>
      <c r="D1556" s="81"/>
      <c r="E1556" s="81"/>
      <c r="F1556" s="81"/>
      <c r="G1556" s="81"/>
      <c r="H1556" s="81"/>
      <c r="I1556" s="161"/>
      <c r="J1556" s="154" t="str">
        <f aca="false">IF(H1556="","",ROUNDUP(H1556*35%,0))</f>
        <v/>
      </c>
      <c r="K1556" s="113"/>
      <c r="L1556" s="113"/>
    </row>
    <row r="1557" customFormat="false" ht="12.75" hidden="false" customHeight="true" outlineLevel="0" collapsed="false">
      <c r="A1557" s="121" t="str">
        <f aca="false">IF(B1557="","",CONCATENATE(COUNTA($B$4:B1557),"."))</f>
        <v/>
      </c>
      <c r="B1557" s="112"/>
      <c r="C1557" s="112"/>
      <c r="D1557" s="81"/>
      <c r="E1557" s="81"/>
      <c r="F1557" s="81"/>
      <c r="G1557" s="81"/>
      <c r="H1557" s="81"/>
      <c r="I1557" s="161"/>
      <c r="J1557" s="154" t="str">
        <f aca="false">IF(H1557="","",ROUNDUP(H1557*35%,0))</f>
        <v/>
      </c>
      <c r="K1557" s="113"/>
      <c r="L1557" s="113"/>
    </row>
    <row r="1558" customFormat="false" ht="12.75" hidden="false" customHeight="true" outlineLevel="0" collapsed="false">
      <c r="A1558" s="121" t="str">
        <f aca="false">IF(B1558="","",CONCATENATE(COUNTA($B$4:B1558),"."))</f>
        <v/>
      </c>
      <c r="B1558" s="112"/>
      <c r="C1558" s="112"/>
      <c r="D1558" s="81"/>
      <c r="E1558" s="81"/>
      <c r="F1558" s="81"/>
      <c r="G1558" s="81"/>
      <c r="H1558" s="81"/>
      <c r="I1558" s="161"/>
      <c r="J1558" s="154" t="str">
        <f aca="false">IF(H1558="","",ROUNDUP(H1558*35%,0))</f>
        <v/>
      </c>
      <c r="K1558" s="113"/>
      <c r="L1558" s="113"/>
    </row>
    <row r="1559" customFormat="false" ht="12.75" hidden="false" customHeight="true" outlineLevel="0" collapsed="false">
      <c r="A1559" s="121" t="str">
        <f aca="false">IF(B1559="","",CONCATENATE(COUNTA($B$4:B1559),"."))</f>
        <v/>
      </c>
      <c r="B1559" s="112"/>
      <c r="C1559" s="112"/>
      <c r="D1559" s="81"/>
      <c r="E1559" s="81"/>
      <c r="F1559" s="81"/>
      <c r="G1559" s="81"/>
      <c r="H1559" s="81"/>
      <c r="I1559" s="161"/>
      <c r="J1559" s="154" t="str">
        <f aca="false">IF(H1559="","",ROUNDUP(H1559*35%,0))</f>
        <v/>
      </c>
      <c r="K1559" s="113"/>
      <c r="L1559" s="113"/>
    </row>
    <row r="1560" customFormat="false" ht="12.75" hidden="false" customHeight="true" outlineLevel="0" collapsed="false">
      <c r="A1560" s="121" t="str">
        <f aca="false">IF(B1560="","",CONCATENATE(COUNTA($B$4:B1560),"."))</f>
        <v/>
      </c>
      <c r="B1560" s="112"/>
      <c r="C1560" s="112"/>
      <c r="D1560" s="81"/>
      <c r="E1560" s="81"/>
      <c r="F1560" s="81"/>
      <c r="G1560" s="81"/>
      <c r="H1560" s="81"/>
      <c r="I1560" s="161"/>
      <c r="J1560" s="154" t="str">
        <f aca="false">IF(H1560="","",ROUNDUP(H1560*35%,0))</f>
        <v/>
      </c>
      <c r="K1560" s="113"/>
      <c r="L1560" s="113"/>
    </row>
    <row r="1561" customFormat="false" ht="12.75" hidden="false" customHeight="true" outlineLevel="0" collapsed="false">
      <c r="A1561" s="121" t="str">
        <f aca="false">IF(B1561="","",CONCATENATE(COUNTA($B$4:B1561),"."))</f>
        <v/>
      </c>
      <c r="B1561" s="112"/>
      <c r="C1561" s="112"/>
      <c r="D1561" s="81"/>
      <c r="E1561" s="81"/>
      <c r="F1561" s="81"/>
      <c r="G1561" s="81"/>
      <c r="H1561" s="81"/>
      <c r="I1561" s="161"/>
      <c r="J1561" s="154" t="str">
        <f aca="false">IF(H1561="","",ROUNDUP(H1561*35%,0))</f>
        <v/>
      </c>
      <c r="K1561" s="113"/>
      <c r="L1561" s="113"/>
    </row>
    <row r="1562" customFormat="false" ht="12.75" hidden="false" customHeight="true" outlineLevel="0" collapsed="false">
      <c r="A1562" s="121" t="str">
        <f aca="false">IF(B1562="","",CONCATENATE(COUNTA($B$4:B1562),"."))</f>
        <v/>
      </c>
      <c r="B1562" s="112"/>
      <c r="C1562" s="112"/>
      <c r="D1562" s="81"/>
      <c r="E1562" s="81"/>
      <c r="F1562" s="81"/>
      <c r="G1562" s="81"/>
      <c r="H1562" s="81"/>
      <c r="I1562" s="161"/>
      <c r="J1562" s="154" t="str">
        <f aca="false">IF(H1562="","",ROUNDUP(H1562*35%,0))</f>
        <v/>
      </c>
      <c r="K1562" s="113"/>
      <c r="L1562" s="113"/>
    </row>
    <row r="1563" customFormat="false" ht="12.75" hidden="false" customHeight="true" outlineLevel="0" collapsed="false">
      <c r="A1563" s="121" t="str">
        <f aca="false">IF(B1563="","",CONCATENATE(COUNTA($B$4:B1563),"."))</f>
        <v/>
      </c>
      <c r="B1563" s="112"/>
      <c r="C1563" s="112"/>
      <c r="D1563" s="81"/>
      <c r="E1563" s="81"/>
      <c r="F1563" s="81"/>
      <c r="G1563" s="81"/>
      <c r="H1563" s="81"/>
      <c r="I1563" s="161"/>
      <c r="J1563" s="154" t="str">
        <f aca="false">IF(H1563="","",ROUNDUP(H1563*35%,0))</f>
        <v/>
      </c>
      <c r="K1563" s="113"/>
      <c r="L1563" s="113"/>
    </row>
    <row r="1564" customFormat="false" ht="12.75" hidden="false" customHeight="true" outlineLevel="0" collapsed="false">
      <c r="A1564" s="121" t="str">
        <f aca="false">IF(B1564="","",CONCATENATE(COUNTA($B$4:B1564),"."))</f>
        <v/>
      </c>
      <c r="B1564" s="112"/>
      <c r="C1564" s="112"/>
      <c r="D1564" s="81"/>
      <c r="E1564" s="81"/>
      <c r="F1564" s="81"/>
      <c r="G1564" s="81"/>
      <c r="H1564" s="81"/>
      <c r="I1564" s="161"/>
      <c r="J1564" s="154" t="str">
        <f aca="false">IF(H1564="","",ROUNDUP(H1564*35%,0))</f>
        <v/>
      </c>
      <c r="K1564" s="113"/>
      <c r="L1564" s="113"/>
    </row>
    <row r="1565" customFormat="false" ht="12.75" hidden="false" customHeight="true" outlineLevel="0" collapsed="false">
      <c r="A1565" s="121" t="str">
        <f aca="false">IF(B1565="","",CONCATENATE(COUNTA($B$4:B1565),"."))</f>
        <v/>
      </c>
      <c r="B1565" s="112"/>
      <c r="C1565" s="112"/>
      <c r="D1565" s="81"/>
      <c r="E1565" s="81"/>
      <c r="F1565" s="81"/>
      <c r="G1565" s="81"/>
      <c r="H1565" s="81"/>
      <c r="I1565" s="161"/>
      <c r="J1565" s="154" t="str">
        <f aca="false">IF(H1565="","",ROUNDUP(H1565*35%,0))</f>
        <v/>
      </c>
      <c r="K1565" s="113"/>
      <c r="L1565" s="113"/>
    </row>
    <row r="1566" customFormat="false" ht="12.75" hidden="false" customHeight="true" outlineLevel="0" collapsed="false">
      <c r="A1566" s="121" t="str">
        <f aca="false">IF(B1566="","",CONCATENATE(COUNTA($B$4:B1566),"."))</f>
        <v/>
      </c>
      <c r="B1566" s="112"/>
      <c r="C1566" s="112"/>
      <c r="D1566" s="81"/>
      <c r="E1566" s="81"/>
      <c r="F1566" s="81"/>
      <c r="G1566" s="81"/>
      <c r="H1566" s="81"/>
      <c r="I1566" s="161"/>
      <c r="J1566" s="154" t="str">
        <f aca="false">IF(H1566="","",ROUNDUP(H1566*35%,0))</f>
        <v/>
      </c>
      <c r="K1566" s="113"/>
      <c r="L1566" s="113"/>
    </row>
    <row r="1567" customFormat="false" ht="12.75" hidden="false" customHeight="true" outlineLevel="0" collapsed="false">
      <c r="A1567" s="121" t="str">
        <f aca="false">IF(B1567="","",CONCATENATE(COUNTA($B$4:B1567),"."))</f>
        <v/>
      </c>
      <c r="B1567" s="112"/>
      <c r="C1567" s="112"/>
      <c r="D1567" s="81"/>
      <c r="E1567" s="81"/>
      <c r="F1567" s="81"/>
      <c r="G1567" s="81"/>
      <c r="H1567" s="81"/>
      <c r="I1567" s="161"/>
      <c r="J1567" s="154" t="str">
        <f aca="false">IF(H1567="","",ROUNDUP(H1567*35%,0))</f>
        <v/>
      </c>
      <c r="K1567" s="113"/>
      <c r="L1567" s="113"/>
    </row>
    <row r="1568" customFormat="false" ht="12.75" hidden="false" customHeight="true" outlineLevel="0" collapsed="false">
      <c r="A1568" s="121" t="str">
        <f aca="false">IF(B1568="","",CONCATENATE(COUNTA($B$4:B1568),"."))</f>
        <v/>
      </c>
      <c r="B1568" s="112"/>
      <c r="C1568" s="112"/>
      <c r="D1568" s="81"/>
      <c r="E1568" s="81"/>
      <c r="F1568" s="81"/>
      <c r="G1568" s="81"/>
      <c r="H1568" s="81"/>
      <c r="I1568" s="161"/>
      <c r="J1568" s="154" t="str">
        <f aca="false">IF(H1568="","",ROUNDUP(H1568*35%,0))</f>
        <v/>
      </c>
      <c r="K1568" s="113"/>
      <c r="L1568" s="113"/>
    </row>
    <row r="1569" customFormat="false" ht="12.75" hidden="false" customHeight="true" outlineLevel="0" collapsed="false">
      <c r="A1569" s="121" t="str">
        <f aca="false">IF(B1569="","",CONCATENATE(COUNTA($B$4:B1569),"."))</f>
        <v/>
      </c>
      <c r="B1569" s="112"/>
      <c r="C1569" s="112"/>
      <c r="D1569" s="81"/>
      <c r="E1569" s="81"/>
      <c r="F1569" s="81"/>
      <c r="G1569" s="81"/>
      <c r="H1569" s="81"/>
      <c r="I1569" s="161"/>
      <c r="J1569" s="154" t="str">
        <f aca="false">IF(H1569="","",ROUNDUP(H1569*35%,0))</f>
        <v/>
      </c>
      <c r="K1569" s="113"/>
      <c r="L1569" s="113"/>
    </row>
    <row r="1570" customFormat="false" ht="12.75" hidden="false" customHeight="true" outlineLevel="0" collapsed="false">
      <c r="A1570" s="121" t="str">
        <f aca="false">IF(B1570="","",CONCATENATE(COUNTA($B$4:B1570),"."))</f>
        <v/>
      </c>
      <c r="B1570" s="112"/>
      <c r="C1570" s="112"/>
      <c r="D1570" s="81"/>
      <c r="E1570" s="81"/>
      <c r="F1570" s="81"/>
      <c r="G1570" s="81"/>
      <c r="H1570" s="81"/>
      <c r="I1570" s="161"/>
      <c r="J1570" s="154" t="str">
        <f aca="false">IF(H1570="","",ROUNDUP(H1570*35%,0))</f>
        <v/>
      </c>
      <c r="K1570" s="113"/>
      <c r="L1570" s="113"/>
    </row>
    <row r="1571" customFormat="false" ht="12.75" hidden="false" customHeight="true" outlineLevel="0" collapsed="false">
      <c r="A1571" s="121" t="str">
        <f aca="false">IF(B1571="","",CONCATENATE(COUNTA($B$4:B1571),"."))</f>
        <v/>
      </c>
      <c r="B1571" s="112"/>
      <c r="C1571" s="112"/>
      <c r="D1571" s="81"/>
      <c r="E1571" s="81"/>
      <c r="F1571" s="81"/>
      <c r="G1571" s="81"/>
      <c r="H1571" s="81"/>
      <c r="I1571" s="161"/>
      <c r="J1571" s="154" t="str">
        <f aca="false">IF(H1571="","",ROUNDUP(H1571*35%,0))</f>
        <v/>
      </c>
      <c r="K1571" s="113"/>
      <c r="L1571" s="113"/>
    </row>
    <row r="1572" customFormat="false" ht="12.75" hidden="false" customHeight="true" outlineLevel="0" collapsed="false">
      <c r="A1572" s="121" t="str">
        <f aca="false">IF(B1572="","",CONCATENATE(COUNTA($B$4:B1572),"."))</f>
        <v/>
      </c>
      <c r="B1572" s="112"/>
      <c r="C1572" s="112"/>
      <c r="D1572" s="81"/>
      <c r="E1572" s="81"/>
      <c r="F1572" s="81"/>
      <c r="G1572" s="81"/>
      <c r="H1572" s="81"/>
      <c r="I1572" s="161"/>
      <c r="J1572" s="154" t="str">
        <f aca="false">IF(H1572="","",ROUNDUP(H1572*35%,0))</f>
        <v/>
      </c>
      <c r="K1572" s="113"/>
      <c r="L1572" s="113"/>
    </row>
    <row r="1573" customFormat="false" ht="12.75" hidden="false" customHeight="true" outlineLevel="0" collapsed="false">
      <c r="A1573" s="121" t="str">
        <f aca="false">IF(B1573="","",CONCATENATE(COUNTA($B$4:B1573),"."))</f>
        <v/>
      </c>
      <c r="B1573" s="112"/>
      <c r="C1573" s="112"/>
      <c r="D1573" s="81"/>
      <c r="E1573" s="81"/>
      <c r="F1573" s="81"/>
      <c r="G1573" s="81"/>
      <c r="H1573" s="81"/>
      <c r="I1573" s="161"/>
      <c r="J1573" s="154" t="str">
        <f aca="false">IF(H1573="","",ROUNDUP(H1573*35%,0))</f>
        <v/>
      </c>
      <c r="K1573" s="113"/>
      <c r="L1573" s="113"/>
    </row>
    <row r="1574" customFormat="false" ht="12.75" hidden="false" customHeight="true" outlineLevel="0" collapsed="false">
      <c r="A1574" s="121" t="str">
        <f aca="false">IF(B1574="","",CONCATENATE(COUNTA($B$4:B1574),"."))</f>
        <v/>
      </c>
      <c r="B1574" s="112"/>
      <c r="C1574" s="112"/>
      <c r="D1574" s="81"/>
      <c r="E1574" s="81"/>
      <c r="F1574" s="81"/>
      <c r="G1574" s="81"/>
      <c r="H1574" s="81"/>
      <c r="I1574" s="161"/>
      <c r="J1574" s="154" t="str">
        <f aca="false">IF(H1574="","",ROUNDUP(H1574*35%,0))</f>
        <v/>
      </c>
      <c r="K1574" s="113"/>
      <c r="L1574" s="113"/>
    </row>
    <row r="1575" customFormat="false" ht="12.75" hidden="false" customHeight="true" outlineLevel="0" collapsed="false">
      <c r="A1575" s="121" t="str">
        <f aca="false">IF(B1575="","",CONCATENATE(COUNTA($B$4:B1575),"."))</f>
        <v/>
      </c>
      <c r="B1575" s="112"/>
      <c r="C1575" s="112"/>
      <c r="D1575" s="81"/>
      <c r="E1575" s="81"/>
      <c r="F1575" s="81"/>
      <c r="G1575" s="81"/>
      <c r="H1575" s="81"/>
      <c r="I1575" s="161"/>
      <c r="J1575" s="154" t="str">
        <f aca="false">IF(H1575="","",ROUNDUP(H1575*35%,0))</f>
        <v/>
      </c>
      <c r="K1575" s="113"/>
      <c r="L1575" s="113"/>
    </row>
    <row r="1576" customFormat="false" ht="12.75" hidden="false" customHeight="true" outlineLevel="0" collapsed="false">
      <c r="A1576" s="121" t="str">
        <f aca="false">IF(B1576="","",CONCATENATE(COUNTA($B$4:B1576),"."))</f>
        <v/>
      </c>
      <c r="B1576" s="112"/>
      <c r="C1576" s="112"/>
      <c r="D1576" s="81"/>
      <c r="E1576" s="81"/>
      <c r="F1576" s="81"/>
      <c r="G1576" s="81"/>
      <c r="H1576" s="81"/>
      <c r="I1576" s="161"/>
      <c r="J1576" s="154" t="str">
        <f aca="false">IF(H1576="","",ROUNDUP(H1576*35%,0))</f>
        <v/>
      </c>
      <c r="K1576" s="113"/>
      <c r="L1576" s="113"/>
    </row>
    <row r="1577" customFormat="false" ht="12.75" hidden="false" customHeight="true" outlineLevel="0" collapsed="false">
      <c r="A1577" s="121" t="str">
        <f aca="false">IF(B1577="","",CONCATENATE(COUNTA($B$4:B1577),"."))</f>
        <v/>
      </c>
      <c r="B1577" s="112"/>
      <c r="C1577" s="112"/>
      <c r="D1577" s="81"/>
      <c r="E1577" s="81"/>
      <c r="F1577" s="81"/>
      <c r="G1577" s="81"/>
      <c r="H1577" s="81"/>
      <c r="I1577" s="161"/>
      <c r="J1577" s="154" t="str">
        <f aca="false">IF(H1577="","",ROUNDUP(H1577*35%,0))</f>
        <v/>
      </c>
      <c r="K1577" s="113"/>
      <c r="L1577" s="113"/>
    </row>
    <row r="1578" customFormat="false" ht="12.75" hidden="false" customHeight="true" outlineLevel="0" collapsed="false">
      <c r="A1578" s="121" t="str">
        <f aca="false">IF(B1578="","",CONCATENATE(COUNTA($B$4:B1578),"."))</f>
        <v/>
      </c>
      <c r="B1578" s="112"/>
      <c r="C1578" s="112"/>
      <c r="D1578" s="81"/>
      <c r="E1578" s="81"/>
      <c r="F1578" s="81"/>
      <c r="G1578" s="81"/>
      <c r="H1578" s="81"/>
      <c r="I1578" s="161"/>
      <c r="J1578" s="154" t="str">
        <f aca="false">IF(H1578="","",ROUNDUP(H1578*35%,0))</f>
        <v/>
      </c>
      <c r="K1578" s="113"/>
      <c r="L1578" s="113"/>
    </row>
    <row r="1579" customFormat="false" ht="12.75" hidden="false" customHeight="true" outlineLevel="0" collapsed="false">
      <c r="A1579" s="121" t="str">
        <f aca="false">IF(B1579="","",CONCATENATE(COUNTA($B$4:B1579),"."))</f>
        <v/>
      </c>
      <c r="B1579" s="112"/>
      <c r="C1579" s="112"/>
      <c r="D1579" s="81"/>
      <c r="E1579" s="81"/>
      <c r="F1579" s="81"/>
      <c r="G1579" s="81"/>
      <c r="H1579" s="81"/>
      <c r="I1579" s="161"/>
      <c r="J1579" s="154" t="str">
        <f aca="false">IF(H1579="","",ROUNDUP(H1579*35%,0))</f>
        <v/>
      </c>
      <c r="K1579" s="113"/>
      <c r="L1579" s="113"/>
    </row>
    <row r="1580" customFormat="false" ht="12.75" hidden="false" customHeight="true" outlineLevel="0" collapsed="false">
      <c r="A1580" s="121" t="str">
        <f aca="false">IF(B1580="","",CONCATENATE(COUNTA($B$4:B1580),"."))</f>
        <v/>
      </c>
      <c r="B1580" s="112"/>
      <c r="C1580" s="112"/>
      <c r="D1580" s="81"/>
      <c r="E1580" s="81"/>
      <c r="F1580" s="81"/>
      <c r="G1580" s="81"/>
      <c r="H1580" s="81"/>
      <c r="I1580" s="161"/>
      <c r="J1580" s="154" t="str">
        <f aca="false">IF(H1580="","",ROUNDUP(H1580*35%,0))</f>
        <v/>
      </c>
      <c r="K1580" s="113"/>
      <c r="L1580" s="113"/>
    </row>
    <row r="1581" customFormat="false" ht="12.75" hidden="false" customHeight="true" outlineLevel="0" collapsed="false">
      <c r="A1581" s="121" t="str">
        <f aca="false">IF(B1581="","",CONCATENATE(COUNTA($B$4:B1581),"."))</f>
        <v/>
      </c>
      <c r="B1581" s="112"/>
      <c r="C1581" s="112"/>
      <c r="D1581" s="81"/>
      <c r="E1581" s="81"/>
      <c r="F1581" s="81"/>
      <c r="G1581" s="81"/>
      <c r="H1581" s="81"/>
      <c r="I1581" s="161"/>
      <c r="J1581" s="154" t="str">
        <f aca="false">IF(H1581="","",ROUNDUP(H1581*35%,0))</f>
        <v/>
      </c>
      <c r="K1581" s="113"/>
      <c r="L1581" s="113"/>
    </row>
    <row r="1582" customFormat="false" ht="12.75" hidden="false" customHeight="true" outlineLevel="0" collapsed="false">
      <c r="A1582" s="121" t="str">
        <f aca="false">IF(B1582="","",CONCATENATE(COUNTA($B$4:B1582),"."))</f>
        <v/>
      </c>
      <c r="B1582" s="112"/>
      <c r="C1582" s="112"/>
      <c r="D1582" s="81"/>
      <c r="E1582" s="81"/>
      <c r="F1582" s="81"/>
      <c r="G1582" s="81"/>
      <c r="H1582" s="81"/>
      <c r="I1582" s="161"/>
      <c r="J1582" s="154" t="str">
        <f aca="false">IF(H1582="","",ROUNDUP(H1582*35%,0))</f>
        <v/>
      </c>
      <c r="K1582" s="113"/>
      <c r="L1582" s="113"/>
    </row>
    <row r="1583" customFormat="false" ht="12.75" hidden="false" customHeight="true" outlineLevel="0" collapsed="false">
      <c r="A1583" s="121" t="str">
        <f aca="false">IF(B1583="","",CONCATENATE(COUNTA($B$4:B1583),"."))</f>
        <v/>
      </c>
      <c r="B1583" s="112"/>
      <c r="C1583" s="112"/>
      <c r="D1583" s="81"/>
      <c r="E1583" s="81"/>
      <c r="F1583" s="81"/>
      <c r="G1583" s="81"/>
      <c r="H1583" s="81"/>
      <c r="I1583" s="161"/>
      <c r="J1583" s="154" t="str">
        <f aca="false">IF(H1583="","",ROUNDUP(H1583*35%,0))</f>
        <v/>
      </c>
      <c r="K1583" s="113"/>
      <c r="L1583" s="113"/>
    </row>
    <row r="1584" customFormat="false" ht="12.75" hidden="false" customHeight="true" outlineLevel="0" collapsed="false">
      <c r="A1584" s="121" t="str">
        <f aca="false">IF(B1584="","",CONCATENATE(COUNTA($B$4:B1584),"."))</f>
        <v/>
      </c>
      <c r="B1584" s="112"/>
      <c r="C1584" s="112"/>
      <c r="D1584" s="81"/>
      <c r="E1584" s="81"/>
      <c r="F1584" s="81"/>
      <c r="G1584" s="81"/>
      <c r="H1584" s="81"/>
      <c r="I1584" s="161"/>
      <c r="J1584" s="154" t="str">
        <f aca="false">IF(H1584="","",ROUNDUP(H1584*35%,0))</f>
        <v/>
      </c>
      <c r="K1584" s="113"/>
      <c r="L1584" s="113"/>
    </row>
    <row r="1585" customFormat="false" ht="12.75" hidden="false" customHeight="true" outlineLevel="0" collapsed="false">
      <c r="A1585" s="121" t="str">
        <f aca="false">IF(B1585="","",CONCATENATE(COUNTA($B$4:B1585),"."))</f>
        <v/>
      </c>
      <c r="B1585" s="112"/>
      <c r="C1585" s="112"/>
      <c r="D1585" s="81"/>
      <c r="E1585" s="81"/>
      <c r="F1585" s="81"/>
      <c r="G1585" s="81"/>
      <c r="H1585" s="81"/>
      <c r="I1585" s="161"/>
      <c r="J1585" s="154" t="str">
        <f aca="false">IF(H1585="","",ROUNDUP(H1585*35%,0))</f>
        <v/>
      </c>
      <c r="K1585" s="113"/>
      <c r="L1585" s="113"/>
    </row>
    <row r="1586" customFormat="false" ht="12.75" hidden="false" customHeight="true" outlineLevel="0" collapsed="false">
      <c r="A1586" s="121" t="str">
        <f aca="false">IF(B1586="","",CONCATENATE(COUNTA($B$4:B1586),"."))</f>
        <v/>
      </c>
      <c r="B1586" s="112"/>
      <c r="C1586" s="112"/>
      <c r="D1586" s="81"/>
      <c r="E1586" s="81"/>
      <c r="F1586" s="81"/>
      <c r="G1586" s="81"/>
      <c r="H1586" s="81"/>
      <c r="I1586" s="161"/>
      <c r="J1586" s="154" t="str">
        <f aca="false">IF(H1586="","",ROUNDUP(H1586*35%,0))</f>
        <v/>
      </c>
      <c r="K1586" s="113"/>
      <c r="L1586" s="113"/>
    </row>
    <row r="1587" customFormat="false" ht="12.75" hidden="false" customHeight="true" outlineLevel="0" collapsed="false">
      <c r="A1587" s="121" t="str">
        <f aca="false">IF(B1587="","",CONCATENATE(COUNTA($B$4:B1587),"."))</f>
        <v/>
      </c>
      <c r="B1587" s="112"/>
      <c r="C1587" s="112"/>
      <c r="D1587" s="81"/>
      <c r="E1587" s="81"/>
      <c r="F1587" s="81"/>
      <c r="G1587" s="81"/>
      <c r="H1587" s="81"/>
      <c r="I1587" s="161"/>
      <c r="J1587" s="154" t="str">
        <f aca="false">IF(H1587="","",ROUNDUP(H1587*35%,0))</f>
        <v/>
      </c>
      <c r="K1587" s="113"/>
      <c r="L1587" s="113"/>
    </row>
    <row r="1588" customFormat="false" ht="12.75" hidden="false" customHeight="true" outlineLevel="0" collapsed="false">
      <c r="A1588" s="121" t="str">
        <f aca="false">IF(B1588="","",CONCATENATE(COUNTA($B$4:B1588),"."))</f>
        <v/>
      </c>
      <c r="B1588" s="112"/>
      <c r="C1588" s="112"/>
      <c r="D1588" s="81"/>
      <c r="E1588" s="81"/>
      <c r="F1588" s="81"/>
      <c r="G1588" s="81"/>
      <c r="H1588" s="81"/>
      <c r="I1588" s="161"/>
      <c r="J1588" s="154" t="str">
        <f aca="false">IF(H1588="","",ROUNDUP(H1588*35%,0))</f>
        <v/>
      </c>
      <c r="K1588" s="113"/>
      <c r="L1588" s="113"/>
    </row>
    <row r="1589" customFormat="false" ht="12.75" hidden="false" customHeight="true" outlineLevel="0" collapsed="false">
      <c r="A1589" s="121" t="str">
        <f aca="false">IF(B1589="","",CONCATENATE(COUNTA($B$4:B1589),"."))</f>
        <v/>
      </c>
      <c r="B1589" s="112"/>
      <c r="C1589" s="112"/>
      <c r="D1589" s="81"/>
      <c r="E1589" s="81"/>
      <c r="F1589" s="81"/>
      <c r="G1589" s="81"/>
      <c r="H1589" s="81"/>
      <c r="I1589" s="161"/>
      <c r="J1589" s="154" t="str">
        <f aca="false">IF(H1589="","",ROUNDUP(H1589*35%,0))</f>
        <v/>
      </c>
      <c r="K1589" s="113"/>
      <c r="L1589" s="113"/>
    </row>
    <row r="1590" customFormat="false" ht="12.75" hidden="false" customHeight="true" outlineLevel="0" collapsed="false">
      <c r="A1590" s="121" t="str">
        <f aca="false">IF(B1590="","",CONCATENATE(COUNTA($B$4:B1590),"."))</f>
        <v/>
      </c>
      <c r="B1590" s="112"/>
      <c r="C1590" s="112"/>
      <c r="D1590" s="81"/>
      <c r="E1590" s="81"/>
      <c r="F1590" s="81"/>
      <c r="G1590" s="81"/>
      <c r="H1590" s="81"/>
      <c r="I1590" s="161"/>
      <c r="J1590" s="154" t="str">
        <f aca="false">IF(H1590="","",ROUNDUP(H1590*35%,0))</f>
        <v/>
      </c>
      <c r="K1590" s="113"/>
      <c r="L1590" s="113"/>
    </row>
    <row r="1591" customFormat="false" ht="12.75" hidden="false" customHeight="true" outlineLevel="0" collapsed="false">
      <c r="A1591" s="121" t="str">
        <f aca="false">IF(B1591="","",CONCATENATE(COUNTA($B$4:B1591),"."))</f>
        <v/>
      </c>
      <c r="B1591" s="112"/>
      <c r="C1591" s="112"/>
      <c r="D1591" s="81"/>
      <c r="E1591" s="81"/>
      <c r="F1591" s="81"/>
      <c r="G1591" s="81"/>
      <c r="H1591" s="81"/>
      <c r="I1591" s="161"/>
      <c r="J1591" s="154" t="str">
        <f aca="false">IF(H1591="","",ROUNDUP(H1591*35%,0))</f>
        <v/>
      </c>
      <c r="K1591" s="113"/>
      <c r="L1591" s="113"/>
    </row>
    <row r="1592" customFormat="false" ht="12.75" hidden="false" customHeight="true" outlineLevel="0" collapsed="false">
      <c r="A1592" s="121" t="str">
        <f aca="false">IF(B1592="","",CONCATENATE(COUNTA($B$4:B1592),"."))</f>
        <v/>
      </c>
      <c r="B1592" s="112"/>
      <c r="C1592" s="112"/>
      <c r="D1592" s="81"/>
      <c r="E1592" s="81"/>
      <c r="F1592" s="81"/>
      <c r="G1592" s="81"/>
      <c r="H1592" s="81"/>
      <c r="I1592" s="161"/>
      <c r="J1592" s="154" t="str">
        <f aca="false">IF(H1592="","",ROUNDUP(H1592*35%,0))</f>
        <v/>
      </c>
      <c r="K1592" s="113"/>
      <c r="L1592" s="113"/>
    </row>
    <row r="1593" customFormat="false" ht="12.75" hidden="false" customHeight="true" outlineLevel="0" collapsed="false">
      <c r="A1593" s="121" t="str">
        <f aca="false">IF(B1593="","",CONCATENATE(COUNTA($B$4:B1593),"."))</f>
        <v/>
      </c>
      <c r="B1593" s="112"/>
      <c r="C1593" s="112"/>
      <c r="D1593" s="81"/>
      <c r="E1593" s="81"/>
      <c r="F1593" s="81"/>
      <c r="G1593" s="81"/>
      <c r="H1593" s="81"/>
      <c r="I1593" s="161"/>
      <c r="J1593" s="154" t="str">
        <f aca="false">IF(H1593="","",ROUNDUP(H1593*35%,0))</f>
        <v/>
      </c>
      <c r="K1593" s="113"/>
      <c r="L1593" s="113"/>
    </row>
    <row r="1594" customFormat="false" ht="12.75" hidden="false" customHeight="true" outlineLevel="0" collapsed="false">
      <c r="A1594" s="121" t="str">
        <f aca="false">IF(B1594="","",CONCATENATE(COUNTA($B$4:B1594),"."))</f>
        <v/>
      </c>
      <c r="B1594" s="112"/>
      <c r="C1594" s="112"/>
      <c r="D1594" s="81"/>
      <c r="E1594" s="81"/>
      <c r="F1594" s="81"/>
      <c r="G1594" s="81"/>
      <c r="H1594" s="81"/>
      <c r="I1594" s="161"/>
      <c r="J1594" s="154" t="str">
        <f aca="false">IF(H1594="","",ROUNDUP(H1594*35%,0))</f>
        <v/>
      </c>
      <c r="K1594" s="113"/>
      <c r="L1594" s="113"/>
    </row>
    <row r="1595" customFormat="false" ht="12.75" hidden="false" customHeight="true" outlineLevel="0" collapsed="false">
      <c r="A1595" s="121" t="str">
        <f aca="false">IF(B1595="","",CONCATENATE(COUNTA($B$4:B1595),"."))</f>
        <v/>
      </c>
      <c r="B1595" s="112"/>
      <c r="C1595" s="112"/>
      <c r="D1595" s="81"/>
      <c r="E1595" s="81"/>
      <c r="F1595" s="81"/>
      <c r="G1595" s="81"/>
      <c r="H1595" s="81"/>
      <c r="I1595" s="161"/>
      <c r="J1595" s="154" t="str">
        <f aca="false">IF(H1595="","",ROUNDUP(H1595*35%,0))</f>
        <v/>
      </c>
      <c r="K1595" s="113"/>
      <c r="L1595" s="113"/>
    </row>
    <row r="1596" customFormat="false" ht="12.75" hidden="false" customHeight="true" outlineLevel="0" collapsed="false">
      <c r="A1596" s="121" t="str">
        <f aca="false">IF(B1596="","",CONCATENATE(COUNTA($B$4:B1596),"."))</f>
        <v/>
      </c>
      <c r="B1596" s="112"/>
      <c r="C1596" s="112"/>
      <c r="D1596" s="81"/>
      <c r="E1596" s="81"/>
      <c r="F1596" s="81"/>
      <c r="G1596" s="81"/>
      <c r="H1596" s="81"/>
      <c r="I1596" s="161"/>
      <c r="J1596" s="154" t="str">
        <f aca="false">IF(H1596="","",ROUNDUP(H1596*35%,0))</f>
        <v/>
      </c>
      <c r="K1596" s="113"/>
      <c r="L1596" s="113"/>
    </row>
    <row r="1597" customFormat="false" ht="12.75" hidden="false" customHeight="true" outlineLevel="0" collapsed="false">
      <c r="A1597" s="121" t="str">
        <f aca="false">IF(B1597="","",CONCATENATE(COUNTA($B$4:B1597),"."))</f>
        <v/>
      </c>
      <c r="B1597" s="112"/>
      <c r="C1597" s="112"/>
      <c r="D1597" s="81"/>
      <c r="E1597" s="81"/>
      <c r="F1597" s="81"/>
      <c r="G1597" s="81"/>
      <c r="H1597" s="81"/>
      <c r="I1597" s="161"/>
      <c r="J1597" s="154" t="str">
        <f aca="false">IF(H1597="","",ROUNDUP(H1597*35%,0))</f>
        <v/>
      </c>
      <c r="K1597" s="113"/>
      <c r="L1597" s="113"/>
    </row>
    <row r="1598" customFormat="false" ht="12.75" hidden="false" customHeight="true" outlineLevel="0" collapsed="false">
      <c r="A1598" s="121" t="str">
        <f aca="false">IF(B1598="","",CONCATENATE(COUNTA($B$4:B1598),"."))</f>
        <v/>
      </c>
      <c r="B1598" s="112"/>
      <c r="C1598" s="112"/>
      <c r="D1598" s="81"/>
      <c r="E1598" s="81"/>
      <c r="F1598" s="81"/>
      <c r="G1598" s="81"/>
      <c r="H1598" s="81"/>
      <c r="I1598" s="161"/>
      <c r="J1598" s="154" t="str">
        <f aca="false">IF(H1598="","",ROUNDUP(H1598*35%,0))</f>
        <v/>
      </c>
      <c r="K1598" s="113"/>
      <c r="L1598" s="113"/>
    </row>
    <row r="1599" customFormat="false" ht="12.75" hidden="false" customHeight="true" outlineLevel="0" collapsed="false">
      <c r="A1599" s="121" t="str">
        <f aca="false">IF(B1599="","",CONCATENATE(COUNTA($B$4:B1599),"."))</f>
        <v/>
      </c>
      <c r="B1599" s="112"/>
      <c r="C1599" s="112"/>
      <c r="D1599" s="81"/>
      <c r="E1599" s="81"/>
      <c r="F1599" s="81"/>
      <c r="G1599" s="81"/>
      <c r="H1599" s="81"/>
      <c r="I1599" s="161"/>
      <c r="J1599" s="154" t="str">
        <f aca="false">IF(H1599="","",ROUNDUP(H1599*35%,0))</f>
        <v/>
      </c>
      <c r="K1599" s="113"/>
      <c r="L1599" s="113"/>
    </row>
    <row r="1600" customFormat="false" ht="12.75" hidden="false" customHeight="true" outlineLevel="0" collapsed="false">
      <c r="A1600" s="121" t="str">
        <f aca="false">IF(B1600="","",CONCATENATE(COUNTA($B$4:B1600),"."))</f>
        <v/>
      </c>
      <c r="B1600" s="112"/>
      <c r="C1600" s="112"/>
      <c r="D1600" s="81"/>
      <c r="E1600" s="81"/>
      <c r="F1600" s="81"/>
      <c r="G1600" s="81"/>
      <c r="H1600" s="81"/>
      <c r="I1600" s="161"/>
      <c r="J1600" s="154" t="str">
        <f aca="false">IF(H1600="","",ROUNDUP(H1600*35%,0))</f>
        <v/>
      </c>
      <c r="K1600" s="113"/>
      <c r="L1600" s="113"/>
    </row>
    <row r="1601" customFormat="false" ht="12.75" hidden="false" customHeight="true" outlineLevel="0" collapsed="false">
      <c r="A1601" s="121" t="str">
        <f aca="false">IF(B1601="","",CONCATENATE(COUNTA($B$4:B1601),"."))</f>
        <v/>
      </c>
      <c r="B1601" s="112"/>
      <c r="C1601" s="112"/>
      <c r="D1601" s="81"/>
      <c r="E1601" s="81"/>
      <c r="F1601" s="81"/>
      <c r="G1601" s="81"/>
      <c r="H1601" s="81"/>
      <c r="I1601" s="161"/>
      <c r="J1601" s="154" t="str">
        <f aca="false">IF(H1601="","",ROUNDUP(H1601*35%,0))</f>
        <v/>
      </c>
      <c r="K1601" s="113"/>
      <c r="L1601" s="113"/>
    </row>
    <row r="1602" customFormat="false" ht="12.75" hidden="false" customHeight="true" outlineLevel="0" collapsed="false">
      <c r="A1602" s="121" t="str">
        <f aca="false">IF(B1602="","",CONCATENATE(COUNTA($B$4:B1602),"."))</f>
        <v/>
      </c>
      <c r="B1602" s="112"/>
      <c r="C1602" s="112"/>
      <c r="D1602" s="81"/>
      <c r="E1602" s="81"/>
      <c r="F1602" s="81"/>
      <c r="G1602" s="81"/>
      <c r="H1602" s="81"/>
      <c r="I1602" s="161"/>
      <c r="J1602" s="154" t="str">
        <f aca="false">IF(H1602="","",ROUNDUP(H1602*35%,0))</f>
        <v/>
      </c>
      <c r="K1602" s="113"/>
      <c r="L1602" s="113"/>
    </row>
    <row r="1603" customFormat="false" ht="12.75" hidden="false" customHeight="true" outlineLevel="0" collapsed="false">
      <c r="A1603" s="121" t="str">
        <f aca="false">IF(B1603="","",CONCATENATE(COUNTA($B$4:B1603),"."))</f>
        <v/>
      </c>
      <c r="B1603" s="112"/>
      <c r="C1603" s="112"/>
      <c r="D1603" s="81"/>
      <c r="E1603" s="81"/>
      <c r="F1603" s="81"/>
      <c r="G1603" s="81"/>
      <c r="H1603" s="81"/>
      <c r="I1603" s="161"/>
      <c r="J1603" s="154" t="str">
        <f aca="false">IF(H1603="","",ROUNDUP(H1603*35%,0))</f>
        <v/>
      </c>
      <c r="K1603" s="113"/>
      <c r="L1603" s="113"/>
    </row>
    <row r="1604" customFormat="false" ht="12.75" hidden="false" customHeight="true" outlineLevel="0" collapsed="false">
      <c r="A1604" s="121" t="str">
        <f aca="false">IF(B1604="","",CONCATENATE(COUNTA($B$4:B1604),"."))</f>
        <v/>
      </c>
      <c r="B1604" s="112"/>
      <c r="C1604" s="112"/>
      <c r="D1604" s="81"/>
      <c r="E1604" s="81"/>
      <c r="F1604" s="81"/>
      <c r="G1604" s="81"/>
      <c r="H1604" s="81"/>
      <c r="I1604" s="161"/>
      <c r="J1604" s="154" t="str">
        <f aca="false">IF(H1604="","",ROUNDUP(H1604*35%,0))</f>
        <v/>
      </c>
      <c r="K1604" s="113"/>
      <c r="L1604" s="113"/>
    </row>
    <row r="1605" customFormat="false" ht="12.75" hidden="false" customHeight="true" outlineLevel="0" collapsed="false">
      <c r="A1605" s="121" t="str">
        <f aca="false">IF(B1605="","",CONCATENATE(COUNTA($B$4:B1605),"."))</f>
        <v/>
      </c>
      <c r="B1605" s="112"/>
      <c r="C1605" s="112"/>
      <c r="D1605" s="81"/>
      <c r="E1605" s="81"/>
      <c r="F1605" s="81"/>
      <c r="G1605" s="81"/>
      <c r="H1605" s="81"/>
      <c r="I1605" s="161"/>
      <c r="J1605" s="154" t="str">
        <f aca="false">IF(H1605="","",ROUNDUP(H1605*35%,0))</f>
        <v/>
      </c>
      <c r="K1605" s="113"/>
      <c r="L1605" s="113"/>
    </row>
    <row r="1606" customFormat="false" ht="12.75" hidden="false" customHeight="true" outlineLevel="0" collapsed="false">
      <c r="A1606" s="121" t="str">
        <f aca="false">IF(B1606="","",CONCATENATE(COUNTA($B$4:B1606),"."))</f>
        <v/>
      </c>
      <c r="B1606" s="112"/>
      <c r="C1606" s="112"/>
      <c r="D1606" s="81"/>
      <c r="E1606" s="81"/>
      <c r="F1606" s="81"/>
      <c r="G1606" s="81"/>
      <c r="H1606" s="81"/>
      <c r="I1606" s="161"/>
      <c r="J1606" s="154" t="str">
        <f aca="false">IF(H1606="","",ROUNDUP(H1606*35%,0))</f>
        <v/>
      </c>
      <c r="K1606" s="113"/>
      <c r="L1606" s="113"/>
    </row>
    <row r="1607" customFormat="false" ht="12.75" hidden="false" customHeight="true" outlineLevel="0" collapsed="false">
      <c r="A1607" s="121" t="str">
        <f aca="false">IF(B1607="","",CONCATENATE(COUNTA($B$4:B1607),"."))</f>
        <v/>
      </c>
      <c r="B1607" s="112"/>
      <c r="C1607" s="112"/>
      <c r="D1607" s="81"/>
      <c r="E1607" s="81"/>
      <c r="F1607" s="81"/>
      <c r="G1607" s="81"/>
      <c r="H1607" s="81"/>
      <c r="I1607" s="161"/>
      <c r="J1607" s="154" t="str">
        <f aca="false">IF(H1607="","",ROUNDUP(H1607*35%,0))</f>
        <v/>
      </c>
      <c r="K1607" s="113"/>
      <c r="L1607" s="113"/>
    </row>
    <row r="1608" customFormat="false" ht="12.75" hidden="false" customHeight="true" outlineLevel="0" collapsed="false">
      <c r="A1608" s="121" t="str">
        <f aca="false">IF(B1608="","",CONCATENATE(COUNTA($B$4:B1608),"."))</f>
        <v/>
      </c>
      <c r="B1608" s="112"/>
      <c r="C1608" s="112"/>
      <c r="D1608" s="81"/>
      <c r="E1608" s="81"/>
      <c r="F1608" s="81"/>
      <c r="G1608" s="81"/>
      <c r="H1608" s="81"/>
      <c r="I1608" s="161"/>
      <c r="J1608" s="154" t="str">
        <f aca="false">IF(H1608="","",ROUNDUP(H1608*35%,0))</f>
        <v/>
      </c>
      <c r="K1608" s="113"/>
      <c r="L1608" s="113"/>
    </row>
    <row r="1609" customFormat="false" ht="12.75" hidden="false" customHeight="true" outlineLevel="0" collapsed="false">
      <c r="A1609" s="121" t="str">
        <f aca="false">IF(B1609="","",CONCATENATE(COUNTA($B$4:B1609),"."))</f>
        <v/>
      </c>
      <c r="B1609" s="112"/>
      <c r="C1609" s="112"/>
      <c r="D1609" s="81"/>
      <c r="E1609" s="81"/>
      <c r="F1609" s="81"/>
      <c r="G1609" s="81"/>
      <c r="H1609" s="81"/>
      <c r="I1609" s="161"/>
      <c r="J1609" s="154" t="str">
        <f aca="false">IF(H1609="","",ROUNDUP(H1609*35%,0))</f>
        <v/>
      </c>
      <c r="K1609" s="113"/>
      <c r="L1609" s="113"/>
    </row>
    <row r="1610" customFormat="false" ht="12.75" hidden="false" customHeight="true" outlineLevel="0" collapsed="false">
      <c r="A1610" s="121" t="str">
        <f aca="false">IF(B1610="","",CONCATENATE(COUNTA($B$4:B1610),"."))</f>
        <v/>
      </c>
      <c r="B1610" s="112"/>
      <c r="C1610" s="112"/>
      <c r="D1610" s="81"/>
      <c r="E1610" s="81"/>
      <c r="F1610" s="81"/>
      <c r="G1610" s="81"/>
      <c r="H1610" s="81"/>
      <c r="I1610" s="161"/>
      <c r="J1610" s="154" t="str">
        <f aca="false">IF(H1610="","",ROUNDUP(H1610*35%,0))</f>
        <v/>
      </c>
      <c r="K1610" s="113"/>
      <c r="L1610" s="113"/>
    </row>
    <row r="1611" customFormat="false" ht="12.75" hidden="false" customHeight="true" outlineLevel="0" collapsed="false">
      <c r="A1611" s="121" t="str">
        <f aca="false">IF(B1611="","",CONCATENATE(COUNTA($B$4:B1611),"."))</f>
        <v/>
      </c>
      <c r="B1611" s="112"/>
      <c r="C1611" s="112"/>
      <c r="D1611" s="81"/>
      <c r="E1611" s="81"/>
      <c r="F1611" s="81"/>
      <c r="G1611" s="81"/>
      <c r="H1611" s="81"/>
      <c r="I1611" s="161"/>
      <c r="J1611" s="154" t="str">
        <f aca="false">IF(H1611="","",ROUNDUP(H1611*35%,0))</f>
        <v/>
      </c>
      <c r="K1611" s="113"/>
      <c r="L1611" s="113"/>
    </row>
    <row r="1612" customFormat="false" ht="12.75" hidden="false" customHeight="true" outlineLevel="0" collapsed="false">
      <c r="A1612" s="121" t="str">
        <f aca="false">IF(B1612="","",CONCATENATE(COUNTA($B$4:B1612),"."))</f>
        <v/>
      </c>
      <c r="B1612" s="112"/>
      <c r="C1612" s="112"/>
      <c r="D1612" s="81"/>
      <c r="E1612" s="81"/>
      <c r="F1612" s="81"/>
      <c r="G1612" s="81"/>
      <c r="H1612" s="81"/>
      <c r="I1612" s="161"/>
      <c r="J1612" s="154" t="str">
        <f aca="false">IF(H1612="","",ROUNDUP(H1612*35%,0))</f>
        <v/>
      </c>
      <c r="K1612" s="113"/>
      <c r="L1612" s="113"/>
    </row>
    <row r="1613" customFormat="false" ht="12.75" hidden="false" customHeight="true" outlineLevel="0" collapsed="false">
      <c r="A1613" s="121" t="str">
        <f aca="false">IF(B1613="","",CONCATENATE(COUNTA($B$4:B1613),"."))</f>
        <v/>
      </c>
      <c r="B1613" s="112"/>
      <c r="C1613" s="112"/>
      <c r="D1613" s="81"/>
      <c r="E1613" s="81"/>
      <c r="F1613" s="81"/>
      <c r="G1613" s="81"/>
      <c r="H1613" s="81"/>
      <c r="I1613" s="161"/>
      <c r="J1613" s="154" t="str">
        <f aca="false">IF(H1613="","",ROUNDUP(H1613*35%,0))</f>
        <v/>
      </c>
      <c r="K1613" s="113"/>
      <c r="L1613" s="113"/>
    </row>
    <row r="1614" customFormat="false" ht="12.75" hidden="false" customHeight="true" outlineLevel="0" collapsed="false">
      <c r="A1614" s="121" t="str">
        <f aca="false">IF(B1614="","",CONCATENATE(COUNTA($B$4:B1614),"."))</f>
        <v/>
      </c>
      <c r="B1614" s="112"/>
      <c r="C1614" s="112"/>
      <c r="D1614" s="81"/>
      <c r="E1614" s="81"/>
      <c r="F1614" s="81"/>
      <c r="G1614" s="81"/>
      <c r="H1614" s="81"/>
      <c r="I1614" s="161"/>
      <c r="J1614" s="154" t="str">
        <f aca="false">IF(H1614="","",ROUNDUP(H1614*35%,0))</f>
        <v/>
      </c>
      <c r="K1614" s="113"/>
      <c r="L1614" s="113"/>
    </row>
    <row r="1615" customFormat="false" ht="12.75" hidden="false" customHeight="true" outlineLevel="0" collapsed="false">
      <c r="A1615" s="121" t="str">
        <f aca="false">IF(B1615="","",CONCATENATE(COUNTA($B$4:B1615),"."))</f>
        <v/>
      </c>
      <c r="B1615" s="112"/>
      <c r="C1615" s="112"/>
      <c r="D1615" s="81"/>
      <c r="E1615" s="81"/>
      <c r="F1615" s="81"/>
      <c r="G1615" s="81"/>
      <c r="H1615" s="81"/>
      <c r="I1615" s="161"/>
      <c r="J1615" s="154" t="str">
        <f aca="false">IF(H1615="","",ROUNDUP(H1615*35%,0))</f>
        <v/>
      </c>
      <c r="K1615" s="113"/>
      <c r="L1615" s="113"/>
    </row>
    <row r="1616" customFormat="false" ht="12.75" hidden="false" customHeight="true" outlineLevel="0" collapsed="false">
      <c r="A1616" s="121" t="str">
        <f aca="false">IF(B1616="","",CONCATENATE(COUNTA($B$4:B1616),"."))</f>
        <v/>
      </c>
      <c r="B1616" s="112"/>
      <c r="C1616" s="112"/>
      <c r="D1616" s="81"/>
      <c r="E1616" s="81"/>
      <c r="F1616" s="81"/>
      <c r="G1616" s="81"/>
      <c r="H1616" s="81"/>
      <c r="I1616" s="161"/>
      <c r="J1616" s="154" t="str">
        <f aca="false">IF(H1616="","",ROUNDUP(H1616*35%,0))</f>
        <v/>
      </c>
      <c r="K1616" s="113"/>
      <c r="L1616" s="113"/>
    </row>
    <row r="1617" customFormat="false" ht="12.75" hidden="false" customHeight="true" outlineLevel="0" collapsed="false">
      <c r="A1617" s="121" t="str">
        <f aca="false">IF(B1617="","",CONCATENATE(COUNTA($B$4:B1617),"."))</f>
        <v/>
      </c>
      <c r="B1617" s="112"/>
      <c r="C1617" s="112"/>
      <c r="D1617" s="81"/>
      <c r="E1617" s="81"/>
      <c r="F1617" s="81"/>
      <c r="G1617" s="81"/>
      <c r="H1617" s="81"/>
      <c r="I1617" s="161"/>
      <c r="J1617" s="154" t="str">
        <f aca="false">IF(H1617="","",ROUNDUP(H1617*35%,0))</f>
        <v/>
      </c>
      <c r="K1617" s="113"/>
      <c r="L1617" s="113"/>
    </row>
    <row r="1618" customFormat="false" ht="12.75" hidden="false" customHeight="true" outlineLevel="0" collapsed="false">
      <c r="A1618" s="121" t="str">
        <f aca="false">IF(B1618="","",CONCATENATE(COUNTA($B$4:B1618),"."))</f>
        <v/>
      </c>
      <c r="B1618" s="112"/>
      <c r="C1618" s="112"/>
      <c r="D1618" s="81"/>
      <c r="E1618" s="81"/>
      <c r="F1618" s="81"/>
      <c r="G1618" s="81"/>
      <c r="H1618" s="81"/>
      <c r="I1618" s="161"/>
      <c r="J1618" s="154" t="str">
        <f aca="false">IF(H1618="","",ROUNDUP(H1618*35%,0))</f>
        <v/>
      </c>
      <c r="K1618" s="113"/>
      <c r="L1618" s="113"/>
    </row>
    <row r="1619" customFormat="false" ht="12.75" hidden="false" customHeight="true" outlineLevel="0" collapsed="false">
      <c r="A1619" s="121" t="str">
        <f aca="false">IF(B1619="","",CONCATENATE(COUNTA($B$4:B1619),"."))</f>
        <v/>
      </c>
      <c r="B1619" s="112"/>
      <c r="C1619" s="112"/>
      <c r="D1619" s="81"/>
      <c r="E1619" s="81"/>
      <c r="F1619" s="81"/>
      <c r="G1619" s="81"/>
      <c r="H1619" s="81"/>
      <c r="I1619" s="161"/>
      <c r="J1619" s="154" t="str">
        <f aca="false">IF(H1619="","",ROUNDUP(H1619*35%,0))</f>
        <v/>
      </c>
      <c r="K1619" s="113"/>
      <c r="L1619" s="113"/>
    </row>
    <row r="1620" customFormat="false" ht="12.75" hidden="false" customHeight="true" outlineLevel="0" collapsed="false">
      <c r="A1620" s="121" t="str">
        <f aca="false">IF(B1620="","",CONCATENATE(COUNTA($B$4:B1620),"."))</f>
        <v/>
      </c>
      <c r="B1620" s="112"/>
      <c r="C1620" s="112"/>
      <c r="D1620" s="81"/>
      <c r="E1620" s="81"/>
      <c r="F1620" s="81"/>
      <c r="G1620" s="81"/>
      <c r="H1620" s="81"/>
      <c r="I1620" s="161"/>
      <c r="J1620" s="154" t="str">
        <f aca="false">IF(H1620="","",ROUNDUP(H1620*35%,0))</f>
        <v/>
      </c>
      <c r="K1620" s="113"/>
      <c r="L1620" s="113"/>
    </row>
    <row r="1621" customFormat="false" ht="12.75" hidden="false" customHeight="true" outlineLevel="0" collapsed="false">
      <c r="A1621" s="121" t="str">
        <f aca="false">IF(B1621="","",CONCATENATE(COUNTA($B$4:B1621),"."))</f>
        <v/>
      </c>
      <c r="B1621" s="112"/>
      <c r="C1621" s="112"/>
      <c r="D1621" s="81"/>
      <c r="E1621" s="81"/>
      <c r="F1621" s="81"/>
      <c r="G1621" s="81"/>
      <c r="H1621" s="81"/>
      <c r="I1621" s="161"/>
      <c r="J1621" s="154" t="str">
        <f aca="false">IF(H1621="","",ROUNDUP(H1621*35%,0))</f>
        <v/>
      </c>
      <c r="K1621" s="113"/>
      <c r="L1621" s="113"/>
    </row>
    <row r="1622" customFormat="false" ht="12.75" hidden="false" customHeight="true" outlineLevel="0" collapsed="false">
      <c r="A1622" s="121" t="str">
        <f aca="false">IF(B1622="","",CONCATENATE(COUNTA($B$4:B1622),"."))</f>
        <v/>
      </c>
      <c r="B1622" s="112"/>
      <c r="C1622" s="112"/>
      <c r="D1622" s="81"/>
      <c r="E1622" s="81"/>
      <c r="F1622" s="81"/>
      <c r="G1622" s="81"/>
      <c r="H1622" s="81"/>
      <c r="I1622" s="161"/>
      <c r="J1622" s="154" t="str">
        <f aca="false">IF(H1622="","",ROUNDUP(H1622*35%,0))</f>
        <v/>
      </c>
      <c r="K1622" s="113"/>
      <c r="L1622" s="113"/>
    </row>
    <row r="1623" customFormat="false" ht="12.75" hidden="false" customHeight="true" outlineLevel="0" collapsed="false">
      <c r="A1623" s="121" t="str">
        <f aca="false">IF(B1623="","",CONCATENATE(COUNTA($B$4:B1623),"."))</f>
        <v/>
      </c>
      <c r="B1623" s="112"/>
      <c r="C1623" s="112"/>
      <c r="D1623" s="81"/>
      <c r="E1623" s="81"/>
      <c r="F1623" s="81"/>
      <c r="G1623" s="81"/>
      <c r="H1623" s="81"/>
      <c r="I1623" s="161"/>
      <c r="J1623" s="154" t="str">
        <f aca="false">IF(H1623="","",ROUNDUP(H1623*35%,0))</f>
        <v/>
      </c>
      <c r="K1623" s="113"/>
      <c r="L1623" s="113"/>
    </row>
    <row r="1624" customFormat="false" ht="12.75" hidden="false" customHeight="true" outlineLevel="0" collapsed="false">
      <c r="A1624" s="121" t="str">
        <f aca="false">IF(B1624="","",CONCATENATE(COUNTA($B$4:B1624),"."))</f>
        <v/>
      </c>
      <c r="B1624" s="112"/>
      <c r="C1624" s="112"/>
      <c r="D1624" s="81"/>
      <c r="E1624" s="81"/>
      <c r="F1624" s="81"/>
      <c r="G1624" s="81"/>
      <c r="H1624" s="81"/>
      <c r="I1624" s="161"/>
      <c r="J1624" s="154" t="str">
        <f aca="false">IF(H1624="","",ROUNDUP(H1624*35%,0))</f>
        <v/>
      </c>
      <c r="K1624" s="113"/>
      <c r="L1624" s="113"/>
    </row>
    <row r="1625" customFormat="false" ht="12.75" hidden="false" customHeight="true" outlineLevel="0" collapsed="false">
      <c r="A1625" s="121" t="str">
        <f aca="false">IF(B1625="","",CONCATENATE(COUNTA($B$4:B1625),"."))</f>
        <v/>
      </c>
      <c r="B1625" s="112"/>
      <c r="C1625" s="112"/>
      <c r="D1625" s="81"/>
      <c r="E1625" s="81"/>
      <c r="F1625" s="81"/>
      <c r="G1625" s="81"/>
      <c r="H1625" s="81"/>
      <c r="I1625" s="161"/>
      <c r="J1625" s="154" t="str">
        <f aca="false">IF(H1625="","",ROUNDUP(H1625*35%,0))</f>
        <v/>
      </c>
      <c r="K1625" s="113"/>
      <c r="L1625" s="113"/>
    </row>
    <row r="1626" customFormat="false" ht="12.75" hidden="false" customHeight="true" outlineLevel="0" collapsed="false">
      <c r="A1626" s="121" t="str">
        <f aca="false">IF(B1626="","",CONCATENATE(COUNTA($B$4:B1626),"."))</f>
        <v/>
      </c>
      <c r="B1626" s="112"/>
      <c r="C1626" s="112"/>
      <c r="D1626" s="81"/>
      <c r="E1626" s="81"/>
      <c r="F1626" s="81"/>
      <c r="G1626" s="81"/>
      <c r="H1626" s="81"/>
      <c r="I1626" s="161"/>
      <c r="J1626" s="154" t="str">
        <f aca="false">IF(H1626="","",ROUNDUP(H1626*35%,0))</f>
        <v/>
      </c>
      <c r="K1626" s="113"/>
      <c r="L1626" s="113"/>
    </row>
    <row r="1627" customFormat="false" ht="12.75" hidden="false" customHeight="true" outlineLevel="0" collapsed="false">
      <c r="A1627" s="121" t="str">
        <f aca="false">IF(B1627="","",CONCATENATE(COUNTA($B$4:B1627),"."))</f>
        <v/>
      </c>
      <c r="B1627" s="112"/>
      <c r="C1627" s="112"/>
      <c r="D1627" s="81"/>
      <c r="E1627" s="81"/>
      <c r="F1627" s="81"/>
      <c r="G1627" s="81"/>
      <c r="H1627" s="81"/>
      <c r="I1627" s="161"/>
      <c r="J1627" s="154" t="str">
        <f aca="false">IF(H1627="","",ROUNDUP(H1627*35%,0))</f>
        <v/>
      </c>
      <c r="K1627" s="113"/>
      <c r="L1627" s="113"/>
    </row>
    <row r="1628" customFormat="false" ht="12.75" hidden="false" customHeight="true" outlineLevel="0" collapsed="false">
      <c r="A1628" s="121" t="str">
        <f aca="false">IF(B1628="","",CONCATENATE(COUNTA($B$4:B1628),"."))</f>
        <v/>
      </c>
      <c r="B1628" s="112"/>
      <c r="C1628" s="112"/>
      <c r="D1628" s="81"/>
      <c r="E1628" s="81"/>
      <c r="F1628" s="81"/>
      <c r="G1628" s="81"/>
      <c r="H1628" s="81"/>
      <c r="I1628" s="161"/>
      <c r="J1628" s="154" t="str">
        <f aca="false">IF(H1628="","",ROUNDUP(H1628*35%,0))</f>
        <v/>
      </c>
      <c r="K1628" s="113"/>
      <c r="L1628" s="113"/>
    </row>
    <row r="1629" customFormat="false" ht="12.75" hidden="false" customHeight="true" outlineLevel="0" collapsed="false">
      <c r="A1629" s="121" t="str">
        <f aca="false">IF(B1629="","",CONCATENATE(COUNTA($B$4:B1629),"."))</f>
        <v/>
      </c>
      <c r="B1629" s="112"/>
      <c r="C1629" s="112"/>
      <c r="D1629" s="81"/>
      <c r="E1629" s="81"/>
      <c r="F1629" s="81"/>
      <c r="G1629" s="81"/>
      <c r="H1629" s="81"/>
      <c r="I1629" s="161"/>
      <c r="J1629" s="154" t="str">
        <f aca="false">IF(H1629="","",ROUNDUP(H1629*35%,0))</f>
        <v/>
      </c>
      <c r="K1629" s="113"/>
      <c r="L1629" s="113"/>
    </row>
    <row r="1630" customFormat="false" ht="12.75" hidden="false" customHeight="true" outlineLevel="0" collapsed="false">
      <c r="A1630" s="121" t="str">
        <f aca="false">IF(B1630="","",CONCATENATE(COUNTA($B$4:B1630),"."))</f>
        <v/>
      </c>
      <c r="B1630" s="112"/>
      <c r="C1630" s="112"/>
      <c r="D1630" s="81"/>
      <c r="E1630" s="81"/>
      <c r="F1630" s="81"/>
      <c r="G1630" s="81"/>
      <c r="H1630" s="81"/>
      <c r="I1630" s="161"/>
      <c r="J1630" s="154" t="str">
        <f aca="false">IF(H1630="","",ROUNDUP(H1630*35%,0))</f>
        <v/>
      </c>
      <c r="K1630" s="113"/>
      <c r="L1630" s="113"/>
    </row>
    <row r="1631" customFormat="false" ht="12.75" hidden="false" customHeight="true" outlineLevel="0" collapsed="false">
      <c r="A1631" s="121" t="str">
        <f aca="false">IF(B1631="","",CONCATENATE(COUNTA($B$4:B1631),"."))</f>
        <v/>
      </c>
      <c r="B1631" s="112"/>
      <c r="C1631" s="112"/>
      <c r="D1631" s="81"/>
      <c r="E1631" s="81"/>
      <c r="F1631" s="81"/>
      <c r="G1631" s="81"/>
      <c r="H1631" s="81"/>
      <c r="I1631" s="161"/>
      <c r="J1631" s="154" t="str">
        <f aca="false">IF(H1631="","",ROUNDUP(H1631*35%,0))</f>
        <v/>
      </c>
      <c r="K1631" s="113"/>
      <c r="L1631" s="113"/>
    </row>
    <row r="1632" customFormat="false" ht="12.75" hidden="false" customHeight="true" outlineLevel="0" collapsed="false">
      <c r="A1632" s="121" t="str">
        <f aca="false">IF(B1632="","",CONCATENATE(COUNTA($B$4:B1632),"."))</f>
        <v/>
      </c>
      <c r="B1632" s="112"/>
      <c r="C1632" s="112"/>
      <c r="D1632" s="81"/>
      <c r="E1632" s="81"/>
      <c r="F1632" s="81"/>
      <c r="G1632" s="81"/>
      <c r="H1632" s="81"/>
      <c r="I1632" s="161"/>
      <c r="J1632" s="154" t="str">
        <f aca="false">IF(H1632="","",ROUNDUP(H1632*35%,0))</f>
        <v/>
      </c>
      <c r="K1632" s="113"/>
      <c r="L1632" s="113"/>
    </row>
    <row r="1633" customFormat="false" ht="12.75" hidden="false" customHeight="true" outlineLevel="0" collapsed="false">
      <c r="A1633" s="121" t="str">
        <f aca="false">IF(B1633="","",CONCATENATE(COUNTA($B$4:B1633),"."))</f>
        <v/>
      </c>
      <c r="B1633" s="112"/>
      <c r="C1633" s="112"/>
      <c r="D1633" s="81"/>
      <c r="E1633" s="81"/>
      <c r="F1633" s="81"/>
      <c r="G1633" s="81"/>
      <c r="H1633" s="81"/>
      <c r="I1633" s="161"/>
      <c r="J1633" s="154" t="str">
        <f aca="false">IF(H1633="","",ROUNDUP(H1633*35%,0))</f>
        <v/>
      </c>
      <c r="K1633" s="113"/>
      <c r="L1633" s="113"/>
    </row>
    <row r="1634" customFormat="false" ht="12.75" hidden="false" customHeight="true" outlineLevel="0" collapsed="false">
      <c r="A1634" s="121" t="str">
        <f aca="false">IF(B1634="","",CONCATENATE(COUNTA($B$4:B1634),"."))</f>
        <v/>
      </c>
      <c r="B1634" s="112"/>
      <c r="C1634" s="112"/>
      <c r="D1634" s="81"/>
      <c r="E1634" s="81"/>
      <c r="F1634" s="81"/>
      <c r="G1634" s="81"/>
      <c r="H1634" s="81"/>
      <c r="I1634" s="161"/>
      <c r="J1634" s="154" t="str">
        <f aca="false">IF(H1634="","",ROUNDUP(H1634*35%,0))</f>
        <v/>
      </c>
      <c r="K1634" s="113"/>
      <c r="L1634" s="113"/>
    </row>
    <row r="1635" customFormat="false" ht="12.75" hidden="false" customHeight="true" outlineLevel="0" collapsed="false">
      <c r="A1635" s="121" t="str">
        <f aca="false">IF(B1635="","",CONCATENATE(COUNTA($B$4:B1635),"."))</f>
        <v/>
      </c>
      <c r="B1635" s="112"/>
      <c r="C1635" s="112"/>
      <c r="D1635" s="81"/>
      <c r="E1635" s="81"/>
      <c r="F1635" s="81"/>
      <c r="G1635" s="81"/>
      <c r="H1635" s="81"/>
      <c r="I1635" s="161"/>
      <c r="J1635" s="154" t="str">
        <f aca="false">IF(H1635="","",ROUNDUP(H1635*35%,0))</f>
        <v/>
      </c>
      <c r="K1635" s="113"/>
      <c r="L1635" s="113"/>
    </row>
    <row r="1636" customFormat="false" ht="12.75" hidden="false" customHeight="true" outlineLevel="0" collapsed="false">
      <c r="A1636" s="121" t="str">
        <f aca="false">IF(B1636="","",CONCATENATE(COUNTA($B$4:B1636),"."))</f>
        <v/>
      </c>
      <c r="B1636" s="112"/>
      <c r="C1636" s="112"/>
      <c r="D1636" s="81"/>
      <c r="E1636" s="81"/>
      <c r="F1636" s="81"/>
      <c r="G1636" s="81"/>
      <c r="H1636" s="81"/>
      <c r="I1636" s="161"/>
      <c r="J1636" s="154" t="str">
        <f aca="false">IF(H1636="","",ROUNDUP(H1636*35%,0))</f>
        <v/>
      </c>
      <c r="K1636" s="113"/>
      <c r="L1636" s="113"/>
    </row>
    <row r="1637" customFormat="false" ht="12.75" hidden="false" customHeight="true" outlineLevel="0" collapsed="false">
      <c r="A1637" s="121" t="str">
        <f aca="false">IF(B1637="","",CONCATENATE(COUNTA($B$4:B1637),"."))</f>
        <v/>
      </c>
      <c r="B1637" s="112"/>
      <c r="C1637" s="112"/>
      <c r="D1637" s="81"/>
      <c r="E1637" s="81"/>
      <c r="F1637" s="81"/>
      <c r="G1637" s="81"/>
      <c r="H1637" s="81"/>
      <c r="I1637" s="161"/>
      <c r="J1637" s="154" t="str">
        <f aca="false">IF(H1637="","",ROUNDUP(H1637*35%,0))</f>
        <v/>
      </c>
      <c r="K1637" s="113"/>
      <c r="L1637" s="113"/>
    </row>
    <row r="1638" customFormat="false" ht="12.75" hidden="false" customHeight="true" outlineLevel="0" collapsed="false">
      <c r="A1638" s="121" t="str">
        <f aca="false">IF(B1638="","",CONCATENATE(COUNTA($B$4:B1638),"."))</f>
        <v/>
      </c>
      <c r="B1638" s="112"/>
      <c r="C1638" s="112"/>
      <c r="D1638" s="81"/>
      <c r="E1638" s="81"/>
      <c r="F1638" s="81"/>
      <c r="G1638" s="81"/>
      <c r="H1638" s="81"/>
      <c r="I1638" s="161"/>
      <c r="J1638" s="154" t="str">
        <f aca="false">IF(H1638="","",ROUNDUP(H1638*35%,0))</f>
        <v/>
      </c>
      <c r="K1638" s="113"/>
      <c r="L1638" s="113"/>
    </row>
    <row r="1639" customFormat="false" ht="12.75" hidden="false" customHeight="true" outlineLevel="0" collapsed="false">
      <c r="A1639" s="121" t="str">
        <f aca="false">IF(B1639="","",CONCATENATE(COUNTA($B$4:B1639),"."))</f>
        <v/>
      </c>
      <c r="B1639" s="112"/>
      <c r="C1639" s="112"/>
      <c r="D1639" s="81"/>
      <c r="E1639" s="81"/>
      <c r="F1639" s="81"/>
      <c r="G1639" s="81"/>
      <c r="H1639" s="81"/>
      <c r="I1639" s="161"/>
      <c r="J1639" s="154" t="str">
        <f aca="false">IF(H1639="","",ROUNDUP(H1639*35%,0))</f>
        <v/>
      </c>
      <c r="K1639" s="113"/>
      <c r="L1639" s="113"/>
    </row>
    <row r="1640" customFormat="false" ht="12.75" hidden="false" customHeight="true" outlineLevel="0" collapsed="false">
      <c r="A1640" s="121" t="str">
        <f aca="false">IF(B1640="","",CONCATENATE(COUNTA($B$4:B1640),"."))</f>
        <v/>
      </c>
      <c r="B1640" s="112"/>
      <c r="C1640" s="112"/>
      <c r="D1640" s="81"/>
      <c r="E1640" s="81"/>
      <c r="F1640" s="81"/>
      <c r="G1640" s="81"/>
      <c r="H1640" s="81"/>
      <c r="I1640" s="161"/>
      <c r="J1640" s="154" t="str">
        <f aca="false">IF(H1640="","",ROUNDUP(H1640*35%,0))</f>
        <v/>
      </c>
      <c r="K1640" s="113"/>
      <c r="L1640" s="113"/>
    </row>
    <row r="1641" customFormat="false" ht="12.75" hidden="false" customHeight="true" outlineLevel="0" collapsed="false">
      <c r="A1641" s="121" t="str">
        <f aca="false">IF(B1641="","",CONCATENATE(COUNTA($B$4:B1641),"."))</f>
        <v/>
      </c>
      <c r="B1641" s="112"/>
      <c r="C1641" s="112"/>
      <c r="D1641" s="81"/>
      <c r="E1641" s="81"/>
      <c r="F1641" s="81"/>
      <c r="G1641" s="81"/>
      <c r="H1641" s="81"/>
      <c r="I1641" s="161"/>
      <c r="J1641" s="154" t="str">
        <f aca="false">IF(H1641="","",ROUNDUP(H1641*35%,0))</f>
        <v/>
      </c>
      <c r="K1641" s="113"/>
      <c r="L1641" s="113"/>
    </row>
    <row r="1642" customFormat="false" ht="12.75" hidden="false" customHeight="true" outlineLevel="0" collapsed="false">
      <c r="A1642" s="121" t="str">
        <f aca="false">IF(B1642="","",CONCATENATE(COUNTA($B$4:B1642),"."))</f>
        <v/>
      </c>
      <c r="B1642" s="112"/>
      <c r="C1642" s="112"/>
      <c r="D1642" s="81"/>
      <c r="E1642" s="81"/>
      <c r="F1642" s="81"/>
      <c r="G1642" s="81"/>
      <c r="H1642" s="81"/>
      <c r="I1642" s="161"/>
      <c r="J1642" s="154" t="str">
        <f aca="false">IF(H1642="","",ROUNDUP(H1642*35%,0))</f>
        <v/>
      </c>
      <c r="K1642" s="113"/>
      <c r="L1642" s="113"/>
    </row>
    <row r="1643" customFormat="false" ht="12.75" hidden="false" customHeight="true" outlineLevel="0" collapsed="false">
      <c r="A1643" s="121" t="str">
        <f aca="false">IF(B1643="","",CONCATENATE(COUNTA($B$4:B1643),"."))</f>
        <v/>
      </c>
      <c r="B1643" s="112"/>
      <c r="C1643" s="112"/>
      <c r="D1643" s="81"/>
      <c r="E1643" s="81"/>
      <c r="F1643" s="81"/>
      <c r="G1643" s="81"/>
      <c r="H1643" s="81"/>
      <c r="I1643" s="161"/>
      <c r="J1643" s="154" t="str">
        <f aca="false">IF(H1643="","",ROUNDUP(H1643*35%,0))</f>
        <v/>
      </c>
      <c r="K1643" s="113"/>
      <c r="L1643" s="113"/>
    </row>
    <row r="1644" customFormat="false" ht="12.75" hidden="false" customHeight="true" outlineLevel="0" collapsed="false">
      <c r="A1644" s="121" t="str">
        <f aca="false">IF(B1644="","",CONCATENATE(COUNTA($B$4:B1644),"."))</f>
        <v/>
      </c>
      <c r="B1644" s="112"/>
      <c r="C1644" s="112"/>
      <c r="D1644" s="81"/>
      <c r="E1644" s="81"/>
      <c r="F1644" s="81"/>
      <c r="G1644" s="81"/>
      <c r="H1644" s="81"/>
      <c r="I1644" s="161"/>
      <c r="J1644" s="154" t="str">
        <f aca="false">IF(H1644="","",ROUNDUP(H1644*35%,0))</f>
        <v/>
      </c>
      <c r="K1644" s="113"/>
      <c r="L1644" s="113"/>
    </row>
    <row r="1645" customFormat="false" ht="12.75" hidden="false" customHeight="true" outlineLevel="0" collapsed="false">
      <c r="A1645" s="121" t="str">
        <f aca="false">IF(B1645="","",CONCATENATE(COUNTA($B$4:B1645),"."))</f>
        <v/>
      </c>
      <c r="B1645" s="112"/>
      <c r="C1645" s="112"/>
      <c r="D1645" s="81"/>
      <c r="E1645" s="81"/>
      <c r="F1645" s="81"/>
      <c r="G1645" s="81"/>
      <c r="H1645" s="81"/>
      <c r="I1645" s="161"/>
      <c r="J1645" s="154" t="str">
        <f aca="false">IF(H1645="","",ROUNDUP(H1645*35%,0))</f>
        <v/>
      </c>
      <c r="K1645" s="113"/>
      <c r="L1645" s="113"/>
    </row>
    <row r="1646" customFormat="false" ht="12.75" hidden="false" customHeight="true" outlineLevel="0" collapsed="false">
      <c r="A1646" s="121" t="str">
        <f aca="false">IF(B1646="","",CONCATENATE(COUNTA($B$4:B1646),"."))</f>
        <v/>
      </c>
      <c r="B1646" s="112"/>
      <c r="C1646" s="112"/>
      <c r="D1646" s="81"/>
      <c r="E1646" s="81"/>
      <c r="F1646" s="81"/>
      <c r="G1646" s="81"/>
      <c r="H1646" s="81"/>
      <c r="I1646" s="161"/>
      <c r="J1646" s="154" t="str">
        <f aca="false">IF(H1646="","",ROUNDUP(H1646*35%,0))</f>
        <v/>
      </c>
      <c r="K1646" s="113"/>
      <c r="L1646" s="113"/>
    </row>
    <row r="1647" customFormat="false" ht="12.75" hidden="false" customHeight="true" outlineLevel="0" collapsed="false">
      <c r="A1647" s="121" t="str">
        <f aca="false">IF(B1647="","",CONCATENATE(COUNTA($B$4:B1647),"."))</f>
        <v/>
      </c>
      <c r="B1647" s="112"/>
      <c r="C1647" s="112"/>
      <c r="D1647" s="81"/>
      <c r="E1647" s="81"/>
      <c r="F1647" s="81"/>
      <c r="G1647" s="81"/>
      <c r="H1647" s="81"/>
      <c r="I1647" s="161"/>
      <c r="J1647" s="154" t="str">
        <f aca="false">IF(H1647="","",ROUNDUP(H1647*35%,0))</f>
        <v/>
      </c>
      <c r="K1647" s="113"/>
      <c r="L1647" s="113"/>
    </row>
    <row r="1648" customFormat="false" ht="12.75" hidden="false" customHeight="true" outlineLevel="0" collapsed="false">
      <c r="A1648" s="121" t="str">
        <f aca="false">IF(B1648="","",CONCATENATE(COUNTA($B$4:B1648),"."))</f>
        <v/>
      </c>
      <c r="B1648" s="112"/>
      <c r="C1648" s="112"/>
      <c r="D1648" s="81"/>
      <c r="E1648" s="81"/>
      <c r="F1648" s="81"/>
      <c r="G1648" s="81"/>
      <c r="H1648" s="81"/>
      <c r="I1648" s="161"/>
      <c r="J1648" s="154" t="str">
        <f aca="false">IF(H1648="","",ROUNDUP(H1648*35%,0))</f>
        <v/>
      </c>
      <c r="K1648" s="113"/>
      <c r="L1648" s="113"/>
    </row>
    <row r="1649" customFormat="false" ht="12.75" hidden="false" customHeight="true" outlineLevel="0" collapsed="false">
      <c r="A1649" s="121" t="str">
        <f aca="false">IF(B1649="","",CONCATENATE(COUNTA($B$4:B1649),"."))</f>
        <v/>
      </c>
      <c r="B1649" s="112"/>
      <c r="C1649" s="112"/>
      <c r="D1649" s="81"/>
      <c r="E1649" s="81"/>
      <c r="F1649" s="81"/>
      <c r="G1649" s="81"/>
      <c r="H1649" s="81"/>
      <c r="I1649" s="161"/>
      <c r="J1649" s="154" t="str">
        <f aca="false">IF(H1649="","",ROUNDUP(H1649*35%,0))</f>
        <v/>
      </c>
      <c r="K1649" s="113"/>
      <c r="L1649" s="113"/>
    </row>
    <row r="1650" customFormat="false" ht="12.75" hidden="false" customHeight="true" outlineLevel="0" collapsed="false">
      <c r="A1650" s="121" t="str">
        <f aca="false">IF(B1650="","",CONCATENATE(COUNTA($B$4:B1650),"."))</f>
        <v/>
      </c>
      <c r="B1650" s="112"/>
      <c r="C1650" s="112"/>
      <c r="D1650" s="81"/>
      <c r="E1650" s="81"/>
      <c r="F1650" s="81"/>
      <c r="G1650" s="81"/>
      <c r="H1650" s="81"/>
      <c r="I1650" s="161"/>
      <c r="J1650" s="154" t="str">
        <f aca="false">IF(H1650="","",ROUNDUP(H1650*35%,0))</f>
        <v/>
      </c>
      <c r="K1650" s="113"/>
      <c r="L1650" s="113"/>
    </row>
    <row r="1651" customFormat="false" ht="12.75" hidden="false" customHeight="true" outlineLevel="0" collapsed="false">
      <c r="A1651" s="121" t="str">
        <f aca="false">IF(B1651="","",CONCATENATE(COUNTA($B$4:B1651),"."))</f>
        <v/>
      </c>
      <c r="B1651" s="112"/>
      <c r="C1651" s="112"/>
      <c r="D1651" s="81"/>
      <c r="E1651" s="81"/>
      <c r="F1651" s="81"/>
      <c r="G1651" s="81"/>
      <c r="H1651" s="81"/>
      <c r="I1651" s="161"/>
      <c r="J1651" s="154" t="str">
        <f aca="false">IF(H1651="","",ROUNDUP(H1651*35%,0))</f>
        <v/>
      </c>
      <c r="K1651" s="113"/>
      <c r="L1651" s="113"/>
    </row>
    <row r="1652" customFormat="false" ht="12.75" hidden="false" customHeight="true" outlineLevel="0" collapsed="false">
      <c r="A1652" s="121" t="str">
        <f aca="false">IF(B1652="","",CONCATENATE(COUNTA($B$4:B1652),"."))</f>
        <v/>
      </c>
      <c r="B1652" s="112"/>
      <c r="C1652" s="112"/>
      <c r="D1652" s="81"/>
      <c r="E1652" s="81"/>
      <c r="F1652" s="81"/>
      <c r="G1652" s="81"/>
      <c r="H1652" s="81"/>
      <c r="I1652" s="161"/>
      <c r="J1652" s="154" t="str">
        <f aca="false">IF(H1652="","",ROUNDUP(H1652*35%,0))</f>
        <v/>
      </c>
      <c r="K1652" s="113"/>
      <c r="L1652" s="113"/>
    </row>
    <row r="1653" customFormat="false" ht="12.75" hidden="false" customHeight="true" outlineLevel="0" collapsed="false">
      <c r="A1653" s="121" t="str">
        <f aca="false">IF(B1653="","",CONCATENATE(COUNTA($B$4:B1653),"."))</f>
        <v/>
      </c>
      <c r="B1653" s="112"/>
      <c r="C1653" s="112"/>
      <c r="D1653" s="81"/>
      <c r="E1653" s="81"/>
      <c r="F1653" s="81"/>
      <c r="G1653" s="81"/>
      <c r="H1653" s="81"/>
      <c r="I1653" s="161"/>
      <c r="J1653" s="154" t="str">
        <f aca="false">IF(H1653="","",ROUNDUP(H1653*35%,0))</f>
        <v/>
      </c>
      <c r="K1653" s="113"/>
      <c r="L1653" s="113"/>
    </row>
    <row r="1654" customFormat="false" ht="12.75" hidden="false" customHeight="true" outlineLevel="0" collapsed="false">
      <c r="A1654" s="121" t="str">
        <f aca="false">IF(B1654="","",CONCATENATE(COUNTA($B$4:B1654),"."))</f>
        <v/>
      </c>
      <c r="B1654" s="112"/>
      <c r="C1654" s="112"/>
      <c r="D1654" s="81"/>
      <c r="E1654" s="81"/>
      <c r="F1654" s="81"/>
      <c r="G1654" s="81"/>
      <c r="H1654" s="81"/>
      <c r="I1654" s="161"/>
      <c r="J1654" s="154" t="str">
        <f aca="false">IF(H1654="","",ROUNDUP(H1654*35%,0))</f>
        <v/>
      </c>
      <c r="K1654" s="113"/>
      <c r="L1654" s="113"/>
    </row>
    <row r="1655" customFormat="false" ht="12.75" hidden="false" customHeight="true" outlineLevel="0" collapsed="false">
      <c r="A1655" s="121" t="str">
        <f aca="false">IF(B1655="","",CONCATENATE(COUNTA($B$4:B1655),"."))</f>
        <v/>
      </c>
      <c r="B1655" s="112"/>
      <c r="C1655" s="112"/>
      <c r="D1655" s="81"/>
      <c r="E1655" s="81"/>
      <c r="F1655" s="81"/>
      <c r="G1655" s="81"/>
      <c r="H1655" s="81"/>
      <c r="I1655" s="161"/>
      <c r="J1655" s="154" t="str">
        <f aca="false">IF(H1655="","",ROUNDUP(H1655*35%,0))</f>
        <v/>
      </c>
      <c r="K1655" s="113"/>
      <c r="L1655" s="113"/>
    </row>
    <row r="1656" customFormat="false" ht="12.75" hidden="false" customHeight="true" outlineLevel="0" collapsed="false">
      <c r="A1656" s="121" t="str">
        <f aca="false">IF(B1656="","",CONCATENATE(COUNTA($B$4:B1656),"."))</f>
        <v/>
      </c>
      <c r="B1656" s="112"/>
      <c r="C1656" s="112"/>
      <c r="D1656" s="81"/>
      <c r="E1656" s="81"/>
      <c r="F1656" s="81"/>
      <c r="G1656" s="81"/>
      <c r="H1656" s="81"/>
      <c r="I1656" s="161"/>
      <c r="J1656" s="154" t="str">
        <f aca="false">IF(H1656="","",ROUNDUP(H1656*35%,0))</f>
        <v/>
      </c>
      <c r="K1656" s="113"/>
      <c r="L1656" s="113"/>
    </row>
    <row r="1657" customFormat="false" ht="12.75" hidden="false" customHeight="true" outlineLevel="0" collapsed="false">
      <c r="A1657" s="121" t="str">
        <f aca="false">IF(B1657="","",CONCATENATE(COUNTA($B$4:B1657),"."))</f>
        <v/>
      </c>
      <c r="B1657" s="112"/>
      <c r="C1657" s="112"/>
      <c r="D1657" s="81"/>
      <c r="E1657" s="81"/>
      <c r="F1657" s="81"/>
      <c r="G1657" s="81"/>
      <c r="H1657" s="81"/>
      <c r="I1657" s="161"/>
      <c r="J1657" s="154" t="str">
        <f aca="false">IF(H1657="","",ROUNDUP(H1657*35%,0))</f>
        <v/>
      </c>
      <c r="K1657" s="113"/>
      <c r="L1657" s="113"/>
    </row>
    <row r="1658" customFormat="false" ht="12.75" hidden="false" customHeight="true" outlineLevel="0" collapsed="false">
      <c r="A1658" s="121" t="str">
        <f aca="false">IF(B1658="","",CONCATENATE(COUNTA($B$4:B1658),"."))</f>
        <v/>
      </c>
      <c r="B1658" s="112"/>
      <c r="C1658" s="112"/>
      <c r="D1658" s="81"/>
      <c r="E1658" s="81"/>
      <c r="F1658" s="81"/>
      <c r="G1658" s="81"/>
      <c r="H1658" s="81"/>
      <c r="I1658" s="161"/>
      <c r="J1658" s="154" t="str">
        <f aca="false">IF(H1658="","",ROUNDUP(H1658*35%,0))</f>
        <v/>
      </c>
      <c r="K1658" s="113"/>
      <c r="L1658" s="113"/>
    </row>
    <row r="1659" customFormat="false" ht="12.75" hidden="false" customHeight="true" outlineLevel="0" collapsed="false">
      <c r="A1659" s="121" t="str">
        <f aca="false">IF(B1659="","",CONCATENATE(COUNTA($B$4:B1659),"."))</f>
        <v/>
      </c>
      <c r="B1659" s="112"/>
      <c r="C1659" s="112"/>
      <c r="D1659" s="81"/>
      <c r="E1659" s="81"/>
      <c r="F1659" s="81"/>
      <c r="G1659" s="81"/>
      <c r="H1659" s="81"/>
      <c r="I1659" s="161"/>
      <c r="J1659" s="154" t="str">
        <f aca="false">IF(H1659="","",ROUNDUP(H1659*35%,0))</f>
        <v/>
      </c>
      <c r="K1659" s="113"/>
      <c r="L1659" s="113"/>
    </row>
    <row r="1660" customFormat="false" ht="12.75" hidden="false" customHeight="true" outlineLevel="0" collapsed="false">
      <c r="A1660" s="121" t="str">
        <f aca="false">IF(B1660="","",CONCATENATE(COUNTA($B$4:B1660),"."))</f>
        <v/>
      </c>
      <c r="B1660" s="112"/>
      <c r="C1660" s="112"/>
      <c r="D1660" s="81"/>
      <c r="E1660" s="81"/>
      <c r="F1660" s="81"/>
      <c r="G1660" s="81"/>
      <c r="H1660" s="81"/>
      <c r="I1660" s="161"/>
      <c r="J1660" s="154" t="str">
        <f aca="false">IF(H1660="","",ROUNDUP(H1660*35%,0))</f>
        <v/>
      </c>
      <c r="K1660" s="113"/>
      <c r="L1660" s="113"/>
    </row>
    <row r="1661" customFormat="false" ht="12.75" hidden="false" customHeight="true" outlineLevel="0" collapsed="false">
      <c r="A1661" s="121" t="str">
        <f aca="false">IF(B1661="","",CONCATENATE(COUNTA($B$4:B1661),"."))</f>
        <v/>
      </c>
      <c r="B1661" s="112"/>
      <c r="C1661" s="112"/>
      <c r="D1661" s="81"/>
      <c r="E1661" s="81"/>
      <c r="F1661" s="81"/>
      <c r="G1661" s="81"/>
      <c r="H1661" s="81"/>
      <c r="I1661" s="161"/>
      <c r="J1661" s="154" t="str">
        <f aca="false">IF(H1661="","",ROUNDUP(H1661*35%,0))</f>
        <v/>
      </c>
      <c r="K1661" s="113"/>
      <c r="L1661" s="113"/>
    </row>
    <row r="1662" customFormat="false" ht="12.75" hidden="false" customHeight="true" outlineLevel="0" collapsed="false">
      <c r="A1662" s="121" t="str">
        <f aca="false">IF(B1662="","",CONCATENATE(COUNTA($B$4:B1662),"."))</f>
        <v/>
      </c>
      <c r="B1662" s="112"/>
      <c r="C1662" s="112"/>
      <c r="D1662" s="81"/>
      <c r="E1662" s="81"/>
      <c r="F1662" s="81"/>
      <c r="G1662" s="81"/>
      <c r="H1662" s="81"/>
      <c r="I1662" s="161"/>
      <c r="J1662" s="154" t="str">
        <f aca="false">IF(H1662="","",ROUNDUP(H1662*35%,0))</f>
        <v/>
      </c>
      <c r="K1662" s="113"/>
      <c r="L1662" s="113"/>
    </row>
    <row r="1663" customFormat="false" ht="12.75" hidden="false" customHeight="true" outlineLevel="0" collapsed="false">
      <c r="A1663" s="121" t="str">
        <f aca="false">IF(B1663="","",CONCATENATE(COUNTA($B$4:B1663),"."))</f>
        <v/>
      </c>
      <c r="B1663" s="112"/>
      <c r="C1663" s="112"/>
      <c r="D1663" s="81"/>
      <c r="E1663" s="81"/>
      <c r="F1663" s="81"/>
      <c r="G1663" s="81"/>
      <c r="H1663" s="81"/>
      <c r="I1663" s="161"/>
      <c r="J1663" s="154" t="str">
        <f aca="false">IF(H1663="","",ROUNDUP(H1663*35%,0))</f>
        <v/>
      </c>
      <c r="K1663" s="113"/>
      <c r="L1663" s="113"/>
    </row>
    <row r="1664" customFormat="false" ht="12.75" hidden="false" customHeight="true" outlineLevel="0" collapsed="false">
      <c r="A1664" s="121" t="str">
        <f aca="false">IF(B1664="","",CONCATENATE(COUNTA($B$4:B1664),"."))</f>
        <v/>
      </c>
      <c r="B1664" s="112"/>
      <c r="C1664" s="112"/>
      <c r="D1664" s="81"/>
      <c r="E1664" s="81"/>
      <c r="F1664" s="81"/>
      <c r="G1664" s="81"/>
      <c r="H1664" s="81"/>
      <c r="I1664" s="161"/>
      <c r="J1664" s="154" t="str">
        <f aca="false">IF(H1664="","",ROUNDUP(H1664*35%,0))</f>
        <v/>
      </c>
      <c r="K1664" s="113"/>
      <c r="L1664" s="113"/>
    </row>
    <row r="1665" customFormat="false" ht="12.75" hidden="false" customHeight="true" outlineLevel="0" collapsed="false">
      <c r="A1665" s="121" t="str">
        <f aca="false">IF(B1665="","",CONCATENATE(COUNTA($B$4:B1665),"."))</f>
        <v/>
      </c>
      <c r="B1665" s="112"/>
      <c r="C1665" s="112"/>
      <c r="D1665" s="81"/>
      <c r="E1665" s="81"/>
      <c r="F1665" s="81"/>
      <c r="G1665" s="81"/>
      <c r="H1665" s="81"/>
      <c r="I1665" s="161"/>
      <c r="J1665" s="154" t="str">
        <f aca="false">IF(H1665="","",ROUNDUP(H1665*35%,0))</f>
        <v/>
      </c>
      <c r="K1665" s="113"/>
      <c r="L1665" s="113"/>
    </row>
    <row r="1666" customFormat="false" ht="12.75" hidden="false" customHeight="true" outlineLevel="0" collapsed="false">
      <c r="A1666" s="121" t="str">
        <f aca="false">IF(B1666="","",CONCATENATE(COUNTA($B$4:B1666),"."))</f>
        <v/>
      </c>
      <c r="B1666" s="112"/>
      <c r="C1666" s="112"/>
      <c r="D1666" s="81"/>
      <c r="E1666" s="81"/>
      <c r="F1666" s="81"/>
      <c r="G1666" s="81"/>
      <c r="H1666" s="81"/>
      <c r="I1666" s="161"/>
      <c r="J1666" s="154" t="str">
        <f aca="false">IF(H1666="","",ROUNDUP(H1666*35%,0))</f>
        <v/>
      </c>
      <c r="K1666" s="113"/>
      <c r="L1666" s="113"/>
    </row>
    <row r="1667" customFormat="false" ht="12.75" hidden="false" customHeight="true" outlineLevel="0" collapsed="false">
      <c r="A1667" s="121" t="str">
        <f aca="false">IF(B1667="","",CONCATENATE(COUNTA($B$4:B1667),"."))</f>
        <v/>
      </c>
      <c r="B1667" s="112"/>
      <c r="C1667" s="112"/>
      <c r="D1667" s="81"/>
      <c r="E1667" s="81"/>
      <c r="F1667" s="81"/>
      <c r="G1667" s="81"/>
      <c r="H1667" s="81"/>
      <c r="I1667" s="161"/>
      <c r="J1667" s="154" t="str">
        <f aca="false">IF(H1667="","",ROUNDUP(H1667*35%,0))</f>
        <v/>
      </c>
      <c r="K1667" s="113"/>
      <c r="L1667" s="113"/>
    </row>
    <row r="1668" customFormat="false" ht="12.75" hidden="false" customHeight="true" outlineLevel="0" collapsed="false">
      <c r="A1668" s="121" t="str">
        <f aca="false">IF(B1668="","",CONCATENATE(COUNTA($B$4:B1668),"."))</f>
        <v/>
      </c>
      <c r="B1668" s="112"/>
      <c r="C1668" s="112"/>
      <c r="D1668" s="81"/>
      <c r="E1668" s="81"/>
      <c r="F1668" s="81"/>
      <c r="G1668" s="81"/>
      <c r="H1668" s="81"/>
      <c r="I1668" s="161"/>
      <c r="J1668" s="154" t="str">
        <f aca="false">IF(H1668="","",ROUNDUP(H1668*35%,0))</f>
        <v/>
      </c>
      <c r="K1668" s="113"/>
      <c r="L1668" s="113"/>
    </row>
    <row r="1669" customFormat="false" ht="12.75" hidden="false" customHeight="true" outlineLevel="0" collapsed="false">
      <c r="A1669" s="121" t="str">
        <f aca="false">IF(B1669="","",CONCATENATE(COUNTA($B$4:B1669),"."))</f>
        <v/>
      </c>
      <c r="B1669" s="112"/>
      <c r="C1669" s="112"/>
      <c r="D1669" s="81"/>
      <c r="E1669" s="81"/>
      <c r="F1669" s="81"/>
      <c r="G1669" s="81"/>
      <c r="H1669" s="81"/>
      <c r="I1669" s="161"/>
      <c r="J1669" s="154" t="str">
        <f aca="false">IF(H1669="","",ROUNDUP(H1669*35%,0))</f>
        <v/>
      </c>
      <c r="K1669" s="113"/>
      <c r="L1669" s="113"/>
    </row>
    <row r="1670" customFormat="false" ht="12.75" hidden="false" customHeight="true" outlineLevel="0" collapsed="false">
      <c r="A1670" s="121" t="str">
        <f aca="false">IF(B1670="","",CONCATENATE(COUNTA($B$4:B1670),"."))</f>
        <v/>
      </c>
      <c r="B1670" s="112"/>
      <c r="C1670" s="112"/>
      <c r="D1670" s="81"/>
      <c r="E1670" s="81"/>
      <c r="F1670" s="81"/>
      <c r="G1670" s="81"/>
      <c r="H1670" s="81"/>
      <c r="I1670" s="161"/>
      <c r="J1670" s="154" t="str">
        <f aca="false">IF(H1670="","",ROUNDUP(H1670*35%,0))</f>
        <v/>
      </c>
      <c r="K1670" s="113"/>
      <c r="L1670" s="113"/>
    </row>
    <row r="1671" customFormat="false" ht="12.75" hidden="false" customHeight="true" outlineLevel="0" collapsed="false">
      <c r="A1671" s="121" t="str">
        <f aca="false">IF(B1671="","",CONCATENATE(COUNTA($B$4:B1671),"."))</f>
        <v/>
      </c>
      <c r="B1671" s="112"/>
      <c r="C1671" s="112"/>
      <c r="D1671" s="81"/>
      <c r="E1671" s="81"/>
      <c r="F1671" s="81"/>
      <c r="G1671" s="81"/>
      <c r="H1671" s="81"/>
      <c r="I1671" s="161"/>
      <c r="J1671" s="154" t="str">
        <f aca="false">IF(H1671="","",ROUNDUP(H1671*35%,0))</f>
        <v/>
      </c>
      <c r="K1671" s="113"/>
      <c r="L1671" s="113"/>
    </row>
    <row r="1672" customFormat="false" ht="12.75" hidden="false" customHeight="true" outlineLevel="0" collapsed="false">
      <c r="A1672" s="121" t="str">
        <f aca="false">IF(B1672="","",CONCATENATE(COUNTA($B$4:B1672),"."))</f>
        <v/>
      </c>
      <c r="B1672" s="112"/>
      <c r="C1672" s="112"/>
      <c r="D1672" s="81"/>
      <c r="E1672" s="81"/>
      <c r="F1672" s="81"/>
      <c r="G1672" s="81"/>
      <c r="H1672" s="81"/>
      <c r="I1672" s="161"/>
      <c r="J1672" s="154" t="str">
        <f aca="false">IF(H1672="","",ROUNDUP(H1672*35%,0))</f>
        <v/>
      </c>
      <c r="K1672" s="113"/>
      <c r="L1672" s="113"/>
    </row>
    <row r="1673" customFormat="false" ht="12.75" hidden="false" customHeight="true" outlineLevel="0" collapsed="false">
      <c r="A1673" s="121" t="str">
        <f aca="false">IF(B1673="","",CONCATENATE(COUNTA($B$4:B1673),"."))</f>
        <v/>
      </c>
      <c r="B1673" s="112"/>
      <c r="C1673" s="112"/>
      <c r="D1673" s="81"/>
      <c r="E1673" s="81"/>
      <c r="F1673" s="81"/>
      <c r="G1673" s="81"/>
      <c r="H1673" s="81"/>
      <c r="I1673" s="161"/>
      <c r="J1673" s="154" t="str">
        <f aca="false">IF(H1673="","",ROUNDUP(H1673*35%,0))</f>
        <v/>
      </c>
      <c r="K1673" s="113"/>
      <c r="L1673" s="113"/>
    </row>
    <row r="1674" customFormat="false" ht="12.75" hidden="false" customHeight="true" outlineLevel="0" collapsed="false">
      <c r="A1674" s="121" t="str">
        <f aca="false">IF(B1674="","",CONCATENATE(COUNTA($B$4:B1674),"."))</f>
        <v/>
      </c>
      <c r="B1674" s="112"/>
      <c r="C1674" s="112"/>
      <c r="D1674" s="81"/>
      <c r="E1674" s="81"/>
      <c r="F1674" s="81"/>
      <c r="G1674" s="81"/>
      <c r="H1674" s="81"/>
      <c r="I1674" s="161"/>
      <c r="J1674" s="154" t="str">
        <f aca="false">IF(H1674="","",ROUNDUP(H1674*35%,0))</f>
        <v/>
      </c>
      <c r="K1674" s="113"/>
      <c r="L1674" s="113"/>
    </row>
    <row r="1675" customFormat="false" ht="12.75" hidden="false" customHeight="true" outlineLevel="0" collapsed="false">
      <c r="A1675" s="121" t="str">
        <f aca="false">IF(B1675="","",CONCATENATE(COUNTA($B$4:B1675),"."))</f>
        <v/>
      </c>
      <c r="B1675" s="112"/>
      <c r="C1675" s="112"/>
      <c r="D1675" s="81"/>
      <c r="E1675" s="81"/>
      <c r="F1675" s="81"/>
      <c r="G1675" s="81"/>
      <c r="H1675" s="81"/>
      <c r="I1675" s="161"/>
      <c r="J1675" s="154" t="str">
        <f aca="false">IF(H1675="","",ROUNDUP(H1675*35%,0))</f>
        <v/>
      </c>
      <c r="K1675" s="113"/>
      <c r="L1675" s="113"/>
    </row>
    <row r="1676" customFormat="false" ht="12.75" hidden="false" customHeight="true" outlineLevel="0" collapsed="false">
      <c r="A1676" s="121" t="str">
        <f aca="false">IF(B1676="","",CONCATENATE(COUNTA($B$4:B1676),"."))</f>
        <v/>
      </c>
      <c r="B1676" s="112"/>
      <c r="C1676" s="112"/>
      <c r="D1676" s="81"/>
      <c r="E1676" s="81"/>
      <c r="F1676" s="81"/>
      <c r="G1676" s="81"/>
      <c r="H1676" s="81"/>
      <c r="I1676" s="161"/>
      <c r="J1676" s="154" t="str">
        <f aca="false">IF(H1676="","",ROUNDUP(H1676*35%,0))</f>
        <v/>
      </c>
      <c r="K1676" s="113"/>
      <c r="L1676" s="113"/>
    </row>
    <row r="1677" customFormat="false" ht="12.75" hidden="false" customHeight="true" outlineLevel="0" collapsed="false">
      <c r="A1677" s="121" t="str">
        <f aca="false">IF(B1677="","",CONCATENATE(COUNTA($B$4:B1677),"."))</f>
        <v/>
      </c>
      <c r="B1677" s="112"/>
      <c r="C1677" s="112"/>
      <c r="D1677" s="81"/>
      <c r="E1677" s="81"/>
      <c r="F1677" s="81"/>
      <c r="G1677" s="81"/>
      <c r="H1677" s="81"/>
      <c r="I1677" s="161"/>
      <c r="J1677" s="154" t="str">
        <f aca="false">IF(H1677="","",ROUNDUP(H1677*35%,0))</f>
        <v/>
      </c>
      <c r="K1677" s="113"/>
      <c r="L1677" s="113"/>
    </row>
    <row r="1678" customFormat="false" ht="12.75" hidden="false" customHeight="true" outlineLevel="0" collapsed="false">
      <c r="A1678" s="121" t="str">
        <f aca="false">IF(B1678="","",CONCATENATE(COUNTA($B$4:B1678),"."))</f>
        <v/>
      </c>
      <c r="B1678" s="112"/>
      <c r="C1678" s="112"/>
      <c r="D1678" s="81"/>
      <c r="E1678" s="81"/>
      <c r="F1678" s="81"/>
      <c r="G1678" s="81"/>
      <c r="H1678" s="81"/>
      <c r="I1678" s="161"/>
      <c r="J1678" s="154" t="str">
        <f aca="false">IF(H1678="","",ROUNDUP(H1678*35%,0))</f>
        <v/>
      </c>
      <c r="K1678" s="113"/>
      <c r="L1678" s="113"/>
    </row>
    <row r="1679" customFormat="false" ht="12.75" hidden="false" customHeight="true" outlineLevel="0" collapsed="false">
      <c r="A1679" s="121" t="str">
        <f aca="false">IF(B1679="","",CONCATENATE(COUNTA($B$4:B1679),"."))</f>
        <v/>
      </c>
      <c r="B1679" s="112"/>
      <c r="C1679" s="112"/>
      <c r="D1679" s="81"/>
      <c r="E1679" s="81"/>
      <c r="F1679" s="81"/>
      <c r="G1679" s="81"/>
      <c r="H1679" s="81"/>
      <c r="I1679" s="161"/>
      <c r="J1679" s="154" t="str">
        <f aca="false">IF(H1679="","",ROUNDUP(H1679*35%,0))</f>
        <v/>
      </c>
      <c r="K1679" s="113"/>
      <c r="L1679" s="113"/>
    </row>
    <row r="1680" customFormat="false" ht="12.75" hidden="false" customHeight="true" outlineLevel="0" collapsed="false">
      <c r="A1680" s="121" t="str">
        <f aca="false">IF(B1680="","",CONCATENATE(COUNTA($B$4:B1680),"."))</f>
        <v/>
      </c>
      <c r="B1680" s="112"/>
      <c r="C1680" s="112"/>
      <c r="D1680" s="81"/>
      <c r="E1680" s="81"/>
      <c r="F1680" s="81"/>
      <c r="G1680" s="81"/>
      <c r="H1680" s="81"/>
      <c r="I1680" s="161"/>
      <c r="J1680" s="154" t="str">
        <f aca="false">IF(H1680="","",ROUNDUP(H1680*35%,0))</f>
        <v/>
      </c>
      <c r="K1680" s="113"/>
      <c r="L1680" s="113"/>
    </row>
    <row r="1681" customFormat="false" ht="12.75" hidden="false" customHeight="true" outlineLevel="0" collapsed="false">
      <c r="A1681" s="121" t="str">
        <f aca="false">IF(B1681="","",CONCATENATE(COUNTA($B$4:B1681),"."))</f>
        <v/>
      </c>
      <c r="B1681" s="112"/>
      <c r="C1681" s="112"/>
      <c r="D1681" s="81"/>
      <c r="E1681" s="81"/>
      <c r="F1681" s="81"/>
      <c r="G1681" s="81"/>
      <c r="H1681" s="81"/>
      <c r="I1681" s="161"/>
      <c r="J1681" s="154" t="str">
        <f aca="false">IF(H1681="","",ROUNDUP(H1681*35%,0))</f>
        <v/>
      </c>
      <c r="K1681" s="113"/>
      <c r="L1681" s="113"/>
    </row>
    <row r="1682" customFormat="false" ht="12.75" hidden="false" customHeight="true" outlineLevel="0" collapsed="false">
      <c r="A1682" s="121" t="str">
        <f aca="false">IF(B1682="","",CONCATENATE(COUNTA($B$4:B1682),"."))</f>
        <v/>
      </c>
      <c r="B1682" s="112"/>
      <c r="C1682" s="112"/>
      <c r="D1682" s="81"/>
      <c r="E1682" s="81"/>
      <c r="F1682" s="81"/>
      <c r="G1682" s="81"/>
      <c r="H1682" s="81"/>
      <c r="I1682" s="161"/>
      <c r="J1682" s="154" t="str">
        <f aca="false">IF(H1682="","",ROUNDUP(H1682*35%,0))</f>
        <v/>
      </c>
      <c r="K1682" s="113"/>
      <c r="L1682" s="113"/>
    </row>
    <row r="1683" customFormat="false" ht="12.75" hidden="false" customHeight="true" outlineLevel="0" collapsed="false">
      <c r="A1683" s="121" t="str">
        <f aca="false">IF(B1683="","",CONCATENATE(COUNTA($B$4:B1683),"."))</f>
        <v/>
      </c>
      <c r="B1683" s="112"/>
      <c r="C1683" s="112"/>
      <c r="D1683" s="81"/>
      <c r="E1683" s="81"/>
      <c r="F1683" s="81"/>
      <c r="G1683" s="81"/>
      <c r="H1683" s="81"/>
      <c r="I1683" s="161"/>
      <c r="J1683" s="154" t="str">
        <f aca="false">IF(H1683="","",ROUNDUP(H1683*35%,0))</f>
        <v/>
      </c>
      <c r="K1683" s="113"/>
      <c r="L1683" s="113"/>
    </row>
    <row r="1684" customFormat="false" ht="12.75" hidden="false" customHeight="true" outlineLevel="0" collapsed="false">
      <c r="A1684" s="121" t="str">
        <f aca="false">IF(B1684="","",CONCATENATE(COUNTA($B$4:B1684),"."))</f>
        <v/>
      </c>
      <c r="B1684" s="112"/>
      <c r="C1684" s="112"/>
      <c r="D1684" s="81"/>
      <c r="E1684" s="81"/>
      <c r="F1684" s="81"/>
      <c r="G1684" s="81"/>
      <c r="H1684" s="81"/>
      <c r="I1684" s="161"/>
      <c r="J1684" s="154" t="str">
        <f aca="false">IF(H1684="","",ROUNDUP(H1684*35%,0))</f>
        <v/>
      </c>
      <c r="K1684" s="113"/>
      <c r="L1684" s="113"/>
    </row>
    <row r="1685" customFormat="false" ht="12.75" hidden="false" customHeight="true" outlineLevel="0" collapsed="false">
      <c r="A1685" s="121" t="str">
        <f aca="false">IF(B1685="","",CONCATENATE(COUNTA($B$4:B1685),"."))</f>
        <v/>
      </c>
      <c r="B1685" s="112"/>
      <c r="C1685" s="112"/>
      <c r="D1685" s="81"/>
      <c r="E1685" s="81"/>
      <c r="F1685" s="81"/>
      <c r="G1685" s="81"/>
      <c r="H1685" s="81"/>
      <c r="I1685" s="161"/>
      <c r="J1685" s="154" t="str">
        <f aca="false">IF(H1685="","",ROUNDUP(H1685*35%,0))</f>
        <v/>
      </c>
      <c r="K1685" s="113"/>
      <c r="L1685" s="113"/>
    </row>
    <row r="1686" customFormat="false" ht="12.75" hidden="false" customHeight="true" outlineLevel="0" collapsed="false">
      <c r="A1686" s="121" t="str">
        <f aca="false">IF(B1686="","",CONCATENATE(COUNTA($B$4:B1686),"."))</f>
        <v/>
      </c>
      <c r="B1686" s="112"/>
      <c r="C1686" s="112"/>
      <c r="D1686" s="81"/>
      <c r="E1686" s="81"/>
      <c r="F1686" s="81"/>
      <c r="G1686" s="81"/>
      <c r="H1686" s="81"/>
      <c r="I1686" s="161"/>
      <c r="J1686" s="154" t="str">
        <f aca="false">IF(H1686="","",ROUNDUP(H1686*35%,0))</f>
        <v/>
      </c>
      <c r="K1686" s="113"/>
      <c r="L1686" s="113"/>
    </row>
    <row r="1687" customFormat="false" ht="12.75" hidden="false" customHeight="true" outlineLevel="0" collapsed="false">
      <c r="A1687" s="121" t="str">
        <f aca="false">IF(B1687="","",CONCATENATE(COUNTA($B$4:B1687),"."))</f>
        <v/>
      </c>
      <c r="B1687" s="112"/>
      <c r="C1687" s="112"/>
      <c r="D1687" s="81"/>
      <c r="E1687" s="81"/>
      <c r="F1687" s="81"/>
      <c r="G1687" s="81"/>
      <c r="H1687" s="81"/>
      <c r="I1687" s="161"/>
      <c r="J1687" s="154" t="str">
        <f aca="false">IF(H1687="","",ROUNDUP(H1687*35%,0))</f>
        <v/>
      </c>
      <c r="K1687" s="113"/>
      <c r="L1687" s="113"/>
    </row>
    <row r="1688" customFormat="false" ht="12.75" hidden="false" customHeight="true" outlineLevel="0" collapsed="false">
      <c r="A1688" s="121" t="str">
        <f aca="false">IF(B1688="","",CONCATENATE(COUNTA($B$4:B1688),"."))</f>
        <v/>
      </c>
      <c r="B1688" s="112"/>
      <c r="C1688" s="112"/>
      <c r="D1688" s="81"/>
      <c r="E1688" s="81"/>
      <c r="F1688" s="81"/>
      <c r="G1688" s="81"/>
      <c r="H1688" s="81"/>
      <c r="I1688" s="161"/>
      <c r="J1688" s="154" t="str">
        <f aca="false">IF(H1688="","",ROUNDUP(H1688*35%,0))</f>
        <v/>
      </c>
      <c r="K1688" s="113"/>
      <c r="L1688" s="113"/>
    </row>
    <row r="1689" customFormat="false" ht="12.75" hidden="false" customHeight="true" outlineLevel="0" collapsed="false">
      <c r="A1689" s="121" t="str">
        <f aca="false">IF(B1689="","",CONCATENATE(COUNTA($B$4:B1689),"."))</f>
        <v/>
      </c>
      <c r="B1689" s="112"/>
      <c r="C1689" s="112"/>
      <c r="D1689" s="81"/>
      <c r="E1689" s="81"/>
      <c r="F1689" s="81"/>
      <c r="G1689" s="81"/>
      <c r="H1689" s="81"/>
      <c r="I1689" s="161"/>
      <c r="J1689" s="154" t="str">
        <f aca="false">IF(H1689="","",ROUNDUP(H1689*35%,0))</f>
        <v/>
      </c>
      <c r="K1689" s="113"/>
      <c r="L1689" s="113"/>
    </row>
    <row r="1690" customFormat="false" ht="12.75" hidden="false" customHeight="true" outlineLevel="0" collapsed="false">
      <c r="A1690" s="121" t="str">
        <f aca="false">IF(B1690="","",CONCATENATE(COUNTA($B$4:B1690),"."))</f>
        <v/>
      </c>
      <c r="B1690" s="112"/>
      <c r="C1690" s="112"/>
      <c r="D1690" s="81"/>
      <c r="E1690" s="81"/>
      <c r="F1690" s="81"/>
      <c r="G1690" s="81"/>
      <c r="H1690" s="81"/>
      <c r="I1690" s="161"/>
      <c r="J1690" s="154" t="str">
        <f aca="false">IF(H1690="","",ROUNDUP(H1690*35%,0))</f>
        <v/>
      </c>
      <c r="K1690" s="113"/>
      <c r="L1690" s="113"/>
    </row>
    <row r="1691" customFormat="false" ht="12.75" hidden="false" customHeight="true" outlineLevel="0" collapsed="false">
      <c r="A1691" s="121" t="str">
        <f aca="false">IF(B1691="","",CONCATENATE(COUNTA($B$4:B1691),"."))</f>
        <v/>
      </c>
      <c r="B1691" s="112"/>
      <c r="C1691" s="112"/>
      <c r="D1691" s="81"/>
      <c r="E1691" s="81"/>
      <c r="F1691" s="81"/>
      <c r="G1691" s="81"/>
      <c r="H1691" s="81"/>
      <c r="I1691" s="161"/>
      <c r="J1691" s="154" t="str">
        <f aca="false">IF(H1691="","",ROUNDUP(H1691*35%,0))</f>
        <v/>
      </c>
      <c r="K1691" s="113"/>
      <c r="L1691" s="113"/>
    </row>
    <row r="1692" customFormat="false" ht="12.75" hidden="false" customHeight="true" outlineLevel="0" collapsed="false">
      <c r="A1692" s="121" t="str">
        <f aca="false">IF(B1692="","",CONCATENATE(COUNTA($B$4:B1692),"."))</f>
        <v/>
      </c>
      <c r="B1692" s="112"/>
      <c r="C1692" s="112"/>
      <c r="D1692" s="81"/>
      <c r="E1692" s="81"/>
      <c r="F1692" s="81"/>
      <c r="G1692" s="81"/>
      <c r="H1692" s="81"/>
      <c r="I1692" s="161"/>
      <c r="J1692" s="154" t="str">
        <f aca="false">IF(H1692="","",ROUNDUP(H1692*35%,0))</f>
        <v/>
      </c>
      <c r="K1692" s="113"/>
      <c r="L1692" s="113"/>
    </row>
    <row r="1693" customFormat="false" ht="12.75" hidden="false" customHeight="true" outlineLevel="0" collapsed="false">
      <c r="A1693" s="121" t="str">
        <f aca="false">IF(B1693="","",CONCATENATE(COUNTA($B$4:B1693),"."))</f>
        <v/>
      </c>
      <c r="B1693" s="112"/>
      <c r="C1693" s="112"/>
      <c r="D1693" s="81"/>
      <c r="E1693" s="81"/>
      <c r="F1693" s="81"/>
      <c r="G1693" s="81"/>
      <c r="H1693" s="81"/>
      <c r="I1693" s="161"/>
      <c r="J1693" s="154" t="str">
        <f aca="false">IF(H1693="","",ROUNDUP(H1693*35%,0))</f>
        <v/>
      </c>
      <c r="K1693" s="113"/>
      <c r="L1693" s="113"/>
    </row>
    <row r="1694" customFormat="false" ht="12.75" hidden="false" customHeight="true" outlineLevel="0" collapsed="false">
      <c r="A1694" s="121" t="str">
        <f aca="false">IF(B1694="","",CONCATENATE(COUNTA($B$4:B1694),"."))</f>
        <v/>
      </c>
      <c r="B1694" s="112"/>
      <c r="C1694" s="112"/>
      <c r="D1694" s="81"/>
      <c r="E1694" s="81"/>
      <c r="F1694" s="81"/>
      <c r="G1694" s="81"/>
      <c r="H1694" s="81"/>
      <c r="I1694" s="161"/>
      <c r="J1694" s="154" t="str">
        <f aca="false">IF(H1694="","",ROUNDUP(H1694*35%,0))</f>
        <v/>
      </c>
      <c r="K1694" s="113"/>
      <c r="L1694" s="113"/>
    </row>
    <row r="1695" customFormat="false" ht="12.75" hidden="false" customHeight="true" outlineLevel="0" collapsed="false">
      <c r="A1695" s="121" t="str">
        <f aca="false">IF(B1695="","",CONCATENATE(COUNTA($B$4:B1695),"."))</f>
        <v/>
      </c>
      <c r="B1695" s="112"/>
      <c r="C1695" s="112"/>
      <c r="D1695" s="81"/>
      <c r="E1695" s="81"/>
      <c r="F1695" s="81"/>
      <c r="G1695" s="81"/>
      <c r="H1695" s="81"/>
      <c r="I1695" s="161"/>
      <c r="J1695" s="154" t="str">
        <f aca="false">IF(H1695="","",ROUNDUP(H1695*35%,0))</f>
        <v/>
      </c>
      <c r="K1695" s="113"/>
      <c r="L1695" s="113"/>
    </row>
    <row r="1696" customFormat="false" ht="12.75" hidden="false" customHeight="true" outlineLevel="0" collapsed="false">
      <c r="A1696" s="121" t="str">
        <f aca="false">IF(B1696="","",CONCATENATE(COUNTA($B$4:B1696),"."))</f>
        <v/>
      </c>
      <c r="B1696" s="112"/>
      <c r="C1696" s="112"/>
      <c r="D1696" s="81"/>
      <c r="E1696" s="81"/>
      <c r="F1696" s="81"/>
      <c r="G1696" s="81"/>
      <c r="H1696" s="81"/>
      <c r="I1696" s="161"/>
      <c r="J1696" s="154" t="str">
        <f aca="false">IF(H1696="","",ROUNDUP(H1696*35%,0))</f>
        <v/>
      </c>
      <c r="K1696" s="113"/>
      <c r="L1696" s="113"/>
    </row>
    <row r="1697" customFormat="false" ht="12.75" hidden="false" customHeight="true" outlineLevel="0" collapsed="false">
      <c r="A1697" s="121" t="str">
        <f aca="false">IF(B1697="","",CONCATENATE(COUNTA($B$4:B1697),"."))</f>
        <v/>
      </c>
      <c r="B1697" s="112"/>
      <c r="C1697" s="112"/>
      <c r="D1697" s="81"/>
      <c r="E1697" s="81"/>
      <c r="F1697" s="81"/>
      <c r="G1697" s="81"/>
      <c r="H1697" s="81"/>
      <c r="I1697" s="161"/>
      <c r="J1697" s="154" t="str">
        <f aca="false">IF(H1697="","",ROUNDUP(H1697*35%,0))</f>
        <v/>
      </c>
      <c r="K1697" s="113"/>
      <c r="L1697" s="113"/>
    </row>
    <row r="1698" customFormat="false" ht="12.75" hidden="false" customHeight="true" outlineLevel="0" collapsed="false">
      <c r="A1698" s="121" t="str">
        <f aca="false">IF(B1698="","",CONCATENATE(COUNTA($B$4:B1698),"."))</f>
        <v/>
      </c>
      <c r="B1698" s="112"/>
      <c r="C1698" s="112"/>
      <c r="D1698" s="81"/>
      <c r="E1698" s="81"/>
      <c r="F1698" s="81"/>
      <c r="G1698" s="81"/>
      <c r="H1698" s="81"/>
      <c r="I1698" s="161"/>
      <c r="J1698" s="154" t="str">
        <f aca="false">IF(H1698="","",ROUNDUP(H1698*35%,0))</f>
        <v/>
      </c>
      <c r="K1698" s="113"/>
      <c r="L1698" s="113"/>
    </row>
    <row r="1699" customFormat="false" ht="12.75" hidden="false" customHeight="true" outlineLevel="0" collapsed="false">
      <c r="A1699" s="121" t="str">
        <f aca="false">IF(B1699="","",CONCATENATE(COUNTA($B$4:B1699),"."))</f>
        <v/>
      </c>
      <c r="B1699" s="112"/>
      <c r="C1699" s="112"/>
      <c r="D1699" s="81"/>
      <c r="E1699" s="81"/>
      <c r="F1699" s="81"/>
      <c r="G1699" s="81"/>
      <c r="H1699" s="81"/>
      <c r="I1699" s="161"/>
      <c r="J1699" s="154" t="str">
        <f aca="false">IF(H1699="","",ROUNDUP(H1699*35%,0))</f>
        <v/>
      </c>
      <c r="K1699" s="113"/>
      <c r="L1699" s="113"/>
    </row>
    <row r="1700" customFormat="false" ht="12.75" hidden="false" customHeight="true" outlineLevel="0" collapsed="false">
      <c r="A1700" s="121" t="str">
        <f aca="false">IF(B1700="","",CONCATENATE(COUNTA($B$4:B1700),"."))</f>
        <v/>
      </c>
      <c r="B1700" s="112"/>
      <c r="C1700" s="112"/>
      <c r="D1700" s="81"/>
      <c r="E1700" s="81"/>
      <c r="F1700" s="81"/>
      <c r="G1700" s="81"/>
      <c r="H1700" s="81"/>
      <c r="I1700" s="161"/>
      <c r="J1700" s="154" t="str">
        <f aca="false">IF(H1700="","",ROUNDUP(H1700*35%,0))</f>
        <v/>
      </c>
      <c r="K1700" s="113"/>
      <c r="L1700" s="113"/>
    </row>
    <row r="1701" customFormat="false" ht="12.75" hidden="false" customHeight="true" outlineLevel="0" collapsed="false">
      <c r="A1701" s="121" t="str">
        <f aca="false">IF(B1701="","",CONCATENATE(COUNTA($B$4:B1701),"."))</f>
        <v/>
      </c>
      <c r="B1701" s="112"/>
      <c r="C1701" s="112"/>
      <c r="D1701" s="81"/>
      <c r="E1701" s="81"/>
      <c r="F1701" s="81"/>
      <c r="G1701" s="81"/>
      <c r="H1701" s="81"/>
      <c r="I1701" s="161"/>
      <c r="J1701" s="154" t="str">
        <f aca="false">IF(H1701="","",ROUNDUP(H1701*35%,0))</f>
        <v/>
      </c>
      <c r="K1701" s="113"/>
      <c r="L1701" s="113"/>
    </row>
    <row r="1702" customFormat="false" ht="12.75" hidden="false" customHeight="true" outlineLevel="0" collapsed="false">
      <c r="A1702" s="121" t="str">
        <f aca="false">IF(B1702="","",CONCATENATE(COUNTA($B$4:B1702),"."))</f>
        <v/>
      </c>
      <c r="B1702" s="112"/>
      <c r="C1702" s="112"/>
      <c r="D1702" s="81"/>
      <c r="E1702" s="81"/>
      <c r="F1702" s="81"/>
      <c r="G1702" s="81"/>
      <c r="H1702" s="81"/>
      <c r="I1702" s="161"/>
      <c r="J1702" s="154" t="str">
        <f aca="false">IF(H1702="","",ROUNDUP(H1702*35%,0))</f>
        <v/>
      </c>
      <c r="K1702" s="113"/>
      <c r="L1702" s="113"/>
    </row>
    <row r="1703" customFormat="false" ht="12.75" hidden="false" customHeight="true" outlineLevel="0" collapsed="false">
      <c r="A1703" s="121" t="str">
        <f aca="false">IF(B1703="","",CONCATENATE(COUNTA($B$4:B1703),"."))</f>
        <v/>
      </c>
      <c r="B1703" s="112"/>
      <c r="C1703" s="112"/>
      <c r="D1703" s="81"/>
      <c r="E1703" s="81"/>
      <c r="F1703" s="81"/>
      <c r="G1703" s="81"/>
      <c r="H1703" s="81"/>
      <c r="I1703" s="161"/>
      <c r="J1703" s="154" t="str">
        <f aca="false">IF(H1703="","",ROUNDUP(H1703*35%,0))</f>
        <v/>
      </c>
      <c r="K1703" s="113"/>
      <c r="L1703" s="113"/>
    </row>
    <row r="1704" customFormat="false" ht="12.75" hidden="false" customHeight="true" outlineLevel="0" collapsed="false">
      <c r="A1704" s="121" t="str">
        <f aca="false">IF(B1704="","",CONCATENATE(COUNTA($B$4:B1704),"."))</f>
        <v/>
      </c>
      <c r="B1704" s="112"/>
      <c r="C1704" s="112"/>
      <c r="D1704" s="81"/>
      <c r="E1704" s="81"/>
      <c r="F1704" s="81"/>
      <c r="G1704" s="81"/>
      <c r="H1704" s="81"/>
      <c r="I1704" s="161"/>
      <c r="J1704" s="154" t="str">
        <f aca="false">IF(H1704="","",ROUNDUP(H1704*35%,0))</f>
        <v/>
      </c>
      <c r="K1704" s="113"/>
      <c r="L1704" s="113"/>
    </row>
    <row r="1705" customFormat="false" ht="12.75" hidden="false" customHeight="true" outlineLevel="0" collapsed="false">
      <c r="A1705" s="121" t="str">
        <f aca="false">IF(B1705="","",CONCATENATE(COUNTA($B$4:B1705),"."))</f>
        <v/>
      </c>
      <c r="B1705" s="112"/>
      <c r="C1705" s="112"/>
      <c r="D1705" s="81"/>
      <c r="E1705" s="81"/>
      <c r="F1705" s="81"/>
      <c r="G1705" s="81"/>
      <c r="H1705" s="81"/>
      <c r="I1705" s="161"/>
      <c r="J1705" s="154" t="str">
        <f aca="false">IF(H1705="","",ROUNDUP(H1705*35%,0))</f>
        <v/>
      </c>
      <c r="K1705" s="113"/>
      <c r="L1705" s="113"/>
    </row>
    <row r="1706" customFormat="false" ht="12.75" hidden="false" customHeight="true" outlineLevel="0" collapsed="false">
      <c r="A1706" s="121" t="str">
        <f aca="false">IF(B1706="","",CONCATENATE(COUNTA($B$4:B1706),"."))</f>
        <v/>
      </c>
      <c r="B1706" s="112"/>
      <c r="C1706" s="112"/>
      <c r="D1706" s="81"/>
      <c r="E1706" s="81"/>
      <c r="F1706" s="81"/>
      <c r="G1706" s="81"/>
      <c r="H1706" s="81"/>
      <c r="I1706" s="161"/>
      <c r="J1706" s="154" t="str">
        <f aca="false">IF(H1706="","",ROUNDUP(H1706*35%,0))</f>
        <v/>
      </c>
      <c r="K1706" s="113"/>
      <c r="L1706" s="113"/>
    </row>
    <row r="1707" customFormat="false" ht="12.75" hidden="false" customHeight="true" outlineLevel="0" collapsed="false">
      <c r="A1707" s="121" t="str">
        <f aca="false">IF(B1707="","",CONCATENATE(COUNTA($B$4:B1707),"."))</f>
        <v/>
      </c>
      <c r="B1707" s="112"/>
      <c r="C1707" s="112"/>
      <c r="D1707" s="81"/>
      <c r="E1707" s="81"/>
      <c r="F1707" s="81"/>
      <c r="G1707" s="81"/>
      <c r="H1707" s="81"/>
      <c r="I1707" s="161"/>
      <c r="J1707" s="154" t="str">
        <f aca="false">IF(H1707="","",ROUNDUP(H1707*35%,0))</f>
        <v/>
      </c>
      <c r="K1707" s="113"/>
      <c r="L1707" s="113"/>
    </row>
    <row r="1708" customFormat="false" ht="12.75" hidden="false" customHeight="true" outlineLevel="0" collapsed="false">
      <c r="A1708" s="121" t="str">
        <f aca="false">IF(B1708="","",CONCATENATE(COUNTA($B$4:B1708),"."))</f>
        <v/>
      </c>
      <c r="B1708" s="112"/>
      <c r="C1708" s="112"/>
      <c r="D1708" s="81"/>
      <c r="E1708" s="81"/>
      <c r="F1708" s="81"/>
      <c r="G1708" s="81"/>
      <c r="H1708" s="81"/>
      <c r="I1708" s="161"/>
      <c r="J1708" s="154" t="str">
        <f aca="false">IF(H1708="","",ROUNDUP(H1708*35%,0))</f>
        <v/>
      </c>
      <c r="K1708" s="113"/>
      <c r="L1708" s="113"/>
    </row>
    <row r="1709" customFormat="false" ht="12.75" hidden="false" customHeight="true" outlineLevel="0" collapsed="false">
      <c r="A1709" s="121" t="str">
        <f aca="false">IF(B1709="","",CONCATENATE(COUNTA($B$4:B1709),"."))</f>
        <v/>
      </c>
      <c r="B1709" s="112"/>
      <c r="C1709" s="112"/>
      <c r="D1709" s="81"/>
      <c r="E1709" s="81"/>
      <c r="F1709" s="81"/>
      <c r="G1709" s="81"/>
      <c r="H1709" s="81"/>
      <c r="I1709" s="161"/>
      <c r="J1709" s="154" t="str">
        <f aca="false">IF(H1709="","",ROUNDUP(H1709*35%,0))</f>
        <v/>
      </c>
      <c r="K1709" s="113"/>
      <c r="L1709" s="113"/>
    </row>
    <row r="1710" customFormat="false" ht="12.75" hidden="false" customHeight="true" outlineLevel="0" collapsed="false">
      <c r="A1710" s="121" t="str">
        <f aca="false">IF(B1710="","",CONCATENATE(COUNTA($B$4:B1710),"."))</f>
        <v/>
      </c>
      <c r="B1710" s="112"/>
      <c r="C1710" s="112"/>
      <c r="D1710" s="81"/>
      <c r="E1710" s="81"/>
      <c r="F1710" s="81"/>
      <c r="G1710" s="81"/>
      <c r="H1710" s="81"/>
      <c r="I1710" s="161"/>
      <c r="J1710" s="154" t="str">
        <f aca="false">IF(H1710="","",ROUNDUP(H1710*35%,0))</f>
        <v/>
      </c>
      <c r="K1710" s="113"/>
      <c r="L1710" s="113"/>
    </row>
    <row r="1711" customFormat="false" ht="12.75" hidden="false" customHeight="true" outlineLevel="0" collapsed="false">
      <c r="A1711" s="121" t="str">
        <f aca="false">IF(B1711="","",CONCATENATE(COUNTA($B$4:B1711),"."))</f>
        <v/>
      </c>
      <c r="B1711" s="112"/>
      <c r="C1711" s="112"/>
      <c r="D1711" s="81"/>
      <c r="E1711" s="81"/>
      <c r="F1711" s="81"/>
      <c r="G1711" s="81"/>
      <c r="H1711" s="81"/>
      <c r="I1711" s="161"/>
      <c r="J1711" s="154" t="str">
        <f aca="false">IF(H1711="","",ROUNDUP(H1711*35%,0))</f>
        <v/>
      </c>
      <c r="K1711" s="113"/>
      <c r="L1711" s="113"/>
    </row>
    <row r="1712" customFormat="false" ht="12.75" hidden="false" customHeight="true" outlineLevel="0" collapsed="false">
      <c r="A1712" s="121" t="str">
        <f aca="false">IF(B1712="","",CONCATENATE(COUNTA($B$4:B1712),"."))</f>
        <v/>
      </c>
      <c r="B1712" s="112"/>
      <c r="C1712" s="112"/>
      <c r="D1712" s="81"/>
      <c r="E1712" s="81"/>
      <c r="F1712" s="81"/>
      <c r="G1712" s="81"/>
      <c r="H1712" s="81"/>
      <c r="I1712" s="161"/>
      <c r="J1712" s="154" t="str">
        <f aca="false">IF(H1712="","",ROUNDUP(H1712*35%,0))</f>
        <v/>
      </c>
      <c r="K1712" s="113"/>
      <c r="L1712" s="113"/>
    </row>
    <row r="1713" customFormat="false" ht="12.75" hidden="false" customHeight="true" outlineLevel="0" collapsed="false">
      <c r="A1713" s="121" t="str">
        <f aca="false">IF(B1713="","",CONCATENATE(COUNTA($B$4:B1713),"."))</f>
        <v/>
      </c>
      <c r="B1713" s="112"/>
      <c r="C1713" s="112"/>
      <c r="D1713" s="81"/>
      <c r="E1713" s="81"/>
      <c r="F1713" s="81"/>
      <c r="G1713" s="81"/>
      <c r="H1713" s="81"/>
      <c r="I1713" s="161"/>
      <c r="J1713" s="154" t="str">
        <f aca="false">IF(H1713="","",ROUNDUP(H1713*35%,0))</f>
        <v/>
      </c>
      <c r="K1713" s="113"/>
      <c r="L1713" s="113"/>
    </row>
    <row r="1714" customFormat="false" ht="12.75" hidden="false" customHeight="true" outlineLevel="0" collapsed="false">
      <c r="A1714" s="121" t="str">
        <f aca="false">IF(B1714="","",CONCATENATE(COUNTA($B$4:B1714),"."))</f>
        <v/>
      </c>
      <c r="B1714" s="112"/>
      <c r="C1714" s="112"/>
      <c r="D1714" s="81"/>
      <c r="E1714" s="81"/>
      <c r="F1714" s="81"/>
      <c r="G1714" s="81"/>
      <c r="H1714" s="81"/>
      <c r="I1714" s="161"/>
      <c r="J1714" s="154" t="str">
        <f aca="false">IF(H1714="","",ROUNDUP(H1714*35%,0))</f>
        <v/>
      </c>
      <c r="K1714" s="113"/>
      <c r="L1714" s="113"/>
    </row>
    <row r="1715" customFormat="false" ht="12.75" hidden="false" customHeight="true" outlineLevel="0" collapsed="false">
      <c r="A1715" s="121" t="str">
        <f aca="false">IF(B1715="","",CONCATENATE(COUNTA($B$4:B1715),"."))</f>
        <v/>
      </c>
      <c r="B1715" s="112"/>
      <c r="C1715" s="112"/>
      <c r="D1715" s="81"/>
      <c r="E1715" s="81"/>
      <c r="F1715" s="81"/>
      <c r="G1715" s="81"/>
      <c r="H1715" s="81"/>
      <c r="I1715" s="161"/>
      <c r="J1715" s="154" t="str">
        <f aca="false">IF(H1715="","",ROUNDUP(H1715*35%,0))</f>
        <v/>
      </c>
      <c r="K1715" s="113"/>
      <c r="L1715" s="113"/>
    </row>
    <row r="1716" customFormat="false" ht="12.75" hidden="false" customHeight="true" outlineLevel="0" collapsed="false">
      <c r="A1716" s="121" t="str">
        <f aca="false">IF(B1716="","",CONCATENATE(COUNTA($B$4:B1716),"."))</f>
        <v/>
      </c>
      <c r="B1716" s="112"/>
      <c r="C1716" s="112"/>
      <c r="D1716" s="81"/>
      <c r="E1716" s="81"/>
      <c r="F1716" s="81"/>
      <c r="G1716" s="81"/>
      <c r="H1716" s="81"/>
      <c r="I1716" s="161"/>
      <c r="J1716" s="154" t="str">
        <f aca="false">IF(H1716="","",ROUNDUP(H1716*35%,0))</f>
        <v/>
      </c>
      <c r="K1716" s="113"/>
      <c r="L1716" s="113"/>
    </row>
    <row r="1717" customFormat="false" ht="12.75" hidden="false" customHeight="true" outlineLevel="0" collapsed="false">
      <c r="A1717" s="121" t="str">
        <f aca="false">IF(B1717="","",CONCATENATE(COUNTA($B$4:B1717),"."))</f>
        <v/>
      </c>
      <c r="B1717" s="112"/>
      <c r="C1717" s="112"/>
      <c r="D1717" s="81"/>
      <c r="E1717" s="81"/>
      <c r="F1717" s="81"/>
      <c r="G1717" s="81"/>
      <c r="H1717" s="81"/>
      <c r="I1717" s="161"/>
      <c r="J1717" s="154" t="str">
        <f aca="false">IF(H1717="","",ROUNDUP(H1717*35%,0))</f>
        <v/>
      </c>
      <c r="K1717" s="113"/>
      <c r="L1717" s="113"/>
    </row>
    <row r="1718" customFormat="false" ht="12.75" hidden="false" customHeight="true" outlineLevel="0" collapsed="false">
      <c r="A1718" s="121" t="str">
        <f aca="false">IF(B1718="","",CONCATENATE(COUNTA($B$4:B1718),"."))</f>
        <v/>
      </c>
      <c r="B1718" s="112"/>
      <c r="C1718" s="112"/>
      <c r="D1718" s="81"/>
      <c r="E1718" s="81"/>
      <c r="F1718" s="81"/>
      <c r="G1718" s="81"/>
      <c r="H1718" s="81"/>
      <c r="I1718" s="161"/>
      <c r="J1718" s="154" t="str">
        <f aca="false">IF(H1718="","",ROUNDUP(H1718*35%,0))</f>
        <v/>
      </c>
      <c r="K1718" s="113"/>
      <c r="L1718" s="113"/>
    </row>
    <row r="1719" customFormat="false" ht="12.75" hidden="false" customHeight="true" outlineLevel="0" collapsed="false">
      <c r="A1719" s="121" t="str">
        <f aca="false">IF(B1719="","",CONCATENATE(COUNTA($B$4:B1719),"."))</f>
        <v/>
      </c>
      <c r="B1719" s="112"/>
      <c r="C1719" s="112"/>
      <c r="D1719" s="81"/>
      <c r="E1719" s="81"/>
      <c r="F1719" s="81"/>
      <c r="G1719" s="81"/>
      <c r="H1719" s="81"/>
      <c r="I1719" s="161"/>
      <c r="J1719" s="154" t="str">
        <f aca="false">IF(H1719="","",ROUNDUP(H1719*35%,0))</f>
        <v/>
      </c>
      <c r="K1719" s="113"/>
      <c r="L1719" s="113"/>
    </row>
    <row r="1720" customFormat="false" ht="12.75" hidden="false" customHeight="true" outlineLevel="0" collapsed="false">
      <c r="A1720" s="121" t="str">
        <f aca="false">IF(B1720="","",CONCATENATE(COUNTA($B$4:B1720),"."))</f>
        <v/>
      </c>
      <c r="B1720" s="112"/>
      <c r="C1720" s="112"/>
      <c r="D1720" s="81"/>
      <c r="E1720" s="81"/>
      <c r="F1720" s="81"/>
      <c r="G1720" s="81"/>
      <c r="H1720" s="81"/>
      <c r="I1720" s="161"/>
      <c r="J1720" s="154" t="str">
        <f aca="false">IF(H1720="","",ROUNDUP(H1720*35%,0))</f>
        <v/>
      </c>
      <c r="K1720" s="113"/>
      <c r="L1720" s="113"/>
    </row>
    <row r="1721" customFormat="false" ht="12.75" hidden="false" customHeight="true" outlineLevel="0" collapsed="false">
      <c r="A1721" s="121" t="str">
        <f aca="false">IF(B1721="","",CONCATENATE(COUNTA($B$4:B1721),"."))</f>
        <v/>
      </c>
      <c r="B1721" s="112"/>
      <c r="C1721" s="112"/>
      <c r="D1721" s="81"/>
      <c r="E1721" s="81"/>
      <c r="F1721" s="81"/>
      <c r="G1721" s="81"/>
      <c r="H1721" s="81"/>
      <c r="I1721" s="161"/>
      <c r="J1721" s="154" t="str">
        <f aca="false">IF(H1721="","",ROUNDUP(H1721*35%,0))</f>
        <v/>
      </c>
      <c r="K1721" s="113"/>
      <c r="L1721" s="113"/>
    </row>
    <row r="1722" customFormat="false" ht="12.75" hidden="false" customHeight="true" outlineLevel="0" collapsed="false">
      <c r="A1722" s="121" t="str">
        <f aca="false">IF(B1722="","",CONCATENATE(COUNTA($B$4:B1722),"."))</f>
        <v/>
      </c>
      <c r="B1722" s="112"/>
      <c r="C1722" s="112"/>
      <c r="D1722" s="81"/>
      <c r="E1722" s="81"/>
      <c r="F1722" s="81"/>
      <c r="G1722" s="81"/>
      <c r="H1722" s="81"/>
      <c r="I1722" s="161"/>
      <c r="J1722" s="154" t="str">
        <f aca="false">IF(H1722="","",ROUNDUP(H1722*35%,0))</f>
        <v/>
      </c>
      <c r="K1722" s="113"/>
      <c r="L1722" s="113"/>
    </row>
    <row r="1723" customFormat="false" ht="12.75" hidden="false" customHeight="true" outlineLevel="0" collapsed="false">
      <c r="A1723" s="121" t="str">
        <f aca="false">IF(B1723="","",CONCATENATE(COUNTA($B$4:B1723),"."))</f>
        <v/>
      </c>
      <c r="B1723" s="112"/>
      <c r="C1723" s="112"/>
      <c r="D1723" s="81"/>
      <c r="E1723" s="81"/>
      <c r="F1723" s="81"/>
      <c r="G1723" s="81"/>
      <c r="H1723" s="81"/>
      <c r="I1723" s="161"/>
      <c r="J1723" s="154" t="str">
        <f aca="false">IF(H1723="","",ROUNDUP(H1723*35%,0))</f>
        <v/>
      </c>
      <c r="K1723" s="113"/>
      <c r="L1723" s="113"/>
    </row>
    <row r="1724" customFormat="false" ht="12.75" hidden="false" customHeight="true" outlineLevel="0" collapsed="false">
      <c r="A1724" s="121" t="str">
        <f aca="false">IF(B1724="","",CONCATENATE(COUNTA($B$4:B1724),"."))</f>
        <v/>
      </c>
      <c r="B1724" s="112"/>
      <c r="C1724" s="112"/>
      <c r="D1724" s="81"/>
      <c r="E1724" s="81"/>
      <c r="F1724" s="81"/>
      <c r="G1724" s="81"/>
      <c r="H1724" s="81"/>
      <c r="I1724" s="161"/>
      <c r="J1724" s="154" t="str">
        <f aca="false">IF(H1724="","",ROUNDUP(H1724*35%,0))</f>
        <v/>
      </c>
      <c r="K1724" s="113"/>
      <c r="L1724" s="113"/>
    </row>
    <row r="1725" customFormat="false" ht="12.75" hidden="false" customHeight="true" outlineLevel="0" collapsed="false">
      <c r="A1725" s="121" t="str">
        <f aca="false">IF(B1725="","",CONCATENATE(COUNTA($B$4:B1725),"."))</f>
        <v/>
      </c>
      <c r="B1725" s="112"/>
      <c r="C1725" s="112"/>
      <c r="D1725" s="81"/>
      <c r="E1725" s="81"/>
      <c r="F1725" s="81"/>
      <c r="G1725" s="81"/>
      <c r="H1725" s="81"/>
      <c r="I1725" s="161"/>
      <c r="J1725" s="154" t="str">
        <f aca="false">IF(H1725="","",ROUNDUP(H1725*35%,0))</f>
        <v/>
      </c>
      <c r="K1725" s="113"/>
      <c r="L1725" s="113"/>
    </row>
    <row r="1726" customFormat="false" ht="12.75" hidden="false" customHeight="true" outlineLevel="0" collapsed="false">
      <c r="A1726" s="121" t="str">
        <f aca="false">IF(B1726="","",CONCATENATE(COUNTA($B$4:B1726),"."))</f>
        <v/>
      </c>
      <c r="B1726" s="112"/>
      <c r="C1726" s="112"/>
      <c r="D1726" s="81"/>
      <c r="E1726" s="81"/>
      <c r="F1726" s="81"/>
      <c r="G1726" s="81"/>
      <c r="H1726" s="81"/>
      <c r="I1726" s="161"/>
      <c r="J1726" s="154" t="str">
        <f aca="false">IF(H1726="","",ROUNDUP(H1726*35%,0))</f>
        <v/>
      </c>
      <c r="K1726" s="113"/>
      <c r="L1726" s="113"/>
    </row>
    <row r="1727" customFormat="false" ht="12.75" hidden="false" customHeight="true" outlineLevel="0" collapsed="false">
      <c r="A1727" s="121" t="str">
        <f aca="false">IF(B1727="","",CONCATENATE(COUNTA($B$4:B1727),"."))</f>
        <v/>
      </c>
      <c r="B1727" s="112"/>
      <c r="C1727" s="112"/>
      <c r="D1727" s="81"/>
      <c r="E1727" s="81"/>
      <c r="F1727" s="81"/>
      <c r="G1727" s="81"/>
      <c r="H1727" s="81"/>
      <c r="I1727" s="161"/>
      <c r="J1727" s="154" t="str">
        <f aca="false">IF(H1727="","",ROUNDUP(H1727*35%,0))</f>
        <v/>
      </c>
      <c r="K1727" s="113"/>
      <c r="L1727" s="113"/>
    </row>
    <row r="1728" customFormat="false" ht="12.75" hidden="false" customHeight="true" outlineLevel="0" collapsed="false">
      <c r="A1728" s="121" t="str">
        <f aca="false">IF(B1728="","",CONCATENATE(COUNTA($B$4:B1728),"."))</f>
        <v/>
      </c>
      <c r="B1728" s="112"/>
      <c r="C1728" s="112"/>
      <c r="D1728" s="81"/>
      <c r="E1728" s="81"/>
      <c r="F1728" s="81"/>
      <c r="G1728" s="81"/>
      <c r="H1728" s="81"/>
      <c r="I1728" s="161"/>
      <c r="J1728" s="154" t="str">
        <f aca="false">IF(H1728="","",ROUNDUP(H1728*35%,0))</f>
        <v/>
      </c>
      <c r="K1728" s="113"/>
      <c r="L1728" s="113"/>
    </row>
    <row r="1729" customFormat="false" ht="12.75" hidden="false" customHeight="true" outlineLevel="0" collapsed="false">
      <c r="A1729" s="121" t="str">
        <f aca="false">IF(B1729="","",CONCATENATE(COUNTA($B$4:B1729),"."))</f>
        <v/>
      </c>
      <c r="B1729" s="112"/>
      <c r="C1729" s="112"/>
      <c r="D1729" s="81"/>
      <c r="E1729" s="81"/>
      <c r="F1729" s="81"/>
      <c r="G1729" s="81"/>
      <c r="H1729" s="81"/>
      <c r="I1729" s="161"/>
      <c r="J1729" s="154" t="str">
        <f aca="false">IF(H1729="","",ROUNDUP(H1729*35%,0))</f>
        <v/>
      </c>
      <c r="K1729" s="113"/>
      <c r="L1729" s="113"/>
    </row>
    <row r="1730" customFormat="false" ht="12.75" hidden="false" customHeight="true" outlineLevel="0" collapsed="false">
      <c r="A1730" s="121" t="str">
        <f aca="false">IF(B1730="","",CONCATENATE(COUNTA($B$4:B1730),"."))</f>
        <v/>
      </c>
      <c r="B1730" s="112"/>
      <c r="C1730" s="112"/>
      <c r="D1730" s="81"/>
      <c r="E1730" s="81"/>
      <c r="F1730" s="81"/>
      <c r="G1730" s="81"/>
      <c r="H1730" s="81"/>
      <c r="I1730" s="161"/>
      <c r="J1730" s="154" t="str">
        <f aca="false">IF(H1730="","",ROUNDUP(H1730*35%,0))</f>
        <v/>
      </c>
      <c r="K1730" s="113"/>
      <c r="L1730" s="113"/>
    </row>
    <row r="1731" customFormat="false" ht="12.75" hidden="false" customHeight="true" outlineLevel="0" collapsed="false">
      <c r="A1731" s="121" t="str">
        <f aca="false">IF(B1731="","",CONCATENATE(COUNTA($B$4:B1731),"."))</f>
        <v/>
      </c>
      <c r="B1731" s="112"/>
      <c r="C1731" s="112"/>
      <c r="D1731" s="81"/>
      <c r="E1731" s="81"/>
      <c r="F1731" s="81"/>
      <c r="G1731" s="81"/>
      <c r="H1731" s="81"/>
      <c r="I1731" s="161"/>
      <c r="J1731" s="154" t="str">
        <f aca="false">IF(H1731="","",ROUNDUP(H1731*35%,0))</f>
        <v/>
      </c>
      <c r="K1731" s="113"/>
      <c r="L1731" s="113"/>
    </row>
    <row r="1732" customFormat="false" ht="12.75" hidden="false" customHeight="true" outlineLevel="0" collapsed="false">
      <c r="A1732" s="121" t="str">
        <f aca="false">IF(B1732="","",CONCATENATE(COUNTA($B$4:B1732),"."))</f>
        <v/>
      </c>
      <c r="B1732" s="112"/>
      <c r="C1732" s="112"/>
      <c r="D1732" s="81"/>
      <c r="E1732" s="81"/>
      <c r="F1732" s="81"/>
      <c r="G1732" s="81"/>
      <c r="H1732" s="81"/>
      <c r="I1732" s="161"/>
      <c r="J1732" s="154" t="str">
        <f aca="false">IF(H1732="","",ROUNDUP(H1732*35%,0))</f>
        <v/>
      </c>
      <c r="K1732" s="113"/>
      <c r="L1732" s="113"/>
    </row>
    <row r="1733" customFormat="false" ht="12.75" hidden="false" customHeight="true" outlineLevel="0" collapsed="false">
      <c r="A1733" s="121" t="str">
        <f aca="false">IF(B1733="","",CONCATENATE(COUNTA($B$4:B1733),"."))</f>
        <v/>
      </c>
      <c r="B1733" s="112"/>
      <c r="C1733" s="112"/>
      <c r="D1733" s="81"/>
      <c r="E1733" s="81"/>
      <c r="F1733" s="81"/>
      <c r="G1733" s="81"/>
      <c r="H1733" s="81"/>
      <c r="I1733" s="161"/>
      <c r="J1733" s="154" t="str">
        <f aca="false">IF(H1733="","",ROUNDUP(H1733*35%,0))</f>
        <v/>
      </c>
      <c r="K1733" s="113"/>
      <c r="L1733" s="113"/>
    </row>
    <row r="1734" customFormat="false" ht="12.75" hidden="false" customHeight="true" outlineLevel="0" collapsed="false">
      <c r="A1734" s="121" t="str">
        <f aca="false">IF(B1734="","",CONCATENATE(COUNTA($B$4:B1734),"."))</f>
        <v/>
      </c>
      <c r="B1734" s="112"/>
      <c r="C1734" s="112"/>
      <c r="D1734" s="81"/>
      <c r="E1734" s="81"/>
      <c r="F1734" s="81"/>
      <c r="G1734" s="81"/>
      <c r="H1734" s="81"/>
      <c r="I1734" s="161"/>
      <c r="J1734" s="154" t="str">
        <f aca="false">IF(H1734="","",ROUNDUP(H1734*35%,0))</f>
        <v/>
      </c>
      <c r="K1734" s="113"/>
      <c r="L1734" s="113"/>
    </row>
    <row r="1735" customFormat="false" ht="12.75" hidden="false" customHeight="true" outlineLevel="0" collapsed="false">
      <c r="A1735" s="121" t="str">
        <f aca="false">IF(B1735="","",CONCATENATE(COUNTA($B$4:B1735),"."))</f>
        <v/>
      </c>
      <c r="B1735" s="112"/>
      <c r="C1735" s="112"/>
      <c r="D1735" s="81"/>
      <c r="E1735" s="81"/>
      <c r="F1735" s="81"/>
      <c r="G1735" s="81"/>
      <c r="H1735" s="81"/>
      <c r="I1735" s="161"/>
      <c r="J1735" s="154" t="str">
        <f aca="false">IF(H1735="","",ROUNDUP(H1735*35%,0))</f>
        <v/>
      </c>
      <c r="K1735" s="113"/>
      <c r="L1735" s="113"/>
    </row>
    <row r="1736" customFormat="false" ht="12.75" hidden="false" customHeight="true" outlineLevel="0" collapsed="false">
      <c r="A1736" s="121" t="str">
        <f aca="false">IF(B1736="","",CONCATENATE(COUNTA($B$4:B1736),"."))</f>
        <v/>
      </c>
      <c r="B1736" s="112"/>
      <c r="C1736" s="112"/>
      <c r="D1736" s="81"/>
      <c r="E1736" s="81"/>
      <c r="F1736" s="81"/>
      <c r="G1736" s="81"/>
      <c r="H1736" s="81"/>
      <c r="I1736" s="161"/>
      <c r="J1736" s="154" t="str">
        <f aca="false">IF(H1736="","",ROUNDUP(H1736*35%,0))</f>
        <v/>
      </c>
      <c r="K1736" s="113"/>
      <c r="L1736" s="113"/>
    </row>
    <row r="1737" customFormat="false" ht="12.75" hidden="false" customHeight="true" outlineLevel="0" collapsed="false">
      <c r="A1737" s="121" t="str">
        <f aca="false">IF(B1737="","",CONCATENATE(COUNTA($B$4:B1737),"."))</f>
        <v/>
      </c>
      <c r="B1737" s="112"/>
      <c r="C1737" s="112"/>
      <c r="D1737" s="81"/>
      <c r="E1737" s="81"/>
      <c r="F1737" s="81"/>
      <c r="G1737" s="81"/>
      <c r="H1737" s="81"/>
      <c r="I1737" s="161"/>
      <c r="J1737" s="154" t="str">
        <f aca="false">IF(H1737="","",ROUNDUP(H1737*35%,0))</f>
        <v/>
      </c>
      <c r="K1737" s="113"/>
      <c r="L1737" s="113"/>
    </row>
    <row r="1738" customFormat="false" ht="12.75" hidden="false" customHeight="true" outlineLevel="0" collapsed="false">
      <c r="A1738" s="121" t="str">
        <f aca="false">IF(B1738="","",CONCATENATE(COUNTA($B$4:B1738),"."))</f>
        <v/>
      </c>
      <c r="B1738" s="112"/>
      <c r="C1738" s="112"/>
      <c r="D1738" s="81"/>
      <c r="E1738" s="81"/>
      <c r="F1738" s="81"/>
      <c r="G1738" s="81"/>
      <c r="H1738" s="81"/>
      <c r="I1738" s="161"/>
      <c r="J1738" s="154" t="str">
        <f aca="false">IF(H1738="","",ROUNDUP(H1738*35%,0))</f>
        <v/>
      </c>
      <c r="K1738" s="113"/>
      <c r="L1738" s="113"/>
    </row>
    <row r="1739" customFormat="false" ht="12.75" hidden="false" customHeight="true" outlineLevel="0" collapsed="false">
      <c r="A1739" s="121" t="str">
        <f aca="false">IF(B1739="","",CONCATENATE(COUNTA($B$4:B1739),"."))</f>
        <v/>
      </c>
      <c r="B1739" s="112"/>
      <c r="C1739" s="112"/>
      <c r="D1739" s="81"/>
      <c r="E1739" s="81"/>
      <c r="F1739" s="81"/>
      <c r="G1739" s="81"/>
      <c r="H1739" s="81"/>
      <c r="I1739" s="161"/>
      <c r="J1739" s="154" t="str">
        <f aca="false">IF(H1739="","",ROUNDUP(H1739*35%,0))</f>
        <v/>
      </c>
      <c r="K1739" s="113"/>
      <c r="L1739" s="113"/>
    </row>
    <row r="1740" customFormat="false" ht="12.75" hidden="false" customHeight="true" outlineLevel="0" collapsed="false">
      <c r="A1740" s="121" t="str">
        <f aca="false">IF(B1740="","",CONCATENATE(COUNTA($B$4:B1740),"."))</f>
        <v/>
      </c>
      <c r="B1740" s="112"/>
      <c r="C1740" s="112"/>
      <c r="D1740" s="81"/>
      <c r="E1740" s="81"/>
      <c r="F1740" s="81"/>
      <c r="G1740" s="81"/>
      <c r="H1740" s="81"/>
      <c r="I1740" s="161"/>
      <c r="J1740" s="154" t="str">
        <f aca="false">IF(H1740="","",ROUNDUP(H1740*35%,0))</f>
        <v/>
      </c>
      <c r="K1740" s="113"/>
      <c r="L1740" s="113"/>
    </row>
    <row r="1741" customFormat="false" ht="12.75" hidden="false" customHeight="true" outlineLevel="0" collapsed="false">
      <c r="A1741" s="121" t="str">
        <f aca="false">IF(B1741="","",CONCATENATE(COUNTA($B$4:B1741),"."))</f>
        <v/>
      </c>
      <c r="B1741" s="112"/>
      <c r="C1741" s="112"/>
      <c r="D1741" s="81"/>
      <c r="E1741" s="81"/>
      <c r="F1741" s="81"/>
      <c r="G1741" s="81"/>
      <c r="H1741" s="81"/>
      <c r="I1741" s="161"/>
      <c r="J1741" s="154" t="str">
        <f aca="false">IF(H1741="","",ROUNDUP(H1741*35%,0))</f>
        <v/>
      </c>
      <c r="K1741" s="113"/>
      <c r="L1741" s="113"/>
    </row>
    <row r="1742" customFormat="false" ht="12.75" hidden="false" customHeight="true" outlineLevel="0" collapsed="false">
      <c r="A1742" s="121" t="str">
        <f aca="false">IF(B1742="","",CONCATENATE(COUNTA($B$4:B1742),"."))</f>
        <v/>
      </c>
      <c r="B1742" s="112"/>
      <c r="C1742" s="112"/>
      <c r="D1742" s="81"/>
      <c r="E1742" s="81"/>
      <c r="F1742" s="81"/>
      <c r="G1742" s="81"/>
      <c r="H1742" s="81"/>
      <c r="I1742" s="161"/>
      <c r="J1742" s="154" t="str">
        <f aca="false">IF(H1742="","",ROUNDUP(H1742*35%,0))</f>
        <v/>
      </c>
      <c r="K1742" s="113"/>
      <c r="L1742" s="113"/>
    </row>
    <row r="1743" customFormat="false" ht="12.75" hidden="false" customHeight="true" outlineLevel="0" collapsed="false">
      <c r="A1743" s="121" t="str">
        <f aca="false">IF(B1743="","",CONCATENATE(COUNTA($B$4:B1743),"."))</f>
        <v/>
      </c>
      <c r="B1743" s="112"/>
      <c r="C1743" s="112"/>
      <c r="D1743" s="81"/>
      <c r="E1743" s="81"/>
      <c r="F1743" s="81"/>
      <c r="G1743" s="81"/>
      <c r="H1743" s="81"/>
      <c r="I1743" s="161"/>
      <c r="J1743" s="154" t="str">
        <f aca="false">IF(H1743="","",ROUNDUP(H1743*35%,0))</f>
        <v/>
      </c>
      <c r="K1743" s="113"/>
      <c r="L1743" s="113"/>
    </row>
    <row r="1744" customFormat="false" ht="12.75" hidden="false" customHeight="true" outlineLevel="0" collapsed="false">
      <c r="A1744" s="121" t="str">
        <f aca="false">IF(B1744="","",CONCATENATE(COUNTA($B$4:B1744),"."))</f>
        <v/>
      </c>
      <c r="B1744" s="112"/>
      <c r="C1744" s="112"/>
      <c r="D1744" s="81"/>
      <c r="E1744" s="81"/>
      <c r="F1744" s="81"/>
      <c r="G1744" s="81"/>
      <c r="H1744" s="81"/>
      <c r="I1744" s="161"/>
      <c r="J1744" s="154" t="str">
        <f aca="false">IF(H1744="","",ROUNDUP(H1744*35%,0))</f>
        <v/>
      </c>
      <c r="K1744" s="113"/>
      <c r="L1744" s="113"/>
    </row>
    <row r="1745" customFormat="false" ht="12.75" hidden="false" customHeight="true" outlineLevel="0" collapsed="false">
      <c r="A1745" s="121" t="str">
        <f aca="false">IF(B1745="","",CONCATENATE(COUNTA($B$4:B1745),"."))</f>
        <v/>
      </c>
      <c r="B1745" s="112"/>
      <c r="C1745" s="112"/>
      <c r="D1745" s="81"/>
      <c r="E1745" s="81"/>
      <c r="F1745" s="81"/>
      <c r="G1745" s="81"/>
      <c r="H1745" s="81"/>
      <c r="I1745" s="161"/>
      <c r="J1745" s="154" t="str">
        <f aca="false">IF(H1745="","",ROUNDUP(H1745*35%,0))</f>
        <v/>
      </c>
      <c r="K1745" s="113"/>
      <c r="L1745" s="113"/>
    </row>
    <row r="1746" customFormat="false" ht="12.75" hidden="false" customHeight="true" outlineLevel="0" collapsed="false">
      <c r="A1746" s="121" t="str">
        <f aca="false">IF(B1746="","",CONCATENATE(COUNTA($B$4:B1746),"."))</f>
        <v/>
      </c>
      <c r="B1746" s="112"/>
      <c r="C1746" s="112"/>
      <c r="D1746" s="81"/>
      <c r="E1746" s="81"/>
      <c r="F1746" s="81"/>
      <c r="G1746" s="81"/>
      <c r="H1746" s="81"/>
      <c r="I1746" s="161"/>
      <c r="J1746" s="154" t="str">
        <f aca="false">IF(H1746="","",ROUNDUP(H1746*35%,0))</f>
        <v/>
      </c>
      <c r="K1746" s="113"/>
      <c r="L1746" s="113"/>
    </row>
    <row r="1747" customFormat="false" ht="12.75" hidden="false" customHeight="true" outlineLevel="0" collapsed="false">
      <c r="A1747" s="121" t="str">
        <f aca="false">IF(B1747="","",CONCATENATE(COUNTA($B$4:B1747),"."))</f>
        <v/>
      </c>
      <c r="B1747" s="112"/>
      <c r="C1747" s="112"/>
      <c r="D1747" s="81"/>
      <c r="E1747" s="81"/>
      <c r="F1747" s="81"/>
      <c r="G1747" s="81"/>
      <c r="H1747" s="81"/>
      <c r="I1747" s="161"/>
      <c r="J1747" s="154" t="str">
        <f aca="false">IF(H1747="","",ROUNDUP(H1747*35%,0))</f>
        <v/>
      </c>
      <c r="K1747" s="113"/>
      <c r="L1747" s="113"/>
    </row>
    <row r="1748" customFormat="false" ht="12.75" hidden="false" customHeight="true" outlineLevel="0" collapsed="false">
      <c r="A1748" s="121" t="str">
        <f aca="false">IF(B1748="","",CONCATENATE(COUNTA($B$4:B1748),"."))</f>
        <v/>
      </c>
      <c r="B1748" s="112"/>
      <c r="C1748" s="112"/>
      <c r="D1748" s="81"/>
      <c r="E1748" s="81"/>
      <c r="F1748" s="81"/>
      <c r="G1748" s="81"/>
      <c r="H1748" s="81"/>
      <c r="I1748" s="161"/>
      <c r="J1748" s="154" t="str">
        <f aca="false">IF(H1748="","",ROUNDUP(H1748*35%,0))</f>
        <v/>
      </c>
      <c r="K1748" s="113"/>
      <c r="L1748" s="113"/>
    </row>
    <row r="1749" customFormat="false" ht="12.75" hidden="false" customHeight="true" outlineLevel="0" collapsed="false">
      <c r="A1749" s="121" t="str">
        <f aca="false">IF(B1749="","",CONCATENATE(COUNTA($B$4:B1749),"."))</f>
        <v/>
      </c>
      <c r="B1749" s="112"/>
      <c r="C1749" s="112"/>
      <c r="D1749" s="81"/>
      <c r="E1749" s="81"/>
      <c r="F1749" s="81"/>
      <c r="G1749" s="81"/>
      <c r="H1749" s="81"/>
      <c r="I1749" s="161"/>
      <c r="J1749" s="154" t="str">
        <f aca="false">IF(H1749="","",ROUNDUP(H1749*35%,0))</f>
        <v/>
      </c>
      <c r="K1749" s="113"/>
      <c r="L1749" s="113"/>
    </row>
    <row r="1750" customFormat="false" ht="12.75" hidden="false" customHeight="true" outlineLevel="0" collapsed="false">
      <c r="A1750" s="121" t="str">
        <f aca="false">IF(B1750="","",CONCATENATE(COUNTA($B$4:B1750),"."))</f>
        <v/>
      </c>
      <c r="B1750" s="112"/>
      <c r="C1750" s="112"/>
      <c r="D1750" s="81"/>
      <c r="E1750" s="81"/>
      <c r="F1750" s="81"/>
      <c r="G1750" s="81"/>
      <c r="H1750" s="81"/>
      <c r="I1750" s="161"/>
      <c r="J1750" s="154" t="str">
        <f aca="false">IF(H1750="","",ROUNDUP(H1750*35%,0))</f>
        <v/>
      </c>
      <c r="K1750" s="113"/>
      <c r="L1750" s="113"/>
    </row>
    <row r="1751" customFormat="false" ht="12.75" hidden="false" customHeight="true" outlineLevel="0" collapsed="false">
      <c r="A1751" s="121" t="str">
        <f aca="false">IF(B1751="","",CONCATENATE(COUNTA($B$4:B1751),"."))</f>
        <v/>
      </c>
      <c r="B1751" s="112"/>
      <c r="C1751" s="112"/>
      <c r="D1751" s="81"/>
      <c r="E1751" s="81"/>
      <c r="F1751" s="81"/>
      <c r="G1751" s="81"/>
      <c r="H1751" s="81"/>
      <c r="I1751" s="161"/>
      <c r="J1751" s="154" t="str">
        <f aca="false">IF(H1751="","",ROUNDUP(H1751*35%,0))</f>
        <v/>
      </c>
      <c r="K1751" s="113"/>
      <c r="L1751" s="113"/>
    </row>
    <row r="1752" customFormat="false" ht="12.75" hidden="false" customHeight="true" outlineLevel="0" collapsed="false">
      <c r="A1752" s="121" t="str">
        <f aca="false">IF(B1752="","",CONCATENATE(COUNTA($B$4:B1752),"."))</f>
        <v/>
      </c>
      <c r="B1752" s="112"/>
      <c r="C1752" s="112"/>
      <c r="D1752" s="81"/>
      <c r="E1752" s="81"/>
      <c r="F1752" s="81"/>
      <c r="G1752" s="81"/>
      <c r="H1752" s="81"/>
      <c r="I1752" s="161"/>
      <c r="J1752" s="154" t="str">
        <f aca="false">IF(H1752="","",ROUNDUP(H1752*35%,0))</f>
        <v/>
      </c>
      <c r="K1752" s="113"/>
      <c r="L1752" s="113"/>
    </row>
    <row r="1753" customFormat="false" ht="12.75" hidden="false" customHeight="true" outlineLevel="0" collapsed="false">
      <c r="A1753" s="121" t="str">
        <f aca="false">IF(B1753="","",CONCATENATE(COUNTA($B$4:B1753),"."))</f>
        <v/>
      </c>
      <c r="B1753" s="112"/>
      <c r="C1753" s="112"/>
      <c r="D1753" s="81"/>
      <c r="E1753" s="81"/>
      <c r="F1753" s="81"/>
      <c r="G1753" s="81"/>
      <c r="H1753" s="81"/>
      <c r="I1753" s="161"/>
      <c r="J1753" s="154" t="str">
        <f aca="false">IF(H1753="","",ROUNDUP(H1753*35%,0))</f>
        <v/>
      </c>
      <c r="K1753" s="113"/>
      <c r="L1753" s="113"/>
    </row>
    <row r="1754" customFormat="false" ht="12.75" hidden="false" customHeight="true" outlineLevel="0" collapsed="false">
      <c r="A1754" s="121" t="str">
        <f aca="false">IF(B1754="","",CONCATENATE(COUNTA($B$4:B1754),"."))</f>
        <v/>
      </c>
      <c r="B1754" s="112"/>
      <c r="C1754" s="112"/>
      <c r="D1754" s="81"/>
      <c r="E1754" s="81"/>
      <c r="F1754" s="81"/>
      <c r="G1754" s="81"/>
      <c r="H1754" s="81"/>
      <c r="I1754" s="161"/>
      <c r="J1754" s="154" t="str">
        <f aca="false">IF(H1754="","",ROUNDUP(H1754*35%,0))</f>
        <v/>
      </c>
      <c r="K1754" s="113"/>
      <c r="L1754" s="113"/>
    </row>
    <row r="1755" customFormat="false" ht="12.75" hidden="false" customHeight="true" outlineLevel="0" collapsed="false">
      <c r="A1755" s="121" t="str">
        <f aca="false">IF(B1755="","",CONCATENATE(COUNTA($B$4:B1755),"."))</f>
        <v/>
      </c>
      <c r="B1755" s="112"/>
      <c r="C1755" s="112"/>
      <c r="D1755" s="81"/>
      <c r="E1755" s="81"/>
      <c r="F1755" s="81"/>
      <c r="G1755" s="81"/>
      <c r="H1755" s="81"/>
      <c r="I1755" s="161"/>
      <c r="J1755" s="154" t="str">
        <f aca="false">IF(H1755="","",ROUNDUP(H1755*35%,0))</f>
        <v/>
      </c>
      <c r="K1755" s="113"/>
      <c r="L1755" s="113"/>
    </row>
    <row r="1756" customFormat="false" ht="12.75" hidden="false" customHeight="true" outlineLevel="0" collapsed="false">
      <c r="A1756" s="121" t="str">
        <f aca="false">IF(B1756="","",CONCATENATE(COUNTA($B$4:B1756),"."))</f>
        <v/>
      </c>
      <c r="B1756" s="112"/>
      <c r="C1756" s="112"/>
      <c r="D1756" s="81"/>
      <c r="E1756" s="81"/>
      <c r="F1756" s="81"/>
      <c r="G1756" s="81"/>
      <c r="H1756" s="81"/>
      <c r="I1756" s="161"/>
      <c r="J1756" s="154" t="str">
        <f aca="false">IF(H1756="","",ROUNDUP(H1756*35%,0))</f>
        <v/>
      </c>
      <c r="K1756" s="113"/>
      <c r="L1756" s="113"/>
    </row>
    <row r="1757" customFormat="false" ht="12.75" hidden="false" customHeight="true" outlineLevel="0" collapsed="false">
      <c r="A1757" s="121" t="str">
        <f aca="false">IF(B1757="","",CONCATENATE(COUNTA($B$4:B1757),"."))</f>
        <v/>
      </c>
      <c r="B1757" s="112"/>
      <c r="C1757" s="112"/>
      <c r="D1757" s="81"/>
      <c r="E1757" s="81"/>
      <c r="F1757" s="81"/>
      <c r="G1757" s="81"/>
      <c r="H1757" s="81"/>
      <c r="I1757" s="161"/>
      <c r="J1757" s="154" t="str">
        <f aca="false">IF(H1757="","",ROUNDUP(H1757*35%,0))</f>
        <v/>
      </c>
      <c r="K1757" s="113"/>
      <c r="L1757" s="113"/>
    </row>
    <row r="1758" customFormat="false" ht="12.75" hidden="false" customHeight="true" outlineLevel="0" collapsed="false">
      <c r="A1758" s="121" t="str">
        <f aca="false">IF(B1758="","",CONCATENATE(COUNTA($B$4:B1758),"."))</f>
        <v/>
      </c>
      <c r="B1758" s="112"/>
      <c r="C1758" s="112"/>
      <c r="D1758" s="81"/>
      <c r="E1758" s="81"/>
      <c r="F1758" s="81"/>
      <c r="G1758" s="81"/>
      <c r="H1758" s="81"/>
      <c r="I1758" s="161"/>
      <c r="J1758" s="154" t="str">
        <f aca="false">IF(H1758="","",ROUNDUP(H1758*35%,0))</f>
        <v/>
      </c>
      <c r="K1758" s="113"/>
      <c r="L1758" s="113"/>
    </row>
    <row r="1759" customFormat="false" ht="12.75" hidden="false" customHeight="true" outlineLevel="0" collapsed="false">
      <c r="A1759" s="121" t="str">
        <f aca="false">IF(B1759="","",CONCATENATE(COUNTA($B$4:B1759),"."))</f>
        <v/>
      </c>
      <c r="B1759" s="112"/>
      <c r="C1759" s="112"/>
      <c r="D1759" s="81"/>
      <c r="E1759" s="81"/>
      <c r="F1759" s="81"/>
      <c r="G1759" s="81"/>
      <c r="H1759" s="81"/>
      <c r="I1759" s="161"/>
      <c r="J1759" s="154" t="str">
        <f aca="false">IF(H1759="","",ROUNDUP(H1759*35%,0))</f>
        <v/>
      </c>
      <c r="K1759" s="113"/>
      <c r="L1759" s="113"/>
    </row>
    <row r="1760" customFormat="false" ht="12.75" hidden="false" customHeight="true" outlineLevel="0" collapsed="false">
      <c r="A1760" s="121" t="str">
        <f aca="false">IF(B1760="","",CONCATENATE(COUNTA($B$4:B1760),"."))</f>
        <v/>
      </c>
      <c r="B1760" s="112"/>
      <c r="C1760" s="112"/>
      <c r="D1760" s="81"/>
      <c r="E1760" s="81"/>
      <c r="F1760" s="81"/>
      <c r="G1760" s="81"/>
      <c r="H1760" s="81"/>
      <c r="I1760" s="161"/>
      <c r="J1760" s="154" t="str">
        <f aca="false">IF(H1760="","",ROUNDUP(H1760*35%,0))</f>
        <v/>
      </c>
      <c r="K1760" s="113"/>
      <c r="L1760" s="113"/>
    </row>
    <row r="1761" customFormat="false" ht="12.75" hidden="false" customHeight="true" outlineLevel="0" collapsed="false">
      <c r="A1761" s="121" t="str">
        <f aca="false">IF(B1761="","",CONCATENATE(COUNTA($B$4:B1761),"."))</f>
        <v/>
      </c>
      <c r="B1761" s="112"/>
      <c r="C1761" s="112"/>
      <c r="D1761" s="81"/>
      <c r="E1761" s="81"/>
      <c r="F1761" s="81"/>
      <c r="G1761" s="81"/>
      <c r="H1761" s="81"/>
      <c r="I1761" s="161"/>
      <c r="J1761" s="154" t="str">
        <f aca="false">IF(H1761="","",ROUNDUP(H1761*35%,0))</f>
        <v/>
      </c>
      <c r="K1761" s="113"/>
      <c r="L1761" s="113"/>
    </row>
    <row r="1762" customFormat="false" ht="12.75" hidden="false" customHeight="true" outlineLevel="0" collapsed="false">
      <c r="A1762" s="121" t="str">
        <f aca="false">IF(B1762="","",CONCATENATE(COUNTA($B$4:B1762),"."))</f>
        <v/>
      </c>
      <c r="B1762" s="112"/>
      <c r="C1762" s="112"/>
      <c r="D1762" s="81"/>
      <c r="E1762" s="81"/>
      <c r="F1762" s="81"/>
      <c r="G1762" s="81"/>
      <c r="H1762" s="81"/>
      <c r="I1762" s="161"/>
      <c r="J1762" s="154" t="str">
        <f aca="false">IF(H1762="","",ROUNDUP(H1762*35%,0))</f>
        <v/>
      </c>
      <c r="K1762" s="113"/>
      <c r="L1762" s="113"/>
    </row>
    <row r="1763" customFormat="false" ht="12.75" hidden="false" customHeight="true" outlineLevel="0" collapsed="false">
      <c r="A1763" s="121" t="str">
        <f aca="false">IF(B1763="","",CONCATENATE(COUNTA($B$4:B1763),"."))</f>
        <v/>
      </c>
      <c r="B1763" s="112"/>
      <c r="C1763" s="112"/>
      <c r="D1763" s="81"/>
      <c r="E1763" s="81"/>
      <c r="F1763" s="81"/>
      <c r="G1763" s="81"/>
      <c r="H1763" s="81"/>
      <c r="I1763" s="161"/>
      <c r="J1763" s="154" t="str">
        <f aca="false">IF(H1763="","",ROUNDUP(H1763*35%,0))</f>
        <v/>
      </c>
      <c r="K1763" s="113"/>
      <c r="L1763" s="113"/>
    </row>
    <row r="1764" customFormat="false" ht="12.75" hidden="false" customHeight="true" outlineLevel="0" collapsed="false">
      <c r="A1764" s="121" t="str">
        <f aca="false">IF(B1764="","",CONCATENATE(COUNTA($B$4:B1764),"."))</f>
        <v/>
      </c>
      <c r="B1764" s="112"/>
      <c r="C1764" s="112"/>
      <c r="D1764" s="81"/>
      <c r="E1764" s="81"/>
      <c r="F1764" s="81"/>
      <c r="G1764" s="81"/>
      <c r="H1764" s="81"/>
      <c r="I1764" s="161"/>
      <c r="J1764" s="154" t="str">
        <f aca="false">IF(H1764="","",ROUNDUP(H1764*35%,0))</f>
        <v/>
      </c>
      <c r="K1764" s="113"/>
      <c r="L1764" s="113"/>
    </row>
    <row r="1765" customFormat="false" ht="12.75" hidden="false" customHeight="true" outlineLevel="0" collapsed="false">
      <c r="A1765" s="121" t="str">
        <f aca="false">IF(B1765="","",CONCATENATE(COUNTA($B$4:B1765),"."))</f>
        <v/>
      </c>
      <c r="B1765" s="112"/>
      <c r="C1765" s="112"/>
      <c r="D1765" s="81"/>
      <c r="E1765" s="81"/>
      <c r="F1765" s="81"/>
      <c r="G1765" s="81"/>
      <c r="H1765" s="81"/>
      <c r="I1765" s="161"/>
      <c r="J1765" s="154" t="str">
        <f aca="false">IF(H1765="","",ROUNDUP(H1765*35%,0))</f>
        <v/>
      </c>
      <c r="K1765" s="113"/>
      <c r="L1765" s="113"/>
    </row>
    <row r="1766" customFormat="false" ht="12.75" hidden="false" customHeight="true" outlineLevel="0" collapsed="false">
      <c r="A1766" s="121" t="str">
        <f aca="false">IF(B1766="","",CONCATENATE(COUNTA($B$4:B1766),"."))</f>
        <v/>
      </c>
      <c r="B1766" s="112"/>
      <c r="C1766" s="112"/>
      <c r="D1766" s="81"/>
      <c r="E1766" s="81"/>
      <c r="F1766" s="81"/>
      <c r="G1766" s="81"/>
      <c r="H1766" s="81"/>
      <c r="I1766" s="161"/>
      <c r="J1766" s="154" t="str">
        <f aca="false">IF(H1766="","",ROUNDUP(H1766*35%,0))</f>
        <v/>
      </c>
      <c r="K1766" s="113"/>
      <c r="L1766" s="113"/>
    </row>
    <row r="1767" customFormat="false" ht="12.75" hidden="false" customHeight="true" outlineLevel="0" collapsed="false">
      <c r="A1767" s="121" t="str">
        <f aca="false">IF(B1767="","",CONCATENATE(COUNTA($B$4:B1767),"."))</f>
        <v/>
      </c>
      <c r="B1767" s="112"/>
      <c r="C1767" s="112"/>
      <c r="D1767" s="81"/>
      <c r="E1767" s="81"/>
      <c r="F1767" s="81"/>
      <c r="G1767" s="81"/>
      <c r="H1767" s="81"/>
      <c r="I1767" s="161"/>
      <c r="J1767" s="154" t="str">
        <f aca="false">IF(H1767="","",ROUNDUP(H1767*35%,0))</f>
        <v/>
      </c>
      <c r="K1767" s="113"/>
      <c r="L1767" s="113"/>
    </row>
    <row r="1768" customFormat="false" ht="12.75" hidden="false" customHeight="true" outlineLevel="0" collapsed="false">
      <c r="A1768" s="121" t="str">
        <f aca="false">IF(B1768="","",CONCATENATE(COUNTA($B$4:B1768),"."))</f>
        <v/>
      </c>
      <c r="B1768" s="112"/>
      <c r="C1768" s="112"/>
      <c r="D1768" s="81"/>
      <c r="E1768" s="81"/>
      <c r="F1768" s="81"/>
      <c r="G1768" s="81"/>
      <c r="H1768" s="81"/>
      <c r="I1768" s="161"/>
      <c r="J1768" s="154" t="str">
        <f aca="false">IF(H1768="","",ROUNDUP(H1768*35%,0))</f>
        <v/>
      </c>
      <c r="K1768" s="113"/>
      <c r="L1768" s="113"/>
    </row>
    <row r="1769" customFormat="false" ht="12.75" hidden="false" customHeight="true" outlineLevel="0" collapsed="false">
      <c r="A1769" s="121" t="str">
        <f aca="false">IF(B1769="","",CONCATENATE(COUNTA($B$4:B1769),"."))</f>
        <v/>
      </c>
      <c r="B1769" s="112"/>
      <c r="C1769" s="112"/>
      <c r="D1769" s="81"/>
      <c r="E1769" s="81"/>
      <c r="F1769" s="81"/>
      <c r="G1769" s="81"/>
      <c r="H1769" s="81"/>
      <c r="I1769" s="161"/>
      <c r="J1769" s="154" t="str">
        <f aca="false">IF(H1769="","",ROUNDUP(H1769*35%,0))</f>
        <v/>
      </c>
      <c r="K1769" s="113"/>
      <c r="L1769" s="113"/>
    </row>
    <row r="1770" customFormat="false" ht="12.75" hidden="false" customHeight="true" outlineLevel="0" collapsed="false">
      <c r="A1770" s="121" t="str">
        <f aca="false">IF(B1770="","",CONCATENATE(COUNTA($B$4:B1770),"."))</f>
        <v/>
      </c>
      <c r="B1770" s="112"/>
      <c r="C1770" s="112"/>
      <c r="D1770" s="81"/>
      <c r="E1770" s="81"/>
      <c r="F1770" s="81"/>
      <c r="G1770" s="81"/>
      <c r="H1770" s="81"/>
      <c r="I1770" s="161"/>
      <c r="J1770" s="154" t="str">
        <f aca="false">IF(H1770="","",ROUNDUP(H1770*35%,0))</f>
        <v/>
      </c>
      <c r="K1770" s="113"/>
      <c r="L1770" s="113"/>
    </row>
    <row r="1771" customFormat="false" ht="12.75" hidden="false" customHeight="true" outlineLevel="0" collapsed="false">
      <c r="A1771" s="121" t="str">
        <f aca="false">IF(B1771="","",CONCATENATE(COUNTA($B$4:B1771),"."))</f>
        <v/>
      </c>
      <c r="B1771" s="112"/>
      <c r="C1771" s="112"/>
      <c r="D1771" s="81"/>
      <c r="E1771" s="81"/>
      <c r="F1771" s="81"/>
      <c r="G1771" s="81"/>
      <c r="H1771" s="81"/>
      <c r="I1771" s="161"/>
      <c r="J1771" s="154" t="str">
        <f aca="false">IF(H1771="","",ROUNDUP(H1771*35%,0))</f>
        <v/>
      </c>
      <c r="K1771" s="113"/>
      <c r="L1771" s="113"/>
    </row>
    <row r="1772" customFormat="false" ht="12.75" hidden="false" customHeight="true" outlineLevel="0" collapsed="false">
      <c r="A1772" s="121" t="str">
        <f aca="false">IF(B1772="","",CONCATENATE(COUNTA($B$4:B1772),"."))</f>
        <v/>
      </c>
      <c r="B1772" s="112"/>
      <c r="C1772" s="112"/>
      <c r="D1772" s="81"/>
      <c r="E1772" s="81"/>
      <c r="F1772" s="81"/>
      <c r="G1772" s="81"/>
      <c r="H1772" s="81"/>
      <c r="I1772" s="161"/>
      <c r="J1772" s="154" t="str">
        <f aca="false">IF(H1772="","",ROUNDUP(H1772*35%,0))</f>
        <v/>
      </c>
      <c r="K1772" s="113"/>
      <c r="L1772" s="113"/>
    </row>
    <row r="1773" customFormat="false" ht="12.75" hidden="false" customHeight="true" outlineLevel="0" collapsed="false">
      <c r="A1773" s="121" t="str">
        <f aca="false">IF(B1773="","",CONCATENATE(COUNTA($B$4:B1773),"."))</f>
        <v/>
      </c>
      <c r="B1773" s="112"/>
      <c r="C1773" s="112"/>
      <c r="D1773" s="81"/>
      <c r="E1773" s="81"/>
      <c r="F1773" s="81"/>
      <c r="G1773" s="81"/>
      <c r="H1773" s="81"/>
      <c r="I1773" s="161"/>
      <c r="J1773" s="154" t="str">
        <f aca="false">IF(H1773="","",ROUNDUP(H1773*35%,0))</f>
        <v/>
      </c>
      <c r="K1773" s="113"/>
      <c r="L1773" s="113"/>
    </row>
    <row r="1774" customFormat="false" ht="12.75" hidden="false" customHeight="true" outlineLevel="0" collapsed="false">
      <c r="A1774" s="121" t="str">
        <f aca="false">IF(B1774="","",CONCATENATE(COUNTA($B$4:B1774),"."))</f>
        <v/>
      </c>
      <c r="B1774" s="112"/>
      <c r="C1774" s="112"/>
      <c r="D1774" s="81"/>
      <c r="E1774" s="81"/>
      <c r="F1774" s="81"/>
      <c r="G1774" s="81"/>
      <c r="H1774" s="81"/>
      <c r="I1774" s="161"/>
      <c r="J1774" s="154" t="str">
        <f aca="false">IF(H1774="","",ROUNDUP(H1774*35%,0))</f>
        <v/>
      </c>
      <c r="K1774" s="113"/>
      <c r="L1774" s="113"/>
    </row>
    <row r="1775" customFormat="false" ht="12.75" hidden="false" customHeight="true" outlineLevel="0" collapsed="false">
      <c r="A1775" s="121" t="str">
        <f aca="false">IF(B1775="","",CONCATENATE(COUNTA($B$4:B1775),"."))</f>
        <v/>
      </c>
      <c r="B1775" s="112"/>
      <c r="C1775" s="112"/>
      <c r="D1775" s="81"/>
      <c r="E1775" s="81"/>
      <c r="F1775" s="81"/>
      <c r="G1775" s="81"/>
      <c r="H1775" s="81"/>
      <c r="I1775" s="161"/>
      <c r="J1775" s="154" t="str">
        <f aca="false">IF(H1775="","",ROUNDUP(H1775*35%,0))</f>
        <v/>
      </c>
      <c r="K1775" s="113"/>
      <c r="L1775" s="113"/>
    </row>
    <row r="1776" customFormat="false" ht="12.75" hidden="false" customHeight="true" outlineLevel="0" collapsed="false">
      <c r="A1776" s="121" t="str">
        <f aca="false">IF(B1776="","",CONCATENATE(COUNTA($B$4:B1776),"."))</f>
        <v/>
      </c>
      <c r="B1776" s="112"/>
      <c r="C1776" s="112"/>
      <c r="D1776" s="81"/>
      <c r="E1776" s="81"/>
      <c r="F1776" s="81"/>
      <c r="G1776" s="81"/>
      <c r="H1776" s="81"/>
      <c r="I1776" s="161"/>
      <c r="J1776" s="154" t="str">
        <f aca="false">IF(H1776="","",ROUNDUP(H1776*35%,0))</f>
        <v/>
      </c>
      <c r="K1776" s="113"/>
      <c r="L1776" s="113"/>
    </row>
    <row r="1777" customFormat="false" ht="12.75" hidden="false" customHeight="true" outlineLevel="0" collapsed="false">
      <c r="A1777" s="121" t="str">
        <f aca="false">IF(B1777="","",CONCATENATE(COUNTA($B$4:B1777),"."))</f>
        <v/>
      </c>
      <c r="B1777" s="112"/>
      <c r="C1777" s="112"/>
      <c r="D1777" s="81"/>
      <c r="E1777" s="81"/>
      <c r="F1777" s="81"/>
      <c r="G1777" s="81"/>
      <c r="H1777" s="81"/>
      <c r="I1777" s="161"/>
      <c r="J1777" s="154" t="str">
        <f aca="false">IF(H1777="","",ROUNDUP(H1777*35%,0))</f>
        <v/>
      </c>
      <c r="K1777" s="113"/>
      <c r="L1777" s="113"/>
    </row>
    <row r="1778" customFormat="false" ht="12.75" hidden="false" customHeight="true" outlineLevel="0" collapsed="false">
      <c r="A1778" s="121" t="str">
        <f aca="false">IF(B1778="","",CONCATENATE(COUNTA($B$4:B1778),"."))</f>
        <v/>
      </c>
      <c r="B1778" s="112"/>
      <c r="C1778" s="112"/>
      <c r="D1778" s="81"/>
      <c r="E1778" s="81"/>
      <c r="F1778" s="81"/>
      <c r="G1778" s="81"/>
      <c r="H1778" s="81"/>
      <c r="I1778" s="161"/>
      <c r="J1778" s="154" t="str">
        <f aca="false">IF(H1778="","",ROUNDUP(H1778*35%,0))</f>
        <v/>
      </c>
      <c r="K1778" s="113"/>
      <c r="L1778" s="113"/>
    </row>
    <row r="1779" customFormat="false" ht="12.75" hidden="false" customHeight="true" outlineLevel="0" collapsed="false">
      <c r="A1779" s="121" t="str">
        <f aca="false">IF(B1779="","",CONCATENATE(COUNTA($B$4:B1779),"."))</f>
        <v/>
      </c>
      <c r="B1779" s="112"/>
      <c r="C1779" s="112"/>
      <c r="D1779" s="81"/>
      <c r="E1779" s="81"/>
      <c r="F1779" s="81"/>
      <c r="G1779" s="81"/>
      <c r="H1779" s="81"/>
      <c r="I1779" s="161"/>
      <c r="J1779" s="154" t="str">
        <f aca="false">IF(H1779="","",ROUNDUP(H1779*35%,0))</f>
        <v/>
      </c>
      <c r="K1779" s="113"/>
      <c r="L1779" s="113"/>
    </row>
    <row r="1780" customFormat="false" ht="12.75" hidden="false" customHeight="true" outlineLevel="0" collapsed="false">
      <c r="A1780" s="121" t="str">
        <f aca="false">IF(B1780="","",CONCATENATE(COUNTA($B$4:B1780),"."))</f>
        <v/>
      </c>
      <c r="B1780" s="112"/>
      <c r="C1780" s="112"/>
      <c r="D1780" s="81"/>
      <c r="E1780" s="81"/>
      <c r="F1780" s="81"/>
      <c r="G1780" s="81"/>
      <c r="H1780" s="81"/>
      <c r="I1780" s="161"/>
      <c r="J1780" s="154" t="str">
        <f aca="false">IF(H1780="","",ROUNDUP(H1780*35%,0))</f>
        <v/>
      </c>
      <c r="K1780" s="113"/>
      <c r="L1780" s="113"/>
    </row>
    <row r="1781" customFormat="false" ht="12.75" hidden="false" customHeight="true" outlineLevel="0" collapsed="false">
      <c r="A1781" s="121" t="str">
        <f aca="false">IF(B1781="","",CONCATENATE(COUNTA($B$4:B1781),"."))</f>
        <v/>
      </c>
      <c r="B1781" s="112"/>
      <c r="C1781" s="112"/>
      <c r="D1781" s="81"/>
      <c r="E1781" s="81"/>
      <c r="F1781" s="81"/>
      <c r="G1781" s="81"/>
      <c r="H1781" s="81"/>
      <c r="I1781" s="161"/>
      <c r="J1781" s="154" t="str">
        <f aca="false">IF(H1781="","",ROUNDUP(H1781*35%,0))</f>
        <v/>
      </c>
      <c r="K1781" s="113"/>
      <c r="L1781" s="113"/>
    </row>
    <row r="1782" customFormat="false" ht="12.75" hidden="false" customHeight="true" outlineLevel="0" collapsed="false">
      <c r="A1782" s="121" t="str">
        <f aca="false">IF(B1782="","",CONCATENATE(COUNTA($B$4:B1782),"."))</f>
        <v/>
      </c>
      <c r="B1782" s="112"/>
      <c r="C1782" s="112"/>
      <c r="D1782" s="81"/>
      <c r="E1782" s="81"/>
      <c r="F1782" s="81"/>
      <c r="G1782" s="81"/>
      <c r="H1782" s="81"/>
      <c r="I1782" s="161"/>
      <c r="J1782" s="154" t="str">
        <f aca="false">IF(H1782="","",ROUNDUP(H1782*35%,0))</f>
        <v/>
      </c>
      <c r="K1782" s="113"/>
      <c r="L1782" s="113"/>
    </row>
    <row r="1783" customFormat="false" ht="12.75" hidden="false" customHeight="true" outlineLevel="0" collapsed="false">
      <c r="A1783" s="121" t="str">
        <f aca="false">IF(B1783="","",CONCATENATE(COUNTA($B$4:B1783),"."))</f>
        <v/>
      </c>
      <c r="B1783" s="112"/>
      <c r="C1783" s="112"/>
      <c r="D1783" s="81"/>
      <c r="E1783" s="81"/>
      <c r="F1783" s="81"/>
      <c r="G1783" s="81"/>
      <c r="H1783" s="81"/>
      <c r="I1783" s="161"/>
      <c r="J1783" s="154" t="str">
        <f aca="false">IF(H1783="","",ROUNDUP(H1783*35%,0))</f>
        <v/>
      </c>
      <c r="K1783" s="113"/>
      <c r="L1783" s="113"/>
    </row>
    <row r="1784" customFormat="false" ht="12.75" hidden="false" customHeight="true" outlineLevel="0" collapsed="false">
      <c r="A1784" s="121" t="str">
        <f aca="false">IF(B1784="","",CONCATENATE(COUNTA($B$4:B1784),"."))</f>
        <v/>
      </c>
      <c r="B1784" s="112"/>
      <c r="C1784" s="112"/>
      <c r="D1784" s="81"/>
      <c r="E1784" s="81"/>
      <c r="F1784" s="81"/>
      <c r="G1784" s="81"/>
      <c r="H1784" s="81"/>
      <c r="I1784" s="161"/>
      <c r="J1784" s="154" t="str">
        <f aca="false">IF(H1784="","",ROUNDUP(H1784*35%,0))</f>
        <v/>
      </c>
      <c r="K1784" s="113"/>
      <c r="L1784" s="113"/>
    </row>
    <row r="1785" customFormat="false" ht="12.75" hidden="false" customHeight="true" outlineLevel="0" collapsed="false">
      <c r="A1785" s="121" t="str">
        <f aca="false">IF(B1785="","",CONCATENATE(COUNTA($B$4:B1785),"."))</f>
        <v/>
      </c>
      <c r="B1785" s="112"/>
      <c r="C1785" s="112"/>
      <c r="D1785" s="81"/>
      <c r="E1785" s="81"/>
      <c r="F1785" s="81"/>
      <c r="G1785" s="81"/>
      <c r="H1785" s="81"/>
      <c r="I1785" s="161"/>
      <c r="J1785" s="154" t="str">
        <f aca="false">IF(H1785="","",ROUNDUP(H1785*35%,0))</f>
        <v/>
      </c>
      <c r="K1785" s="113"/>
      <c r="L1785" s="113"/>
    </row>
    <row r="1786" customFormat="false" ht="12.75" hidden="false" customHeight="true" outlineLevel="0" collapsed="false">
      <c r="A1786" s="121" t="str">
        <f aca="false">IF(B1786="","",CONCATENATE(COUNTA($B$4:B1786),"."))</f>
        <v/>
      </c>
      <c r="B1786" s="112"/>
      <c r="C1786" s="112"/>
      <c r="D1786" s="81"/>
      <c r="E1786" s="81"/>
      <c r="F1786" s="81"/>
      <c r="G1786" s="81"/>
      <c r="H1786" s="81"/>
      <c r="I1786" s="161"/>
      <c r="J1786" s="154" t="str">
        <f aca="false">IF(H1786="","",ROUNDUP(H1786*35%,0))</f>
        <v/>
      </c>
      <c r="K1786" s="113"/>
      <c r="L1786" s="113"/>
    </row>
    <row r="1787" customFormat="false" ht="12.75" hidden="false" customHeight="true" outlineLevel="0" collapsed="false">
      <c r="A1787" s="121" t="str">
        <f aca="false">IF(B1787="","",CONCATENATE(COUNTA($B$4:B1787),"."))</f>
        <v/>
      </c>
      <c r="B1787" s="112"/>
      <c r="C1787" s="112"/>
      <c r="D1787" s="81"/>
      <c r="E1787" s="81"/>
      <c r="F1787" s="81"/>
      <c r="G1787" s="81"/>
      <c r="H1787" s="81"/>
      <c r="I1787" s="161"/>
      <c r="J1787" s="154" t="str">
        <f aca="false">IF(H1787="","",ROUNDUP(H1787*35%,0))</f>
        <v/>
      </c>
      <c r="K1787" s="113"/>
      <c r="L1787" s="113"/>
    </row>
    <row r="1788" customFormat="false" ht="12.75" hidden="false" customHeight="true" outlineLevel="0" collapsed="false">
      <c r="A1788" s="121" t="str">
        <f aca="false">IF(B1788="","",CONCATENATE(COUNTA($B$4:B1788),"."))</f>
        <v/>
      </c>
      <c r="B1788" s="112"/>
      <c r="C1788" s="112"/>
      <c r="D1788" s="81"/>
      <c r="E1788" s="81"/>
      <c r="F1788" s="81"/>
      <c r="G1788" s="81"/>
      <c r="H1788" s="81"/>
      <c r="I1788" s="161"/>
      <c r="J1788" s="154" t="str">
        <f aca="false">IF(H1788="","",ROUNDUP(H1788*35%,0))</f>
        <v/>
      </c>
      <c r="K1788" s="113"/>
      <c r="L1788" s="113"/>
    </row>
    <row r="1789" customFormat="false" ht="12.75" hidden="false" customHeight="true" outlineLevel="0" collapsed="false">
      <c r="A1789" s="121" t="str">
        <f aca="false">IF(B1789="","",CONCATENATE(COUNTA($B$4:B1789),"."))</f>
        <v/>
      </c>
      <c r="B1789" s="112"/>
      <c r="C1789" s="112"/>
      <c r="D1789" s="81"/>
      <c r="E1789" s="81"/>
      <c r="F1789" s="81"/>
      <c r="G1789" s="81"/>
      <c r="H1789" s="81"/>
      <c r="I1789" s="161"/>
      <c r="J1789" s="154" t="str">
        <f aca="false">IF(H1789="","",ROUNDUP(H1789*35%,0))</f>
        <v/>
      </c>
      <c r="K1789" s="113"/>
      <c r="L1789" s="113"/>
    </row>
    <row r="1790" customFormat="false" ht="12.75" hidden="false" customHeight="true" outlineLevel="0" collapsed="false">
      <c r="A1790" s="121" t="str">
        <f aca="false">IF(B1790="","",CONCATENATE(COUNTA($B$4:B1790),"."))</f>
        <v/>
      </c>
      <c r="B1790" s="112"/>
      <c r="C1790" s="112"/>
      <c r="D1790" s="81"/>
      <c r="E1790" s="81"/>
      <c r="F1790" s="81"/>
      <c r="G1790" s="81"/>
      <c r="H1790" s="81"/>
      <c r="I1790" s="161"/>
      <c r="J1790" s="154" t="str">
        <f aca="false">IF(H1790="","",ROUNDUP(H1790*35%,0))</f>
        <v/>
      </c>
      <c r="K1790" s="113"/>
      <c r="L1790" s="113"/>
    </row>
    <row r="1791" customFormat="false" ht="12.75" hidden="false" customHeight="true" outlineLevel="0" collapsed="false">
      <c r="A1791" s="121" t="str">
        <f aca="false">IF(B1791="","",CONCATENATE(COUNTA($B$4:B1791),"."))</f>
        <v/>
      </c>
      <c r="B1791" s="112"/>
      <c r="C1791" s="112"/>
      <c r="D1791" s="81"/>
      <c r="E1791" s="81"/>
      <c r="F1791" s="81"/>
      <c r="G1791" s="81"/>
      <c r="H1791" s="81"/>
      <c r="I1791" s="161"/>
      <c r="J1791" s="154" t="str">
        <f aca="false">IF(H1791="","",ROUNDUP(H1791*35%,0))</f>
        <v/>
      </c>
      <c r="K1791" s="113"/>
      <c r="L1791" s="113"/>
    </row>
    <row r="1792" customFormat="false" ht="12.75" hidden="false" customHeight="true" outlineLevel="0" collapsed="false">
      <c r="A1792" s="121" t="str">
        <f aca="false">IF(B1792="","",CONCATENATE(COUNTA($B$4:B1792),"."))</f>
        <v/>
      </c>
      <c r="B1792" s="112"/>
      <c r="C1792" s="112"/>
      <c r="D1792" s="81"/>
      <c r="E1792" s="81"/>
      <c r="F1792" s="81"/>
      <c r="G1792" s="81"/>
      <c r="H1792" s="81"/>
      <c r="I1792" s="161"/>
      <c r="J1792" s="154" t="str">
        <f aca="false">IF(H1792="","",ROUNDUP(H1792*35%,0))</f>
        <v/>
      </c>
      <c r="K1792" s="113"/>
      <c r="L1792" s="113"/>
    </row>
    <row r="1793" customFormat="false" ht="12.75" hidden="false" customHeight="true" outlineLevel="0" collapsed="false">
      <c r="A1793" s="121" t="str">
        <f aca="false">IF(B1793="","",CONCATENATE(COUNTA($B$4:B1793),"."))</f>
        <v/>
      </c>
      <c r="B1793" s="112"/>
      <c r="C1793" s="112"/>
      <c r="D1793" s="81"/>
      <c r="E1793" s="81"/>
      <c r="F1793" s="81"/>
      <c r="G1793" s="81"/>
      <c r="H1793" s="81"/>
      <c r="I1793" s="161"/>
      <c r="J1793" s="154" t="str">
        <f aca="false">IF(H1793="","",ROUNDUP(H1793*35%,0))</f>
        <v/>
      </c>
      <c r="K1793" s="113"/>
      <c r="L1793" s="113"/>
    </row>
    <row r="1794" customFormat="false" ht="12.75" hidden="false" customHeight="true" outlineLevel="0" collapsed="false">
      <c r="A1794" s="121" t="str">
        <f aca="false">IF(B1794="","",CONCATENATE(COUNTA($B$4:B1794),"."))</f>
        <v/>
      </c>
      <c r="B1794" s="112"/>
      <c r="C1794" s="112"/>
      <c r="D1794" s="81"/>
      <c r="E1794" s="81"/>
      <c r="F1794" s="81"/>
      <c r="G1794" s="81"/>
      <c r="H1794" s="81"/>
      <c r="I1794" s="161"/>
      <c r="J1794" s="154" t="str">
        <f aca="false">IF(H1794="","",ROUNDUP(H1794*35%,0))</f>
        <v/>
      </c>
      <c r="K1794" s="113"/>
      <c r="L1794" s="113"/>
    </row>
    <row r="1795" customFormat="false" ht="12.75" hidden="false" customHeight="true" outlineLevel="0" collapsed="false">
      <c r="A1795" s="121" t="str">
        <f aca="false">IF(B1795="","",CONCATENATE(COUNTA($B$4:B1795),"."))</f>
        <v/>
      </c>
      <c r="B1795" s="112"/>
      <c r="C1795" s="112"/>
      <c r="D1795" s="81"/>
      <c r="E1795" s="81"/>
      <c r="F1795" s="81"/>
      <c r="G1795" s="81"/>
      <c r="H1795" s="81"/>
      <c r="I1795" s="161"/>
      <c r="J1795" s="154" t="str">
        <f aca="false">IF(H1795="","",ROUNDUP(H1795*35%,0))</f>
        <v/>
      </c>
      <c r="K1795" s="113"/>
      <c r="L1795" s="113"/>
    </row>
    <row r="1796" customFormat="false" ht="12.75" hidden="false" customHeight="true" outlineLevel="0" collapsed="false">
      <c r="A1796" s="121" t="str">
        <f aca="false">IF(B1796="","",CONCATENATE(COUNTA($B$4:B1796),"."))</f>
        <v/>
      </c>
      <c r="B1796" s="112"/>
      <c r="C1796" s="112"/>
      <c r="D1796" s="81"/>
      <c r="E1796" s="81"/>
      <c r="F1796" s="81"/>
      <c r="G1796" s="81"/>
      <c r="H1796" s="81"/>
      <c r="I1796" s="161"/>
      <c r="J1796" s="154" t="str">
        <f aca="false">IF(H1796="","",ROUNDUP(H1796*35%,0))</f>
        <v/>
      </c>
      <c r="K1796" s="113"/>
      <c r="L1796" s="113"/>
    </row>
    <row r="1797" customFormat="false" ht="12.75" hidden="false" customHeight="true" outlineLevel="0" collapsed="false">
      <c r="A1797" s="121" t="str">
        <f aca="false">IF(B1797="","",CONCATENATE(COUNTA($B$4:B1797),"."))</f>
        <v/>
      </c>
      <c r="B1797" s="112"/>
      <c r="C1797" s="112"/>
      <c r="D1797" s="81"/>
      <c r="E1797" s="81"/>
      <c r="F1797" s="81"/>
      <c r="G1797" s="81"/>
      <c r="H1797" s="81"/>
      <c r="I1797" s="161"/>
      <c r="J1797" s="154" t="str">
        <f aca="false">IF(H1797="","",ROUNDUP(H1797*35%,0))</f>
        <v/>
      </c>
      <c r="K1797" s="113"/>
      <c r="L1797" s="113"/>
    </row>
    <row r="1798" customFormat="false" ht="12.75" hidden="false" customHeight="true" outlineLevel="0" collapsed="false">
      <c r="A1798" s="121" t="str">
        <f aca="false">IF(B1798="","",CONCATENATE(COUNTA($B$4:B1798),"."))</f>
        <v/>
      </c>
      <c r="B1798" s="112"/>
      <c r="C1798" s="112"/>
      <c r="D1798" s="81"/>
      <c r="E1798" s="81"/>
      <c r="F1798" s="81"/>
      <c r="G1798" s="81"/>
      <c r="H1798" s="81"/>
      <c r="I1798" s="161"/>
      <c r="J1798" s="154" t="str">
        <f aca="false">IF(H1798="","",ROUNDUP(H1798*35%,0))</f>
        <v/>
      </c>
      <c r="K1798" s="113"/>
      <c r="L1798" s="113"/>
    </row>
    <row r="1799" customFormat="false" ht="12.75" hidden="false" customHeight="true" outlineLevel="0" collapsed="false">
      <c r="A1799" s="121" t="str">
        <f aca="false">IF(B1799="","",CONCATENATE(COUNTA($B$4:B1799),"."))</f>
        <v/>
      </c>
      <c r="B1799" s="112"/>
      <c r="C1799" s="112"/>
      <c r="D1799" s="81"/>
      <c r="E1799" s="81"/>
      <c r="F1799" s="81"/>
      <c r="G1799" s="81"/>
      <c r="H1799" s="81"/>
      <c r="I1799" s="161"/>
      <c r="J1799" s="154" t="str">
        <f aca="false">IF(H1799="","",ROUNDUP(H1799*35%,0))</f>
        <v/>
      </c>
      <c r="K1799" s="113"/>
      <c r="L1799" s="113"/>
    </row>
    <row r="1800" customFormat="false" ht="12.75" hidden="false" customHeight="true" outlineLevel="0" collapsed="false">
      <c r="A1800" s="121" t="str">
        <f aca="false">IF(B1800="","",CONCATENATE(COUNTA($B$4:B1800),"."))</f>
        <v/>
      </c>
      <c r="B1800" s="112"/>
      <c r="C1800" s="112"/>
      <c r="D1800" s="81"/>
      <c r="E1800" s="81"/>
      <c r="F1800" s="81"/>
      <c r="G1800" s="81"/>
      <c r="H1800" s="81"/>
      <c r="I1800" s="161"/>
      <c r="J1800" s="154" t="str">
        <f aca="false">IF(H1800="","",ROUNDUP(H1800*35%,0))</f>
        <v/>
      </c>
      <c r="K1800" s="113"/>
      <c r="L1800" s="113"/>
    </row>
    <row r="1801" customFormat="false" ht="12.75" hidden="false" customHeight="true" outlineLevel="0" collapsed="false">
      <c r="A1801" s="121" t="str">
        <f aca="false">IF(B1801="","",CONCATENATE(COUNTA($B$4:B1801),"."))</f>
        <v/>
      </c>
      <c r="B1801" s="112"/>
      <c r="C1801" s="112"/>
      <c r="D1801" s="81"/>
      <c r="E1801" s="81"/>
      <c r="F1801" s="81"/>
      <c r="G1801" s="81"/>
      <c r="H1801" s="81"/>
      <c r="I1801" s="161"/>
      <c r="J1801" s="154" t="str">
        <f aca="false">IF(H1801="","",ROUNDUP(H1801*35%,0))</f>
        <v/>
      </c>
      <c r="K1801" s="113"/>
      <c r="L1801" s="113"/>
    </row>
    <row r="1802" customFormat="false" ht="12.75" hidden="false" customHeight="true" outlineLevel="0" collapsed="false">
      <c r="A1802" s="121" t="str">
        <f aca="false">IF(B1802="","",CONCATENATE(COUNTA($B$4:B1802),"."))</f>
        <v/>
      </c>
      <c r="B1802" s="112"/>
      <c r="C1802" s="112"/>
      <c r="D1802" s="81"/>
      <c r="E1802" s="81"/>
      <c r="F1802" s="81"/>
      <c r="G1802" s="81"/>
      <c r="H1802" s="81"/>
      <c r="I1802" s="161"/>
      <c r="J1802" s="154" t="str">
        <f aca="false">IF(H1802="","",ROUNDUP(H1802*35%,0))</f>
        <v/>
      </c>
      <c r="K1802" s="113"/>
      <c r="L1802" s="113"/>
    </row>
    <row r="1803" customFormat="false" ht="12.75" hidden="false" customHeight="true" outlineLevel="0" collapsed="false">
      <c r="A1803" s="121" t="str">
        <f aca="false">IF(B1803="","",CONCATENATE(COUNTA($B$4:B1803),"."))</f>
        <v/>
      </c>
      <c r="B1803" s="112"/>
      <c r="C1803" s="112"/>
      <c r="D1803" s="81"/>
      <c r="E1803" s="81"/>
      <c r="F1803" s="81"/>
      <c r="G1803" s="81"/>
      <c r="H1803" s="81"/>
      <c r="I1803" s="161"/>
      <c r="J1803" s="154" t="str">
        <f aca="false">IF(H1803="","",ROUNDUP(H1803*35%,0))</f>
        <v/>
      </c>
      <c r="K1803" s="113"/>
      <c r="L1803" s="113"/>
    </row>
    <row r="1804" customFormat="false" ht="12.75" hidden="false" customHeight="true" outlineLevel="0" collapsed="false">
      <c r="A1804" s="121" t="str">
        <f aca="false">IF(B1804="","",CONCATENATE(COUNTA($B$4:B1804),"."))</f>
        <v/>
      </c>
      <c r="B1804" s="112"/>
      <c r="C1804" s="112"/>
      <c r="D1804" s="81"/>
      <c r="E1804" s="81"/>
      <c r="F1804" s="81"/>
      <c r="G1804" s="81"/>
      <c r="H1804" s="81"/>
      <c r="I1804" s="161"/>
      <c r="J1804" s="154" t="str">
        <f aca="false">IF(H1804="","",ROUNDUP(H1804*35%,0))</f>
        <v/>
      </c>
      <c r="K1804" s="113"/>
      <c r="L1804" s="113"/>
    </row>
    <row r="1805" customFormat="false" ht="12.75" hidden="false" customHeight="true" outlineLevel="0" collapsed="false">
      <c r="A1805" s="121" t="str">
        <f aca="false">IF(B1805="","",CONCATENATE(COUNTA($B$4:B1805),"."))</f>
        <v/>
      </c>
      <c r="B1805" s="112"/>
      <c r="C1805" s="112"/>
      <c r="D1805" s="81"/>
      <c r="E1805" s="81"/>
      <c r="F1805" s="81"/>
      <c r="G1805" s="81"/>
      <c r="H1805" s="81"/>
      <c r="I1805" s="161"/>
      <c r="J1805" s="154" t="str">
        <f aca="false">IF(H1805="","",ROUNDUP(H1805*35%,0))</f>
        <v/>
      </c>
      <c r="K1805" s="113"/>
      <c r="L1805" s="113"/>
    </row>
    <row r="1806" customFormat="false" ht="12.75" hidden="false" customHeight="true" outlineLevel="0" collapsed="false">
      <c r="A1806" s="121" t="str">
        <f aca="false">IF(B1806="","",CONCATENATE(COUNTA($B$4:B1806),"."))</f>
        <v/>
      </c>
      <c r="B1806" s="112"/>
      <c r="C1806" s="112"/>
      <c r="D1806" s="81"/>
      <c r="E1806" s="81"/>
      <c r="F1806" s="81"/>
      <c r="G1806" s="81"/>
      <c r="H1806" s="81"/>
      <c r="I1806" s="161"/>
      <c r="J1806" s="154" t="str">
        <f aca="false">IF(H1806="","",ROUNDUP(H1806*35%,0))</f>
        <v/>
      </c>
      <c r="K1806" s="113"/>
      <c r="L1806" s="113"/>
    </row>
    <row r="1807" customFormat="false" ht="12.75" hidden="false" customHeight="true" outlineLevel="0" collapsed="false">
      <c r="A1807" s="121" t="str">
        <f aca="false">IF(B1807="","",CONCATENATE(COUNTA($B$4:B1807),"."))</f>
        <v/>
      </c>
      <c r="B1807" s="112"/>
      <c r="C1807" s="112"/>
      <c r="D1807" s="81"/>
      <c r="E1807" s="81"/>
      <c r="F1807" s="81"/>
      <c r="G1807" s="81"/>
      <c r="H1807" s="81"/>
      <c r="I1807" s="161"/>
      <c r="J1807" s="154" t="str">
        <f aca="false">IF(H1807="","",ROUNDUP(H1807*35%,0))</f>
        <v/>
      </c>
      <c r="K1807" s="113"/>
      <c r="L1807" s="113"/>
    </row>
    <row r="1808" customFormat="false" ht="12.75" hidden="false" customHeight="true" outlineLevel="0" collapsed="false">
      <c r="A1808" s="121" t="str">
        <f aca="false">IF(B1808="","",CONCATENATE(COUNTA($B$4:B1808),"."))</f>
        <v/>
      </c>
      <c r="B1808" s="112"/>
      <c r="C1808" s="112"/>
      <c r="D1808" s="81"/>
      <c r="E1808" s="81"/>
      <c r="F1808" s="81"/>
      <c r="G1808" s="81"/>
      <c r="H1808" s="81"/>
      <c r="I1808" s="161"/>
      <c r="J1808" s="154" t="str">
        <f aca="false">IF(H1808="","",ROUNDUP(H1808*35%,0))</f>
        <v/>
      </c>
      <c r="K1808" s="113"/>
      <c r="L1808" s="113"/>
    </row>
    <row r="1809" customFormat="false" ht="12.75" hidden="false" customHeight="true" outlineLevel="0" collapsed="false">
      <c r="A1809" s="121" t="str">
        <f aca="false">IF(B1809="","",CONCATENATE(COUNTA($B$4:B1809),"."))</f>
        <v/>
      </c>
      <c r="B1809" s="112"/>
      <c r="C1809" s="112"/>
      <c r="D1809" s="81"/>
      <c r="E1809" s="81"/>
      <c r="F1809" s="81"/>
      <c r="G1809" s="81"/>
      <c r="H1809" s="81"/>
      <c r="I1809" s="161"/>
      <c r="J1809" s="154" t="str">
        <f aca="false">IF(H1809="","",ROUNDUP(H1809*35%,0))</f>
        <v/>
      </c>
      <c r="K1809" s="113"/>
      <c r="L1809" s="113"/>
    </row>
    <row r="1810" customFormat="false" ht="12.75" hidden="false" customHeight="true" outlineLevel="0" collapsed="false">
      <c r="A1810" s="121" t="str">
        <f aca="false">IF(B1810="","",CONCATENATE(COUNTA($B$4:B1810),"."))</f>
        <v/>
      </c>
      <c r="B1810" s="112"/>
      <c r="C1810" s="112"/>
      <c r="D1810" s="81"/>
      <c r="E1810" s="81"/>
      <c r="F1810" s="81"/>
      <c r="G1810" s="81"/>
      <c r="H1810" s="81"/>
      <c r="I1810" s="161"/>
      <c r="J1810" s="154" t="str">
        <f aca="false">IF(H1810="","",ROUNDUP(H1810*35%,0))</f>
        <v/>
      </c>
      <c r="K1810" s="113"/>
      <c r="L1810" s="113"/>
    </row>
    <row r="1811" customFormat="false" ht="12.75" hidden="false" customHeight="true" outlineLevel="0" collapsed="false">
      <c r="A1811" s="121" t="str">
        <f aca="false">IF(B1811="","",CONCATENATE(COUNTA($B$4:B1811),"."))</f>
        <v/>
      </c>
      <c r="B1811" s="112"/>
      <c r="C1811" s="112"/>
      <c r="D1811" s="81"/>
      <c r="E1811" s="81"/>
      <c r="F1811" s="81"/>
      <c r="G1811" s="81"/>
      <c r="H1811" s="81"/>
      <c r="I1811" s="161"/>
      <c r="J1811" s="154" t="str">
        <f aca="false">IF(H1811="","",ROUNDUP(H1811*35%,0))</f>
        <v/>
      </c>
      <c r="K1811" s="113"/>
      <c r="L1811" s="113"/>
    </row>
    <row r="1812" customFormat="false" ht="12.75" hidden="false" customHeight="true" outlineLevel="0" collapsed="false">
      <c r="A1812" s="121" t="str">
        <f aca="false">IF(B1812="","",CONCATENATE(COUNTA($B$4:B1812),"."))</f>
        <v/>
      </c>
      <c r="B1812" s="112"/>
      <c r="C1812" s="112"/>
      <c r="D1812" s="81"/>
      <c r="E1812" s="81"/>
      <c r="F1812" s="81"/>
      <c r="G1812" s="81"/>
      <c r="H1812" s="81"/>
      <c r="I1812" s="161"/>
      <c r="J1812" s="154" t="str">
        <f aca="false">IF(H1812="","",ROUNDUP(H1812*35%,0))</f>
        <v/>
      </c>
      <c r="K1812" s="113"/>
      <c r="L1812" s="113"/>
    </row>
    <row r="1813" customFormat="false" ht="12.75" hidden="false" customHeight="true" outlineLevel="0" collapsed="false">
      <c r="A1813" s="121" t="str">
        <f aca="false">IF(B1813="","",CONCATENATE(COUNTA($B$4:B1813),"."))</f>
        <v/>
      </c>
      <c r="B1813" s="112"/>
      <c r="C1813" s="112"/>
      <c r="D1813" s="81"/>
      <c r="E1813" s="81"/>
      <c r="F1813" s="81"/>
      <c r="G1813" s="81"/>
      <c r="H1813" s="81"/>
      <c r="I1813" s="161"/>
      <c r="J1813" s="154" t="str">
        <f aca="false">IF(H1813="","",ROUNDUP(H1813*35%,0))</f>
        <v/>
      </c>
      <c r="K1813" s="113"/>
      <c r="L1813" s="113"/>
    </row>
    <row r="1814" customFormat="false" ht="12.75" hidden="false" customHeight="true" outlineLevel="0" collapsed="false">
      <c r="A1814" s="121" t="str">
        <f aca="false">IF(B1814="","",CONCATENATE(COUNTA($B$4:B1814),"."))</f>
        <v/>
      </c>
      <c r="B1814" s="112"/>
      <c r="C1814" s="112"/>
      <c r="D1814" s="81"/>
      <c r="E1814" s="81"/>
      <c r="F1814" s="81"/>
      <c r="G1814" s="81"/>
      <c r="H1814" s="81"/>
      <c r="I1814" s="161"/>
      <c r="J1814" s="154" t="str">
        <f aca="false">IF(H1814="","",ROUNDUP(H1814*35%,0))</f>
        <v/>
      </c>
      <c r="K1814" s="113"/>
      <c r="L1814" s="113"/>
    </row>
    <row r="1815" customFormat="false" ht="12.75" hidden="false" customHeight="true" outlineLevel="0" collapsed="false">
      <c r="A1815" s="121" t="str">
        <f aca="false">IF(B1815="","",CONCATENATE(COUNTA($B$4:B1815),"."))</f>
        <v/>
      </c>
      <c r="B1815" s="112"/>
      <c r="C1815" s="112"/>
      <c r="D1815" s="81"/>
      <c r="E1815" s="81"/>
      <c r="F1815" s="81"/>
      <c r="G1815" s="81"/>
      <c r="H1815" s="81"/>
      <c r="I1815" s="161"/>
      <c r="J1815" s="154" t="str">
        <f aca="false">IF(H1815="","",ROUNDUP(H1815*35%,0))</f>
        <v/>
      </c>
      <c r="K1815" s="113"/>
      <c r="L1815" s="113"/>
    </row>
    <row r="1816" customFormat="false" ht="12.75" hidden="false" customHeight="true" outlineLevel="0" collapsed="false">
      <c r="A1816" s="121" t="str">
        <f aca="false">IF(B1816="","",CONCATENATE(COUNTA($B$4:B1816),"."))</f>
        <v/>
      </c>
      <c r="B1816" s="112"/>
      <c r="C1816" s="112"/>
      <c r="D1816" s="81"/>
      <c r="E1816" s="81"/>
      <c r="F1816" s="81"/>
      <c r="G1816" s="81"/>
      <c r="H1816" s="81"/>
      <c r="I1816" s="161"/>
      <c r="J1816" s="154" t="str">
        <f aca="false">IF(H1816="","",ROUNDUP(H1816*35%,0))</f>
        <v/>
      </c>
      <c r="K1816" s="113"/>
      <c r="L1816" s="113"/>
    </row>
    <row r="1817" customFormat="false" ht="12.75" hidden="false" customHeight="true" outlineLevel="0" collapsed="false">
      <c r="A1817" s="121" t="str">
        <f aca="false">IF(B1817="","",CONCATENATE(COUNTA($B$4:B1817),"."))</f>
        <v/>
      </c>
      <c r="B1817" s="112"/>
      <c r="C1817" s="112"/>
      <c r="D1817" s="81"/>
      <c r="E1817" s="81"/>
      <c r="F1817" s="81"/>
      <c r="G1817" s="81"/>
      <c r="H1817" s="81"/>
      <c r="I1817" s="161"/>
      <c r="J1817" s="154" t="str">
        <f aca="false">IF(H1817="","",ROUNDUP(H1817*35%,0))</f>
        <v/>
      </c>
      <c r="K1817" s="113"/>
      <c r="L1817" s="113"/>
    </row>
    <row r="1818" customFormat="false" ht="12.75" hidden="false" customHeight="true" outlineLevel="0" collapsed="false">
      <c r="A1818" s="121" t="str">
        <f aca="false">IF(B1818="","",CONCATENATE(COUNTA($B$4:B1818),"."))</f>
        <v/>
      </c>
      <c r="B1818" s="112"/>
      <c r="C1818" s="112"/>
      <c r="D1818" s="81"/>
      <c r="E1818" s="81"/>
      <c r="F1818" s="81"/>
      <c r="G1818" s="81"/>
      <c r="H1818" s="81"/>
      <c r="I1818" s="161"/>
      <c r="J1818" s="154" t="str">
        <f aca="false">IF(H1818="","",ROUNDUP(H1818*35%,0))</f>
        <v/>
      </c>
      <c r="K1818" s="113"/>
      <c r="L1818" s="113"/>
    </row>
    <row r="1819" customFormat="false" ht="12.75" hidden="false" customHeight="true" outlineLevel="0" collapsed="false">
      <c r="A1819" s="121" t="str">
        <f aca="false">IF(B1819="","",CONCATENATE(COUNTA($B$4:B1819),"."))</f>
        <v/>
      </c>
      <c r="B1819" s="112"/>
      <c r="C1819" s="112"/>
      <c r="D1819" s="81"/>
      <c r="E1819" s="81"/>
      <c r="F1819" s="81"/>
      <c r="G1819" s="81"/>
      <c r="H1819" s="81"/>
      <c r="I1819" s="161"/>
      <c r="J1819" s="154" t="str">
        <f aca="false">IF(H1819="","",ROUNDUP(H1819*35%,0))</f>
        <v/>
      </c>
      <c r="K1819" s="113"/>
      <c r="L1819" s="113"/>
    </row>
    <row r="1820" customFormat="false" ht="12.75" hidden="false" customHeight="true" outlineLevel="0" collapsed="false">
      <c r="A1820" s="121" t="str">
        <f aca="false">IF(B1820="","",CONCATENATE(COUNTA($B$4:B1820),"."))</f>
        <v/>
      </c>
      <c r="B1820" s="112"/>
      <c r="C1820" s="112"/>
      <c r="D1820" s="81"/>
      <c r="E1820" s="81"/>
      <c r="F1820" s="81"/>
      <c r="G1820" s="81"/>
      <c r="H1820" s="81"/>
      <c r="I1820" s="161"/>
      <c r="J1820" s="154" t="str">
        <f aca="false">IF(H1820="","",ROUNDUP(H1820*35%,0))</f>
        <v/>
      </c>
      <c r="K1820" s="113"/>
      <c r="L1820" s="113"/>
    </row>
    <row r="1821" customFormat="false" ht="12.75" hidden="false" customHeight="true" outlineLevel="0" collapsed="false">
      <c r="A1821" s="121" t="str">
        <f aca="false">IF(B1821="","",CONCATENATE(COUNTA($B$4:B1821),"."))</f>
        <v/>
      </c>
      <c r="B1821" s="112"/>
      <c r="C1821" s="112"/>
      <c r="D1821" s="81"/>
      <c r="E1821" s="81"/>
      <c r="F1821" s="81"/>
      <c r="G1821" s="81"/>
      <c r="H1821" s="81"/>
      <c r="I1821" s="161"/>
      <c r="J1821" s="154" t="str">
        <f aca="false">IF(H1821="","",ROUNDUP(H1821*35%,0))</f>
        <v/>
      </c>
      <c r="K1821" s="113"/>
      <c r="L1821" s="113"/>
    </row>
    <row r="1822" customFormat="false" ht="12.75" hidden="false" customHeight="true" outlineLevel="0" collapsed="false">
      <c r="A1822" s="121" t="str">
        <f aca="false">IF(B1822="","",CONCATENATE(COUNTA($B$4:B1822),"."))</f>
        <v/>
      </c>
      <c r="B1822" s="112"/>
      <c r="C1822" s="112"/>
      <c r="D1822" s="81"/>
      <c r="E1822" s="81"/>
      <c r="F1822" s="81"/>
      <c r="G1822" s="81"/>
      <c r="H1822" s="81"/>
      <c r="I1822" s="161"/>
      <c r="J1822" s="154" t="str">
        <f aca="false">IF(H1822="","",ROUNDUP(H1822*35%,0))</f>
        <v/>
      </c>
      <c r="K1822" s="113"/>
      <c r="L1822" s="113"/>
    </row>
    <row r="1823" customFormat="false" ht="12.75" hidden="false" customHeight="true" outlineLevel="0" collapsed="false">
      <c r="A1823" s="121" t="str">
        <f aca="false">IF(B1823="","",CONCATENATE(COUNTA($B$4:B1823),"."))</f>
        <v/>
      </c>
      <c r="B1823" s="112"/>
      <c r="C1823" s="112"/>
      <c r="D1823" s="81"/>
      <c r="E1823" s="81"/>
      <c r="F1823" s="81"/>
      <c r="G1823" s="81"/>
      <c r="H1823" s="81"/>
      <c r="I1823" s="161"/>
      <c r="J1823" s="154" t="str">
        <f aca="false">IF(H1823="","",ROUNDUP(H1823*35%,0))</f>
        <v/>
      </c>
      <c r="K1823" s="113"/>
      <c r="L1823" s="113"/>
    </row>
    <row r="1824" customFormat="false" ht="12.75" hidden="false" customHeight="true" outlineLevel="0" collapsed="false">
      <c r="A1824" s="121" t="str">
        <f aca="false">IF(B1824="","",CONCATENATE(COUNTA($B$4:B1824),"."))</f>
        <v/>
      </c>
      <c r="B1824" s="112"/>
      <c r="C1824" s="112"/>
      <c r="D1824" s="81"/>
      <c r="E1824" s="81"/>
      <c r="F1824" s="81"/>
      <c r="G1824" s="81"/>
      <c r="H1824" s="81"/>
      <c r="I1824" s="161"/>
      <c r="J1824" s="154" t="str">
        <f aca="false">IF(H1824="","",ROUNDUP(H1824*35%,0))</f>
        <v/>
      </c>
      <c r="K1824" s="113"/>
      <c r="L1824" s="113"/>
    </row>
    <row r="1825" customFormat="false" ht="12.75" hidden="false" customHeight="true" outlineLevel="0" collapsed="false">
      <c r="A1825" s="121" t="str">
        <f aca="false">IF(B1825="","",CONCATENATE(COUNTA($B$4:B1825),"."))</f>
        <v/>
      </c>
      <c r="B1825" s="112"/>
      <c r="C1825" s="112"/>
      <c r="D1825" s="81"/>
      <c r="E1825" s="81"/>
      <c r="F1825" s="81"/>
      <c r="G1825" s="81"/>
      <c r="H1825" s="81"/>
      <c r="I1825" s="161"/>
      <c r="J1825" s="154" t="str">
        <f aca="false">IF(H1825="","",ROUNDUP(H1825*35%,0))</f>
        <v/>
      </c>
      <c r="K1825" s="113"/>
      <c r="L1825" s="113"/>
    </row>
    <row r="1826" customFormat="false" ht="12.75" hidden="false" customHeight="true" outlineLevel="0" collapsed="false">
      <c r="A1826" s="121" t="str">
        <f aca="false">IF(B1826="","",CONCATENATE(COUNTA($B$4:B1826),"."))</f>
        <v/>
      </c>
      <c r="B1826" s="112"/>
      <c r="C1826" s="112"/>
      <c r="D1826" s="81"/>
      <c r="E1826" s="81"/>
      <c r="F1826" s="81"/>
      <c r="G1826" s="81"/>
      <c r="H1826" s="81"/>
      <c r="I1826" s="161"/>
      <c r="J1826" s="154" t="str">
        <f aca="false">IF(H1826="","",ROUNDUP(H1826*35%,0))</f>
        <v/>
      </c>
      <c r="K1826" s="113"/>
      <c r="L1826" s="113"/>
    </row>
    <row r="1827" customFormat="false" ht="12.75" hidden="false" customHeight="true" outlineLevel="0" collapsed="false">
      <c r="A1827" s="121" t="str">
        <f aca="false">IF(B1827="","",CONCATENATE(COUNTA($B$4:B1827),"."))</f>
        <v/>
      </c>
      <c r="B1827" s="112"/>
      <c r="C1827" s="112"/>
      <c r="D1827" s="81"/>
      <c r="E1827" s="81"/>
      <c r="F1827" s="81"/>
      <c r="G1827" s="81"/>
      <c r="H1827" s="81"/>
      <c r="I1827" s="161"/>
      <c r="J1827" s="154" t="str">
        <f aca="false">IF(H1827="","",ROUNDUP(H1827*35%,0))</f>
        <v/>
      </c>
      <c r="K1827" s="113"/>
      <c r="L1827" s="113"/>
    </row>
    <row r="1828" customFormat="false" ht="12.75" hidden="false" customHeight="true" outlineLevel="0" collapsed="false">
      <c r="A1828" s="121" t="str">
        <f aca="false">IF(B1828="","",CONCATENATE(COUNTA($B$4:B1828),"."))</f>
        <v/>
      </c>
      <c r="B1828" s="112"/>
      <c r="C1828" s="112"/>
      <c r="D1828" s="81"/>
      <c r="E1828" s="81"/>
      <c r="F1828" s="81"/>
      <c r="G1828" s="81"/>
      <c r="H1828" s="81"/>
      <c r="I1828" s="161"/>
      <c r="J1828" s="154" t="str">
        <f aca="false">IF(H1828="","",ROUNDUP(H1828*35%,0))</f>
        <v/>
      </c>
      <c r="K1828" s="113"/>
      <c r="L1828" s="113"/>
    </row>
    <row r="1829" customFormat="false" ht="12.75" hidden="false" customHeight="true" outlineLevel="0" collapsed="false">
      <c r="A1829" s="121" t="str">
        <f aca="false">IF(B1829="","",CONCATENATE(COUNTA($B$4:B1829),"."))</f>
        <v/>
      </c>
      <c r="B1829" s="112"/>
      <c r="C1829" s="112"/>
      <c r="D1829" s="81"/>
      <c r="E1829" s="81"/>
      <c r="F1829" s="81"/>
      <c r="G1829" s="81"/>
      <c r="H1829" s="81"/>
      <c r="I1829" s="161"/>
      <c r="J1829" s="154" t="str">
        <f aca="false">IF(H1829="","",ROUNDUP(H1829*35%,0))</f>
        <v/>
      </c>
      <c r="K1829" s="113"/>
      <c r="L1829" s="113"/>
    </row>
    <row r="1830" customFormat="false" ht="12.75" hidden="false" customHeight="true" outlineLevel="0" collapsed="false">
      <c r="A1830" s="121" t="str">
        <f aca="false">IF(B1830="","",CONCATENATE(COUNTA($B$4:B1830),"."))</f>
        <v/>
      </c>
      <c r="B1830" s="112"/>
      <c r="C1830" s="112"/>
      <c r="D1830" s="81"/>
      <c r="E1830" s="81"/>
      <c r="F1830" s="81"/>
      <c r="G1830" s="81"/>
      <c r="H1830" s="81"/>
      <c r="I1830" s="161"/>
      <c r="J1830" s="154" t="str">
        <f aca="false">IF(H1830="","",ROUNDUP(H1830*35%,0))</f>
        <v/>
      </c>
      <c r="K1830" s="113"/>
      <c r="L1830" s="113"/>
    </row>
    <row r="1831" customFormat="false" ht="12.75" hidden="false" customHeight="true" outlineLevel="0" collapsed="false">
      <c r="A1831" s="121" t="str">
        <f aca="false">IF(B1831="","",CONCATENATE(COUNTA($B$4:B1831),"."))</f>
        <v/>
      </c>
      <c r="B1831" s="112"/>
      <c r="C1831" s="112"/>
      <c r="D1831" s="81"/>
      <c r="E1831" s="81"/>
      <c r="F1831" s="81"/>
      <c r="G1831" s="81"/>
      <c r="H1831" s="81"/>
      <c r="I1831" s="161"/>
      <c r="J1831" s="154" t="str">
        <f aca="false">IF(H1831="","",ROUNDUP(H1831*35%,0))</f>
        <v/>
      </c>
      <c r="K1831" s="113"/>
      <c r="L1831" s="113"/>
    </row>
    <row r="1832" customFormat="false" ht="12.75" hidden="false" customHeight="true" outlineLevel="0" collapsed="false">
      <c r="A1832" s="121" t="str">
        <f aca="false">IF(B1832="","",CONCATENATE(COUNTA($B$4:B1832),"."))</f>
        <v/>
      </c>
      <c r="B1832" s="112"/>
      <c r="C1832" s="112"/>
      <c r="D1832" s="81"/>
      <c r="E1832" s="81"/>
      <c r="F1832" s="81"/>
      <c r="G1832" s="81"/>
      <c r="H1832" s="81"/>
      <c r="I1832" s="161"/>
      <c r="J1832" s="154" t="str">
        <f aca="false">IF(H1832="","",ROUNDUP(H1832*35%,0))</f>
        <v/>
      </c>
      <c r="K1832" s="113"/>
      <c r="L1832" s="113"/>
    </row>
    <row r="1833" customFormat="false" ht="12.75" hidden="false" customHeight="true" outlineLevel="0" collapsed="false">
      <c r="A1833" s="121" t="str">
        <f aca="false">IF(B1833="","",CONCATENATE(COUNTA($B$4:B1833),"."))</f>
        <v/>
      </c>
      <c r="B1833" s="112"/>
      <c r="C1833" s="112"/>
      <c r="D1833" s="81"/>
      <c r="E1833" s="81"/>
      <c r="F1833" s="81"/>
      <c r="G1833" s="81"/>
      <c r="H1833" s="81"/>
      <c r="I1833" s="161"/>
      <c r="J1833" s="154" t="str">
        <f aca="false">IF(H1833="","",ROUNDUP(H1833*35%,0))</f>
        <v/>
      </c>
      <c r="K1833" s="113"/>
      <c r="L1833" s="113"/>
    </row>
    <row r="1834" customFormat="false" ht="12.75" hidden="false" customHeight="true" outlineLevel="0" collapsed="false">
      <c r="A1834" s="121" t="str">
        <f aca="false">IF(B1834="","",CONCATENATE(COUNTA($B$4:B1834),"."))</f>
        <v/>
      </c>
      <c r="B1834" s="112"/>
      <c r="C1834" s="112"/>
      <c r="D1834" s="81"/>
      <c r="E1834" s="81"/>
      <c r="F1834" s="81"/>
      <c r="G1834" s="81"/>
      <c r="H1834" s="81"/>
      <c r="I1834" s="161"/>
      <c r="J1834" s="154" t="str">
        <f aca="false">IF(H1834="","",ROUNDUP(H1834*35%,0))</f>
        <v/>
      </c>
      <c r="K1834" s="113"/>
      <c r="L1834" s="113"/>
    </row>
    <row r="1835" customFormat="false" ht="12.75" hidden="false" customHeight="true" outlineLevel="0" collapsed="false">
      <c r="A1835" s="121" t="str">
        <f aca="false">IF(B1835="","",CONCATENATE(COUNTA($B$4:B1835),"."))</f>
        <v/>
      </c>
      <c r="B1835" s="112"/>
      <c r="C1835" s="112"/>
      <c r="D1835" s="81"/>
      <c r="E1835" s="81"/>
      <c r="F1835" s="81"/>
      <c r="G1835" s="81"/>
      <c r="H1835" s="81"/>
      <c r="I1835" s="161"/>
      <c r="J1835" s="154" t="str">
        <f aca="false">IF(H1835="","",ROUNDUP(H1835*35%,0))</f>
        <v/>
      </c>
      <c r="K1835" s="113"/>
      <c r="L1835" s="113"/>
    </row>
    <row r="1836" customFormat="false" ht="12.75" hidden="false" customHeight="true" outlineLevel="0" collapsed="false">
      <c r="A1836" s="121" t="str">
        <f aca="false">IF(B1836="","",CONCATENATE(COUNTA($B$4:B1836),"."))</f>
        <v/>
      </c>
      <c r="B1836" s="112"/>
      <c r="C1836" s="112"/>
      <c r="D1836" s="81"/>
      <c r="E1836" s="81"/>
      <c r="F1836" s="81"/>
      <c r="G1836" s="81"/>
      <c r="H1836" s="81"/>
      <c r="I1836" s="161"/>
      <c r="J1836" s="154" t="str">
        <f aca="false">IF(H1836="","",ROUNDUP(H1836*35%,0))</f>
        <v/>
      </c>
      <c r="K1836" s="113"/>
      <c r="L1836" s="113"/>
    </row>
    <row r="1837" customFormat="false" ht="12.75" hidden="false" customHeight="true" outlineLevel="0" collapsed="false">
      <c r="A1837" s="121" t="str">
        <f aca="false">IF(B1837="","",CONCATENATE(COUNTA($B$4:B1837),"."))</f>
        <v/>
      </c>
      <c r="B1837" s="112"/>
      <c r="C1837" s="112"/>
      <c r="D1837" s="81"/>
      <c r="E1837" s="81"/>
      <c r="F1837" s="81"/>
      <c r="G1837" s="81"/>
      <c r="H1837" s="81"/>
      <c r="I1837" s="161"/>
      <c r="J1837" s="154" t="str">
        <f aca="false">IF(H1837="","",ROUNDUP(H1837*35%,0))</f>
        <v/>
      </c>
      <c r="K1837" s="113"/>
      <c r="L1837" s="113"/>
    </row>
    <row r="1838" customFormat="false" ht="12.75" hidden="false" customHeight="true" outlineLevel="0" collapsed="false">
      <c r="A1838" s="121" t="str">
        <f aca="false">IF(B1838="","",CONCATENATE(COUNTA($B$4:B1838),"."))</f>
        <v/>
      </c>
      <c r="B1838" s="112"/>
      <c r="C1838" s="112"/>
      <c r="D1838" s="81"/>
      <c r="E1838" s="81"/>
      <c r="F1838" s="81"/>
      <c r="G1838" s="81"/>
      <c r="H1838" s="81"/>
      <c r="I1838" s="161"/>
      <c r="J1838" s="154" t="str">
        <f aca="false">IF(H1838="","",ROUNDUP(H1838*35%,0))</f>
        <v/>
      </c>
      <c r="K1838" s="113"/>
      <c r="L1838" s="113"/>
    </row>
    <row r="1839" customFormat="false" ht="12.75" hidden="false" customHeight="true" outlineLevel="0" collapsed="false">
      <c r="A1839" s="121" t="str">
        <f aca="false">IF(B1839="","",CONCATENATE(COUNTA($B$4:B1839),"."))</f>
        <v/>
      </c>
      <c r="B1839" s="112"/>
      <c r="C1839" s="112"/>
      <c r="D1839" s="81"/>
      <c r="E1839" s="81"/>
      <c r="F1839" s="81"/>
      <c r="G1839" s="81"/>
      <c r="H1839" s="81"/>
      <c r="I1839" s="161"/>
      <c r="J1839" s="154" t="str">
        <f aca="false">IF(H1839="","",ROUNDUP(H1839*35%,0))</f>
        <v/>
      </c>
      <c r="K1839" s="113"/>
      <c r="L1839" s="113"/>
    </row>
    <row r="1840" customFormat="false" ht="12.75" hidden="false" customHeight="true" outlineLevel="0" collapsed="false">
      <c r="A1840" s="121" t="str">
        <f aca="false">IF(B1840="","",CONCATENATE(COUNTA($B$4:B1840),"."))</f>
        <v/>
      </c>
      <c r="B1840" s="112"/>
      <c r="C1840" s="112"/>
      <c r="D1840" s="81"/>
      <c r="E1840" s="81"/>
      <c r="F1840" s="81"/>
      <c r="G1840" s="81"/>
      <c r="H1840" s="81"/>
      <c r="I1840" s="161"/>
      <c r="J1840" s="154" t="str">
        <f aca="false">IF(H1840="","",ROUNDUP(H1840*35%,0))</f>
        <v/>
      </c>
      <c r="K1840" s="113"/>
      <c r="L1840" s="113"/>
    </row>
    <row r="1841" customFormat="false" ht="12.75" hidden="false" customHeight="true" outlineLevel="0" collapsed="false">
      <c r="A1841" s="121" t="str">
        <f aca="false">IF(B1841="","",CONCATENATE(COUNTA($B$4:B1841),"."))</f>
        <v/>
      </c>
      <c r="B1841" s="112"/>
      <c r="C1841" s="112"/>
      <c r="D1841" s="81"/>
      <c r="E1841" s="81"/>
      <c r="F1841" s="81"/>
      <c r="G1841" s="81"/>
      <c r="H1841" s="81"/>
      <c r="I1841" s="161"/>
      <c r="J1841" s="154" t="str">
        <f aca="false">IF(H1841="","",ROUNDUP(H1841*35%,0))</f>
        <v/>
      </c>
      <c r="K1841" s="113"/>
      <c r="L1841" s="113"/>
    </row>
    <row r="1842" customFormat="false" ht="12.75" hidden="false" customHeight="true" outlineLevel="0" collapsed="false">
      <c r="A1842" s="121" t="str">
        <f aca="false">IF(B1842="","",CONCATENATE(COUNTA($B$4:B1842),"."))</f>
        <v/>
      </c>
      <c r="B1842" s="112"/>
      <c r="C1842" s="112"/>
      <c r="D1842" s="81"/>
      <c r="E1842" s="81"/>
      <c r="F1842" s="81"/>
      <c r="G1842" s="81"/>
      <c r="H1842" s="81"/>
      <c r="I1842" s="161"/>
      <c r="J1842" s="154" t="str">
        <f aca="false">IF(H1842="","",ROUNDUP(H1842*35%,0))</f>
        <v/>
      </c>
      <c r="K1842" s="113"/>
      <c r="L1842" s="113"/>
    </row>
    <row r="1843" customFormat="false" ht="12.75" hidden="false" customHeight="true" outlineLevel="0" collapsed="false">
      <c r="A1843" s="121" t="str">
        <f aca="false">IF(B1843="","",CONCATENATE(COUNTA($B$4:B1843),"."))</f>
        <v/>
      </c>
      <c r="B1843" s="112"/>
      <c r="C1843" s="112"/>
      <c r="D1843" s="81"/>
      <c r="E1843" s="81"/>
      <c r="F1843" s="81"/>
      <c r="G1843" s="81"/>
      <c r="H1843" s="81"/>
      <c r="I1843" s="161"/>
      <c r="J1843" s="154" t="str">
        <f aca="false">IF(H1843="","",ROUNDUP(H1843*35%,0))</f>
        <v/>
      </c>
      <c r="K1843" s="113"/>
      <c r="L1843" s="113"/>
    </row>
    <row r="1844" customFormat="false" ht="12.75" hidden="false" customHeight="true" outlineLevel="0" collapsed="false">
      <c r="A1844" s="121" t="str">
        <f aca="false">IF(B1844="","",CONCATENATE(COUNTA($B$4:B1844),"."))</f>
        <v/>
      </c>
      <c r="B1844" s="112"/>
      <c r="C1844" s="112"/>
      <c r="D1844" s="81"/>
      <c r="E1844" s="81"/>
      <c r="F1844" s="81"/>
      <c r="G1844" s="81"/>
      <c r="H1844" s="81"/>
      <c r="I1844" s="161"/>
      <c r="J1844" s="154" t="str">
        <f aca="false">IF(H1844="","",ROUNDUP(H1844*35%,0))</f>
        <v/>
      </c>
      <c r="K1844" s="113"/>
      <c r="L1844" s="113"/>
    </row>
    <row r="1845" customFormat="false" ht="12.75" hidden="false" customHeight="true" outlineLevel="0" collapsed="false">
      <c r="A1845" s="121" t="str">
        <f aca="false">IF(B1845="","",CONCATENATE(COUNTA($B$4:B1845),"."))</f>
        <v/>
      </c>
      <c r="B1845" s="112"/>
      <c r="C1845" s="112"/>
      <c r="D1845" s="81"/>
      <c r="E1845" s="81"/>
      <c r="F1845" s="81"/>
      <c r="G1845" s="81"/>
      <c r="H1845" s="81"/>
      <c r="I1845" s="161"/>
      <c r="J1845" s="154" t="str">
        <f aca="false">IF(H1845="","",ROUNDUP(H1845*35%,0))</f>
        <v/>
      </c>
      <c r="K1845" s="113"/>
      <c r="L1845" s="113"/>
    </row>
    <row r="1846" customFormat="false" ht="12.75" hidden="false" customHeight="true" outlineLevel="0" collapsed="false">
      <c r="A1846" s="121" t="str">
        <f aca="false">IF(B1846="","",CONCATENATE(COUNTA($B$4:B1846),"."))</f>
        <v/>
      </c>
      <c r="B1846" s="112"/>
      <c r="C1846" s="112"/>
      <c r="D1846" s="81"/>
      <c r="E1846" s="81"/>
      <c r="F1846" s="81"/>
      <c r="G1846" s="81"/>
      <c r="H1846" s="81"/>
      <c r="I1846" s="161"/>
      <c r="J1846" s="154" t="str">
        <f aca="false">IF(H1846="","",ROUNDUP(H1846*35%,0))</f>
        <v/>
      </c>
      <c r="K1846" s="113"/>
      <c r="L1846" s="113"/>
    </row>
    <row r="1847" customFormat="false" ht="12.75" hidden="false" customHeight="true" outlineLevel="0" collapsed="false">
      <c r="A1847" s="121" t="str">
        <f aca="false">IF(B1847="","",CONCATENATE(COUNTA($B$4:B1847),"."))</f>
        <v/>
      </c>
      <c r="B1847" s="112"/>
      <c r="C1847" s="112"/>
      <c r="D1847" s="81"/>
      <c r="E1847" s="81"/>
      <c r="F1847" s="81"/>
      <c r="G1847" s="81"/>
      <c r="H1847" s="81"/>
      <c r="I1847" s="161"/>
      <c r="J1847" s="154" t="str">
        <f aca="false">IF(H1847="","",ROUNDUP(H1847*35%,0))</f>
        <v/>
      </c>
      <c r="K1847" s="113"/>
      <c r="L1847" s="113"/>
    </row>
    <row r="1848" customFormat="false" ht="12.75" hidden="false" customHeight="true" outlineLevel="0" collapsed="false">
      <c r="A1848" s="121" t="str">
        <f aca="false">IF(B1848="","",CONCATENATE(COUNTA($B$4:B1848),"."))</f>
        <v/>
      </c>
      <c r="B1848" s="112"/>
      <c r="C1848" s="112"/>
      <c r="D1848" s="81"/>
      <c r="E1848" s="81"/>
      <c r="F1848" s="81"/>
      <c r="G1848" s="81"/>
      <c r="H1848" s="81"/>
      <c r="I1848" s="161"/>
      <c r="J1848" s="154" t="str">
        <f aca="false">IF(H1848="","",ROUNDUP(H1848*35%,0))</f>
        <v/>
      </c>
      <c r="K1848" s="113"/>
      <c r="L1848" s="113"/>
    </row>
    <row r="1849" customFormat="false" ht="12.75" hidden="false" customHeight="true" outlineLevel="0" collapsed="false">
      <c r="A1849" s="121" t="str">
        <f aca="false">IF(B1849="","",CONCATENATE(COUNTA($B$4:B1849),"."))</f>
        <v/>
      </c>
      <c r="B1849" s="112"/>
      <c r="C1849" s="112"/>
      <c r="D1849" s="81"/>
      <c r="E1849" s="81"/>
      <c r="F1849" s="81"/>
      <c r="G1849" s="81"/>
      <c r="H1849" s="81"/>
      <c r="I1849" s="161"/>
      <c r="J1849" s="154" t="str">
        <f aca="false">IF(H1849="","",ROUNDUP(H1849*35%,0))</f>
        <v/>
      </c>
      <c r="K1849" s="113"/>
      <c r="L1849" s="113"/>
    </row>
    <row r="1850" customFormat="false" ht="12.75" hidden="false" customHeight="true" outlineLevel="0" collapsed="false">
      <c r="A1850" s="121" t="str">
        <f aca="false">IF(B1850="","",CONCATENATE(COUNTA($B$4:B1850),"."))</f>
        <v/>
      </c>
      <c r="B1850" s="112"/>
      <c r="C1850" s="112"/>
      <c r="D1850" s="81"/>
      <c r="E1850" s="81"/>
      <c r="F1850" s="81"/>
      <c r="G1850" s="81"/>
      <c r="H1850" s="81"/>
      <c r="I1850" s="161"/>
      <c r="J1850" s="154" t="str">
        <f aca="false">IF(H1850="","",ROUNDUP(H1850*35%,0))</f>
        <v/>
      </c>
      <c r="K1850" s="113"/>
      <c r="L1850" s="113"/>
    </row>
    <row r="1851" customFormat="false" ht="12.75" hidden="false" customHeight="true" outlineLevel="0" collapsed="false">
      <c r="A1851" s="121" t="str">
        <f aca="false">IF(B1851="","",CONCATENATE(COUNTA($B$4:B1851),"."))</f>
        <v/>
      </c>
      <c r="B1851" s="112"/>
      <c r="C1851" s="112"/>
      <c r="D1851" s="81"/>
      <c r="E1851" s="81"/>
      <c r="F1851" s="81"/>
      <c r="G1851" s="81"/>
      <c r="H1851" s="81"/>
      <c r="I1851" s="161"/>
      <c r="J1851" s="154" t="str">
        <f aca="false">IF(H1851="","",ROUNDUP(H1851*35%,0))</f>
        <v/>
      </c>
      <c r="K1851" s="113"/>
      <c r="L1851" s="113"/>
    </row>
    <row r="1852" customFormat="false" ht="12.75" hidden="false" customHeight="true" outlineLevel="0" collapsed="false">
      <c r="A1852" s="121" t="str">
        <f aca="false">IF(B1852="","",CONCATENATE(COUNTA($B$4:B1852),"."))</f>
        <v/>
      </c>
      <c r="B1852" s="112"/>
      <c r="C1852" s="112"/>
      <c r="D1852" s="81"/>
      <c r="E1852" s="81"/>
      <c r="F1852" s="81"/>
      <c r="G1852" s="81"/>
      <c r="H1852" s="81"/>
      <c r="I1852" s="161"/>
      <c r="J1852" s="154" t="str">
        <f aca="false">IF(H1852="","",ROUNDUP(H1852*35%,0))</f>
        <v/>
      </c>
      <c r="K1852" s="113"/>
      <c r="L1852" s="113"/>
    </row>
    <row r="1853" customFormat="false" ht="12.75" hidden="false" customHeight="true" outlineLevel="0" collapsed="false">
      <c r="A1853" s="121" t="str">
        <f aca="false">IF(B1853="","",CONCATENATE(COUNTA($B$4:B1853),"."))</f>
        <v/>
      </c>
      <c r="B1853" s="112"/>
      <c r="C1853" s="112"/>
      <c r="D1853" s="81"/>
      <c r="E1853" s="81"/>
      <c r="F1853" s="81"/>
      <c r="G1853" s="81"/>
      <c r="H1853" s="81"/>
      <c r="I1853" s="161"/>
      <c r="J1853" s="154" t="str">
        <f aca="false">IF(H1853="","",ROUNDUP(H1853*35%,0))</f>
        <v/>
      </c>
      <c r="K1853" s="113"/>
      <c r="L1853" s="113"/>
    </row>
    <row r="1854" customFormat="false" ht="12.75" hidden="false" customHeight="true" outlineLevel="0" collapsed="false">
      <c r="A1854" s="121" t="str">
        <f aca="false">IF(B1854="","",CONCATENATE(COUNTA($B$4:B1854),"."))</f>
        <v/>
      </c>
      <c r="B1854" s="112"/>
      <c r="C1854" s="112"/>
      <c r="D1854" s="81"/>
      <c r="E1854" s="81"/>
      <c r="F1854" s="81"/>
      <c r="G1854" s="81"/>
      <c r="H1854" s="81"/>
      <c r="I1854" s="161"/>
      <c r="J1854" s="154" t="str">
        <f aca="false">IF(H1854="","",ROUNDUP(H1854*35%,0))</f>
        <v/>
      </c>
      <c r="K1854" s="113"/>
      <c r="L1854" s="113"/>
    </row>
    <row r="1855" customFormat="false" ht="12.75" hidden="false" customHeight="true" outlineLevel="0" collapsed="false">
      <c r="A1855" s="121" t="str">
        <f aca="false">IF(B1855="","",CONCATENATE(COUNTA($B$4:B1855),"."))</f>
        <v/>
      </c>
      <c r="B1855" s="112"/>
      <c r="C1855" s="112"/>
      <c r="D1855" s="81"/>
      <c r="E1855" s="81"/>
      <c r="F1855" s="81"/>
      <c r="G1855" s="81"/>
      <c r="H1855" s="81"/>
      <c r="I1855" s="161"/>
      <c r="J1855" s="154" t="str">
        <f aca="false">IF(H1855="","",ROUNDUP(H1855*35%,0))</f>
        <v/>
      </c>
      <c r="K1855" s="113"/>
      <c r="L1855" s="113"/>
    </row>
    <row r="1856" customFormat="false" ht="12.75" hidden="false" customHeight="true" outlineLevel="0" collapsed="false">
      <c r="A1856" s="121" t="str">
        <f aca="false">IF(B1856="","",CONCATENATE(COUNTA($B$4:B1856),"."))</f>
        <v/>
      </c>
      <c r="B1856" s="112"/>
      <c r="C1856" s="112"/>
      <c r="D1856" s="81"/>
      <c r="E1856" s="81"/>
      <c r="F1856" s="81"/>
      <c r="G1856" s="81"/>
      <c r="H1856" s="81"/>
      <c r="I1856" s="161"/>
      <c r="J1856" s="154" t="str">
        <f aca="false">IF(H1856="","",ROUNDUP(H1856*35%,0))</f>
        <v/>
      </c>
      <c r="K1856" s="113"/>
      <c r="L1856" s="113"/>
    </row>
    <row r="1857" customFormat="false" ht="12.75" hidden="false" customHeight="true" outlineLevel="0" collapsed="false">
      <c r="A1857" s="121" t="str">
        <f aca="false">IF(B1857="","",CONCATENATE(COUNTA($B$4:B1857),"."))</f>
        <v/>
      </c>
      <c r="B1857" s="112"/>
      <c r="C1857" s="112"/>
      <c r="D1857" s="81"/>
      <c r="E1857" s="81"/>
      <c r="F1857" s="81"/>
      <c r="G1857" s="81"/>
      <c r="H1857" s="81"/>
      <c r="I1857" s="161"/>
      <c r="J1857" s="154" t="str">
        <f aca="false">IF(H1857="","",ROUNDUP(H1857*35%,0))</f>
        <v/>
      </c>
      <c r="K1857" s="113"/>
      <c r="L1857" s="113"/>
    </row>
    <row r="1858" customFormat="false" ht="12.75" hidden="false" customHeight="true" outlineLevel="0" collapsed="false">
      <c r="A1858" s="121" t="str">
        <f aca="false">IF(B1858="","",CONCATENATE(COUNTA($B$4:B1858),"."))</f>
        <v/>
      </c>
      <c r="B1858" s="112"/>
      <c r="C1858" s="112"/>
      <c r="D1858" s="81"/>
      <c r="E1858" s="81"/>
      <c r="F1858" s="81"/>
      <c r="G1858" s="81"/>
      <c r="H1858" s="81"/>
      <c r="I1858" s="161"/>
      <c r="J1858" s="154" t="str">
        <f aca="false">IF(H1858="","",ROUNDUP(H1858*35%,0))</f>
        <v/>
      </c>
      <c r="K1858" s="113"/>
      <c r="L1858" s="113"/>
    </row>
    <row r="1859" customFormat="false" ht="12.75" hidden="false" customHeight="true" outlineLevel="0" collapsed="false">
      <c r="A1859" s="121" t="str">
        <f aca="false">IF(B1859="","",CONCATENATE(COUNTA($B$4:B1859),"."))</f>
        <v/>
      </c>
      <c r="B1859" s="112"/>
      <c r="C1859" s="112"/>
      <c r="D1859" s="81"/>
      <c r="E1859" s="81"/>
      <c r="F1859" s="81"/>
      <c r="G1859" s="81"/>
      <c r="H1859" s="81"/>
      <c r="I1859" s="161"/>
      <c r="J1859" s="154" t="str">
        <f aca="false">IF(H1859="","",ROUNDUP(H1859*35%,0))</f>
        <v/>
      </c>
      <c r="K1859" s="113"/>
      <c r="L1859" s="113"/>
    </row>
    <row r="1860" customFormat="false" ht="12.75" hidden="false" customHeight="true" outlineLevel="0" collapsed="false">
      <c r="A1860" s="121" t="str">
        <f aca="false">IF(B1860="","",CONCATENATE(COUNTA($B$4:B1860),"."))</f>
        <v/>
      </c>
      <c r="B1860" s="112"/>
      <c r="C1860" s="112"/>
      <c r="D1860" s="81"/>
      <c r="E1860" s="81"/>
      <c r="F1860" s="81"/>
      <c r="G1860" s="81"/>
      <c r="H1860" s="81"/>
      <c r="I1860" s="161"/>
      <c r="J1860" s="154" t="str">
        <f aca="false">IF(H1860="","",ROUNDUP(H1860*35%,0))</f>
        <v/>
      </c>
      <c r="K1860" s="113"/>
      <c r="L1860" s="113"/>
    </row>
    <row r="1861" customFormat="false" ht="12.75" hidden="false" customHeight="true" outlineLevel="0" collapsed="false">
      <c r="A1861" s="121" t="str">
        <f aca="false">IF(B1861="","",CONCATENATE(COUNTA($B$4:B1861),"."))</f>
        <v/>
      </c>
      <c r="B1861" s="112"/>
      <c r="C1861" s="112"/>
      <c r="D1861" s="81"/>
      <c r="E1861" s="81"/>
      <c r="F1861" s="81"/>
      <c r="G1861" s="81"/>
      <c r="H1861" s="81"/>
      <c r="I1861" s="161"/>
      <c r="J1861" s="154" t="str">
        <f aca="false">IF(H1861="","",ROUNDUP(H1861*35%,0))</f>
        <v/>
      </c>
      <c r="K1861" s="113"/>
      <c r="L1861" s="113"/>
    </row>
    <row r="1862" customFormat="false" ht="12.75" hidden="false" customHeight="true" outlineLevel="0" collapsed="false">
      <c r="A1862" s="121" t="str">
        <f aca="false">IF(B1862="","",CONCATENATE(COUNTA($B$4:B1862),"."))</f>
        <v/>
      </c>
      <c r="B1862" s="112"/>
      <c r="C1862" s="112"/>
      <c r="D1862" s="81"/>
      <c r="E1862" s="81"/>
      <c r="F1862" s="81"/>
      <c r="G1862" s="81"/>
      <c r="H1862" s="81"/>
      <c r="I1862" s="161"/>
      <c r="J1862" s="154" t="str">
        <f aca="false">IF(H1862="","",ROUNDUP(H1862*35%,0))</f>
        <v/>
      </c>
      <c r="K1862" s="113"/>
      <c r="L1862" s="113"/>
    </row>
    <row r="1863" customFormat="false" ht="12.75" hidden="false" customHeight="true" outlineLevel="0" collapsed="false">
      <c r="A1863" s="121" t="str">
        <f aca="false">IF(B1863="","",CONCATENATE(COUNTA($B$4:B1863),"."))</f>
        <v/>
      </c>
      <c r="B1863" s="112"/>
      <c r="C1863" s="112"/>
      <c r="D1863" s="81"/>
      <c r="E1863" s="81"/>
      <c r="F1863" s="81"/>
      <c r="G1863" s="81"/>
      <c r="H1863" s="81"/>
      <c r="I1863" s="161"/>
      <c r="J1863" s="154" t="str">
        <f aca="false">IF(H1863="","",ROUNDUP(H1863*35%,0))</f>
        <v/>
      </c>
      <c r="K1863" s="113"/>
      <c r="L1863" s="113"/>
    </row>
    <row r="1864" customFormat="false" ht="12.75" hidden="false" customHeight="true" outlineLevel="0" collapsed="false">
      <c r="A1864" s="121" t="str">
        <f aca="false">IF(B1864="","",CONCATENATE(COUNTA($B$4:B1864),"."))</f>
        <v/>
      </c>
      <c r="B1864" s="112"/>
      <c r="C1864" s="112"/>
      <c r="D1864" s="81"/>
      <c r="E1864" s="81"/>
      <c r="F1864" s="81"/>
      <c r="G1864" s="81"/>
      <c r="H1864" s="81"/>
      <c r="I1864" s="161"/>
      <c r="J1864" s="154" t="str">
        <f aca="false">IF(H1864="","",ROUNDUP(H1864*35%,0))</f>
        <v/>
      </c>
      <c r="K1864" s="113"/>
      <c r="L1864" s="113"/>
    </row>
    <row r="1865" customFormat="false" ht="12.75" hidden="false" customHeight="true" outlineLevel="0" collapsed="false">
      <c r="A1865" s="121" t="str">
        <f aca="false">IF(B1865="","",CONCATENATE(COUNTA($B$4:B1865),"."))</f>
        <v/>
      </c>
      <c r="B1865" s="112"/>
      <c r="C1865" s="112"/>
      <c r="D1865" s="81"/>
      <c r="E1865" s="81"/>
      <c r="F1865" s="81"/>
      <c r="G1865" s="81"/>
      <c r="H1865" s="81"/>
      <c r="I1865" s="161"/>
      <c r="J1865" s="154" t="str">
        <f aca="false">IF(H1865="","",ROUNDUP(H1865*35%,0))</f>
        <v/>
      </c>
      <c r="K1865" s="113"/>
      <c r="L1865" s="113"/>
    </row>
    <row r="1866" customFormat="false" ht="12.75" hidden="false" customHeight="true" outlineLevel="0" collapsed="false">
      <c r="A1866" s="121" t="str">
        <f aca="false">IF(B1866="","",CONCATENATE(COUNTA($B$4:B1866),"."))</f>
        <v/>
      </c>
      <c r="B1866" s="112"/>
      <c r="C1866" s="112"/>
      <c r="D1866" s="81"/>
      <c r="E1866" s="81"/>
      <c r="F1866" s="81"/>
      <c r="G1866" s="81"/>
      <c r="H1866" s="81"/>
      <c r="I1866" s="161"/>
      <c r="J1866" s="154" t="str">
        <f aca="false">IF(H1866="","",ROUNDUP(H1866*35%,0))</f>
        <v/>
      </c>
      <c r="K1866" s="113"/>
      <c r="L1866" s="113"/>
    </row>
    <row r="1867" customFormat="false" ht="12.75" hidden="false" customHeight="true" outlineLevel="0" collapsed="false">
      <c r="A1867" s="121" t="str">
        <f aca="false">IF(B1867="","",CONCATENATE(COUNTA($B$4:B1867),"."))</f>
        <v/>
      </c>
      <c r="B1867" s="112"/>
      <c r="C1867" s="112"/>
      <c r="D1867" s="81"/>
      <c r="E1867" s="81"/>
      <c r="F1867" s="81"/>
      <c r="G1867" s="81"/>
      <c r="H1867" s="81"/>
      <c r="I1867" s="161"/>
      <c r="J1867" s="154" t="str">
        <f aca="false">IF(H1867="","",ROUNDUP(H1867*35%,0))</f>
        <v/>
      </c>
      <c r="K1867" s="113"/>
      <c r="L1867" s="113"/>
    </row>
    <row r="1868" customFormat="false" ht="12.75" hidden="false" customHeight="true" outlineLevel="0" collapsed="false">
      <c r="A1868" s="121" t="str">
        <f aca="false">IF(B1868="","",CONCATENATE(COUNTA($B$4:B1868),"."))</f>
        <v/>
      </c>
      <c r="B1868" s="112"/>
      <c r="C1868" s="112"/>
      <c r="D1868" s="81"/>
      <c r="E1868" s="81"/>
      <c r="F1868" s="81"/>
      <c r="G1868" s="81"/>
      <c r="H1868" s="81"/>
      <c r="I1868" s="161"/>
      <c r="J1868" s="154" t="str">
        <f aca="false">IF(H1868="","",ROUNDUP(H1868*35%,0))</f>
        <v/>
      </c>
      <c r="K1868" s="113"/>
      <c r="L1868" s="113"/>
    </row>
    <row r="1869" customFormat="false" ht="12.75" hidden="false" customHeight="true" outlineLevel="0" collapsed="false">
      <c r="A1869" s="121" t="str">
        <f aca="false">IF(B1869="","",CONCATENATE(COUNTA($B$4:B1869),"."))</f>
        <v/>
      </c>
      <c r="B1869" s="112"/>
      <c r="C1869" s="112"/>
      <c r="D1869" s="81"/>
      <c r="E1869" s="81"/>
      <c r="F1869" s="81"/>
      <c r="G1869" s="81"/>
      <c r="H1869" s="81"/>
      <c r="I1869" s="161"/>
      <c r="J1869" s="154" t="str">
        <f aca="false">IF(H1869="","",ROUNDUP(H1869*35%,0))</f>
        <v/>
      </c>
      <c r="K1869" s="113"/>
      <c r="L1869" s="113"/>
    </row>
    <row r="1870" customFormat="false" ht="12.75" hidden="false" customHeight="true" outlineLevel="0" collapsed="false">
      <c r="A1870" s="121" t="str">
        <f aca="false">IF(B1870="","",CONCATENATE(COUNTA($B$4:B1870),"."))</f>
        <v/>
      </c>
      <c r="B1870" s="112"/>
      <c r="C1870" s="112"/>
      <c r="D1870" s="81"/>
      <c r="E1870" s="81"/>
      <c r="F1870" s="81"/>
      <c r="G1870" s="81"/>
      <c r="H1870" s="81"/>
      <c r="I1870" s="161"/>
      <c r="J1870" s="154" t="str">
        <f aca="false">IF(H1870="","",ROUNDUP(H1870*35%,0))</f>
        <v/>
      </c>
      <c r="K1870" s="113"/>
      <c r="L1870" s="113"/>
    </row>
    <row r="1871" customFormat="false" ht="12.75" hidden="false" customHeight="true" outlineLevel="0" collapsed="false">
      <c r="A1871" s="121" t="str">
        <f aca="false">IF(B1871="","",CONCATENATE(COUNTA($B$4:B1871),"."))</f>
        <v/>
      </c>
      <c r="B1871" s="112"/>
      <c r="C1871" s="112"/>
      <c r="D1871" s="81"/>
      <c r="E1871" s="81"/>
      <c r="F1871" s="81"/>
      <c r="G1871" s="81"/>
      <c r="H1871" s="81"/>
      <c r="I1871" s="161"/>
      <c r="J1871" s="154" t="str">
        <f aca="false">IF(H1871="","",ROUNDUP(H1871*35%,0))</f>
        <v/>
      </c>
      <c r="K1871" s="113"/>
      <c r="L1871" s="113"/>
    </row>
    <row r="1872" customFormat="false" ht="12.75" hidden="false" customHeight="true" outlineLevel="0" collapsed="false">
      <c r="A1872" s="121" t="str">
        <f aca="false">IF(B1872="","",CONCATENATE(COUNTA($B$4:B1872),"."))</f>
        <v/>
      </c>
      <c r="B1872" s="112"/>
      <c r="C1872" s="112"/>
      <c r="D1872" s="81"/>
      <c r="E1872" s="81"/>
      <c r="F1872" s="81"/>
      <c r="G1872" s="81"/>
      <c r="H1872" s="81"/>
      <c r="I1872" s="161"/>
      <c r="J1872" s="154" t="str">
        <f aca="false">IF(H1872="","",ROUNDUP(H1872*35%,0))</f>
        <v/>
      </c>
      <c r="K1872" s="113"/>
      <c r="L1872" s="113"/>
    </row>
    <row r="1873" customFormat="false" ht="12.75" hidden="false" customHeight="true" outlineLevel="0" collapsed="false">
      <c r="A1873" s="121" t="str">
        <f aca="false">IF(B1873="","",CONCATENATE(COUNTA($B$4:B1873),"."))</f>
        <v/>
      </c>
      <c r="B1873" s="112"/>
      <c r="C1873" s="112"/>
      <c r="D1873" s="81"/>
      <c r="E1873" s="81"/>
      <c r="F1873" s="81"/>
      <c r="G1873" s="81"/>
      <c r="H1873" s="81"/>
      <c r="I1873" s="161"/>
      <c r="J1873" s="154" t="str">
        <f aca="false">IF(H1873="","",ROUNDUP(H1873*35%,0))</f>
        <v/>
      </c>
      <c r="K1873" s="113"/>
      <c r="L1873" s="113"/>
    </row>
    <row r="1874" customFormat="false" ht="12.75" hidden="false" customHeight="true" outlineLevel="0" collapsed="false">
      <c r="A1874" s="121" t="str">
        <f aca="false">IF(B1874="","",CONCATENATE(COUNTA($B$4:B1874),"."))</f>
        <v/>
      </c>
      <c r="B1874" s="112"/>
      <c r="C1874" s="112"/>
      <c r="D1874" s="81"/>
      <c r="E1874" s="81"/>
      <c r="F1874" s="81"/>
      <c r="G1874" s="81"/>
      <c r="H1874" s="81"/>
      <c r="I1874" s="161"/>
      <c r="J1874" s="154" t="str">
        <f aca="false">IF(H1874="","",ROUNDUP(H1874*35%,0))</f>
        <v/>
      </c>
      <c r="K1874" s="113"/>
      <c r="L1874" s="113"/>
    </row>
    <row r="1875" customFormat="false" ht="12.75" hidden="false" customHeight="true" outlineLevel="0" collapsed="false">
      <c r="A1875" s="121" t="str">
        <f aca="false">IF(B1875="","",CONCATENATE(COUNTA($B$4:B1875),"."))</f>
        <v/>
      </c>
      <c r="B1875" s="112"/>
      <c r="C1875" s="112"/>
      <c r="D1875" s="81"/>
      <c r="E1875" s="81"/>
      <c r="F1875" s="81"/>
      <c r="G1875" s="81"/>
      <c r="H1875" s="81"/>
      <c r="I1875" s="161"/>
      <c r="J1875" s="154" t="str">
        <f aca="false">IF(H1875="","",ROUNDUP(H1875*35%,0))</f>
        <v/>
      </c>
      <c r="K1875" s="113"/>
      <c r="L1875" s="113"/>
    </row>
    <row r="1876" customFormat="false" ht="12.75" hidden="false" customHeight="true" outlineLevel="0" collapsed="false">
      <c r="A1876" s="121" t="str">
        <f aca="false">IF(B1876="","",CONCATENATE(COUNTA($B$4:B1876),"."))</f>
        <v/>
      </c>
      <c r="B1876" s="112"/>
      <c r="C1876" s="112"/>
      <c r="D1876" s="81"/>
      <c r="E1876" s="81"/>
      <c r="F1876" s="81"/>
      <c r="G1876" s="81"/>
      <c r="H1876" s="81"/>
      <c r="I1876" s="161"/>
      <c r="J1876" s="154" t="str">
        <f aca="false">IF(H1876="","",ROUNDUP(H1876*35%,0))</f>
        <v/>
      </c>
      <c r="K1876" s="113"/>
      <c r="L1876" s="113"/>
    </row>
    <row r="1877" customFormat="false" ht="12.75" hidden="false" customHeight="true" outlineLevel="0" collapsed="false">
      <c r="A1877" s="121" t="str">
        <f aca="false">IF(B1877="","",CONCATENATE(COUNTA($B$4:B1877),"."))</f>
        <v/>
      </c>
      <c r="B1877" s="112"/>
      <c r="C1877" s="112"/>
      <c r="D1877" s="81"/>
      <c r="E1877" s="81"/>
      <c r="F1877" s="81"/>
      <c r="G1877" s="81"/>
      <c r="H1877" s="81"/>
      <c r="I1877" s="161"/>
      <c r="J1877" s="154" t="str">
        <f aca="false">IF(H1877="","",ROUNDUP(H1877*35%,0))</f>
        <v/>
      </c>
      <c r="K1877" s="113"/>
      <c r="L1877" s="113"/>
    </row>
    <row r="1878" customFormat="false" ht="12.75" hidden="false" customHeight="true" outlineLevel="0" collapsed="false">
      <c r="A1878" s="121" t="str">
        <f aca="false">IF(B1878="","",CONCATENATE(COUNTA($B$4:B1878),"."))</f>
        <v/>
      </c>
      <c r="B1878" s="112"/>
      <c r="C1878" s="112"/>
      <c r="D1878" s="81"/>
      <c r="E1878" s="81"/>
      <c r="F1878" s="81"/>
      <c r="G1878" s="81"/>
      <c r="H1878" s="81"/>
      <c r="I1878" s="161"/>
      <c r="J1878" s="154" t="str">
        <f aca="false">IF(H1878="","",ROUNDUP(H1878*35%,0))</f>
        <v/>
      </c>
      <c r="K1878" s="113"/>
      <c r="L1878" s="113"/>
    </row>
    <row r="1879" customFormat="false" ht="12.75" hidden="false" customHeight="true" outlineLevel="0" collapsed="false">
      <c r="A1879" s="121" t="str">
        <f aca="false">IF(B1879="","",CONCATENATE(COUNTA($B$4:B1879),"."))</f>
        <v/>
      </c>
      <c r="B1879" s="112"/>
      <c r="C1879" s="112"/>
      <c r="D1879" s="81"/>
      <c r="E1879" s="81"/>
      <c r="F1879" s="81"/>
      <c r="G1879" s="81"/>
      <c r="H1879" s="81"/>
      <c r="I1879" s="161"/>
      <c r="J1879" s="154" t="str">
        <f aca="false">IF(H1879="","",ROUNDUP(H1879*35%,0))</f>
        <v/>
      </c>
      <c r="K1879" s="113"/>
      <c r="L1879" s="113"/>
    </row>
    <row r="1880" customFormat="false" ht="12.75" hidden="false" customHeight="true" outlineLevel="0" collapsed="false">
      <c r="A1880" s="121" t="str">
        <f aca="false">IF(B1880="","",CONCATENATE(COUNTA($B$4:B1880),"."))</f>
        <v/>
      </c>
      <c r="B1880" s="112"/>
      <c r="C1880" s="112"/>
      <c r="D1880" s="81"/>
      <c r="E1880" s="81"/>
      <c r="F1880" s="81"/>
      <c r="G1880" s="81"/>
      <c r="H1880" s="81"/>
      <c r="I1880" s="161"/>
      <c r="J1880" s="154" t="str">
        <f aca="false">IF(H1880="","",ROUNDUP(H1880*35%,0))</f>
        <v/>
      </c>
      <c r="K1880" s="113"/>
      <c r="L1880" s="113"/>
    </row>
    <row r="1881" customFormat="false" ht="12.75" hidden="false" customHeight="true" outlineLevel="0" collapsed="false">
      <c r="A1881" s="121" t="str">
        <f aca="false">IF(B1881="","",CONCATENATE(COUNTA($B$4:B1881),"."))</f>
        <v/>
      </c>
      <c r="B1881" s="112"/>
      <c r="C1881" s="112"/>
      <c r="D1881" s="81"/>
      <c r="E1881" s="81"/>
      <c r="F1881" s="81"/>
      <c r="G1881" s="81"/>
      <c r="H1881" s="81"/>
      <c r="I1881" s="161"/>
      <c r="J1881" s="154" t="str">
        <f aca="false">IF(H1881="","",ROUNDUP(H1881*35%,0))</f>
        <v/>
      </c>
      <c r="K1881" s="113"/>
      <c r="L1881" s="113"/>
    </row>
    <row r="1882" customFormat="false" ht="12.75" hidden="false" customHeight="true" outlineLevel="0" collapsed="false">
      <c r="A1882" s="121" t="str">
        <f aca="false">IF(B1882="","",CONCATENATE(COUNTA($B$4:B1882),"."))</f>
        <v/>
      </c>
      <c r="B1882" s="112"/>
      <c r="C1882" s="112"/>
      <c r="D1882" s="81"/>
      <c r="E1882" s="81"/>
      <c r="F1882" s="81"/>
      <c r="G1882" s="81"/>
      <c r="H1882" s="81"/>
      <c r="I1882" s="161"/>
      <c r="J1882" s="154" t="str">
        <f aca="false">IF(H1882="","",ROUNDUP(H1882*35%,0))</f>
        <v/>
      </c>
      <c r="K1882" s="113"/>
      <c r="L1882" s="113"/>
    </row>
    <row r="1883" customFormat="false" ht="12.75" hidden="false" customHeight="true" outlineLevel="0" collapsed="false">
      <c r="A1883" s="121" t="str">
        <f aca="false">IF(B1883="","",CONCATENATE(COUNTA($B$4:B1883),"."))</f>
        <v/>
      </c>
      <c r="B1883" s="112"/>
      <c r="C1883" s="112"/>
      <c r="D1883" s="81"/>
      <c r="E1883" s="81"/>
      <c r="F1883" s="81"/>
      <c r="G1883" s="81"/>
      <c r="H1883" s="81"/>
      <c r="I1883" s="161"/>
      <c r="J1883" s="154" t="str">
        <f aca="false">IF(H1883="","",ROUNDUP(H1883*35%,0))</f>
        <v/>
      </c>
      <c r="K1883" s="113"/>
      <c r="L1883" s="113"/>
    </row>
    <row r="1884" customFormat="false" ht="12.75" hidden="false" customHeight="true" outlineLevel="0" collapsed="false">
      <c r="A1884" s="121" t="str">
        <f aca="false">IF(B1884="","",CONCATENATE(COUNTA($B$4:B1884),"."))</f>
        <v/>
      </c>
      <c r="B1884" s="112"/>
      <c r="C1884" s="112"/>
      <c r="D1884" s="81"/>
      <c r="E1884" s="81"/>
      <c r="F1884" s="81"/>
      <c r="G1884" s="81"/>
      <c r="H1884" s="81"/>
      <c r="I1884" s="161"/>
      <c r="J1884" s="154" t="str">
        <f aca="false">IF(H1884="","",ROUNDUP(H1884*35%,0))</f>
        <v/>
      </c>
      <c r="K1884" s="113"/>
      <c r="L1884" s="113"/>
    </row>
    <row r="1885" customFormat="false" ht="12.75" hidden="false" customHeight="true" outlineLevel="0" collapsed="false">
      <c r="A1885" s="121" t="str">
        <f aca="false">IF(B1885="","",CONCATENATE(COUNTA($B$4:B1885),"."))</f>
        <v/>
      </c>
      <c r="B1885" s="112"/>
      <c r="C1885" s="112"/>
      <c r="D1885" s="81"/>
      <c r="E1885" s="81"/>
      <c r="F1885" s="81"/>
      <c r="G1885" s="81"/>
      <c r="H1885" s="81"/>
      <c r="I1885" s="161"/>
      <c r="J1885" s="154" t="str">
        <f aca="false">IF(H1885="","",ROUNDUP(H1885*35%,0))</f>
        <v/>
      </c>
      <c r="K1885" s="113"/>
      <c r="L1885" s="113"/>
    </row>
    <row r="1886" customFormat="false" ht="12.75" hidden="false" customHeight="true" outlineLevel="0" collapsed="false">
      <c r="A1886" s="121" t="str">
        <f aca="false">IF(B1886="","",CONCATENATE(COUNTA($B$4:B1886),"."))</f>
        <v/>
      </c>
      <c r="B1886" s="112"/>
      <c r="C1886" s="112"/>
      <c r="D1886" s="81"/>
      <c r="E1886" s="81"/>
      <c r="F1886" s="81"/>
      <c r="G1886" s="81"/>
      <c r="H1886" s="81"/>
      <c r="I1886" s="161"/>
      <c r="J1886" s="154" t="str">
        <f aca="false">IF(H1886="","",ROUNDUP(H1886*35%,0))</f>
        <v/>
      </c>
      <c r="K1886" s="113"/>
      <c r="L1886" s="113"/>
    </row>
    <row r="1887" customFormat="false" ht="12.75" hidden="false" customHeight="true" outlineLevel="0" collapsed="false">
      <c r="A1887" s="121" t="str">
        <f aca="false">IF(B1887="","",CONCATENATE(COUNTA($B$4:B1887),"."))</f>
        <v/>
      </c>
      <c r="B1887" s="112"/>
      <c r="C1887" s="112"/>
      <c r="D1887" s="81"/>
      <c r="E1887" s="81"/>
      <c r="F1887" s="81"/>
      <c r="G1887" s="81"/>
      <c r="H1887" s="81"/>
      <c r="I1887" s="161"/>
      <c r="J1887" s="154" t="str">
        <f aca="false">IF(H1887="","",ROUNDUP(H1887*35%,0))</f>
        <v/>
      </c>
      <c r="K1887" s="113"/>
      <c r="L1887" s="113"/>
    </row>
    <row r="1888" customFormat="false" ht="12.75" hidden="false" customHeight="true" outlineLevel="0" collapsed="false">
      <c r="A1888" s="121" t="str">
        <f aca="false">IF(B1888="","",CONCATENATE(COUNTA($B$4:B1888),"."))</f>
        <v/>
      </c>
      <c r="B1888" s="112"/>
      <c r="C1888" s="112"/>
      <c r="D1888" s="81"/>
      <c r="E1888" s="81"/>
      <c r="F1888" s="81"/>
      <c r="G1888" s="81"/>
      <c r="H1888" s="81"/>
      <c r="I1888" s="161"/>
      <c r="J1888" s="154" t="str">
        <f aca="false">IF(H1888="","",ROUNDUP(H1888*35%,0))</f>
        <v/>
      </c>
      <c r="K1888" s="113"/>
      <c r="L1888" s="113"/>
    </row>
    <row r="1889" customFormat="false" ht="12.75" hidden="false" customHeight="true" outlineLevel="0" collapsed="false">
      <c r="A1889" s="121" t="str">
        <f aca="false">IF(B1889="","",CONCATENATE(COUNTA($B$4:B1889),"."))</f>
        <v/>
      </c>
      <c r="B1889" s="112"/>
      <c r="C1889" s="112"/>
      <c r="D1889" s="81"/>
      <c r="E1889" s="81"/>
      <c r="F1889" s="81"/>
      <c r="G1889" s="81"/>
      <c r="H1889" s="81"/>
      <c r="I1889" s="161"/>
      <c r="J1889" s="154" t="str">
        <f aca="false">IF(H1889="","",ROUNDUP(H1889*35%,0))</f>
        <v/>
      </c>
      <c r="K1889" s="113"/>
      <c r="L1889" s="113"/>
    </row>
    <row r="1890" customFormat="false" ht="12.75" hidden="false" customHeight="true" outlineLevel="0" collapsed="false">
      <c r="A1890" s="121" t="str">
        <f aca="false">IF(B1890="","",CONCATENATE(COUNTA($B$4:B1890),"."))</f>
        <v/>
      </c>
      <c r="B1890" s="112"/>
      <c r="C1890" s="112"/>
      <c r="D1890" s="81"/>
      <c r="E1890" s="81"/>
      <c r="F1890" s="81"/>
      <c r="G1890" s="81"/>
      <c r="H1890" s="81"/>
      <c r="I1890" s="161"/>
      <c r="J1890" s="154" t="str">
        <f aca="false">IF(H1890="","",ROUNDUP(H1890*35%,0))</f>
        <v/>
      </c>
      <c r="K1890" s="113"/>
      <c r="L1890" s="113"/>
    </row>
    <row r="1891" customFormat="false" ht="12.75" hidden="false" customHeight="true" outlineLevel="0" collapsed="false">
      <c r="A1891" s="121" t="str">
        <f aca="false">IF(B1891="","",CONCATENATE(COUNTA($B$4:B1891),"."))</f>
        <v/>
      </c>
      <c r="B1891" s="112"/>
      <c r="C1891" s="112"/>
      <c r="D1891" s="81"/>
      <c r="E1891" s="81"/>
      <c r="F1891" s="81"/>
      <c r="G1891" s="81"/>
      <c r="H1891" s="81"/>
      <c r="I1891" s="161"/>
      <c r="J1891" s="154" t="str">
        <f aca="false">IF(H1891="","",ROUNDUP(H1891*35%,0))</f>
        <v/>
      </c>
      <c r="K1891" s="113"/>
      <c r="L1891" s="113"/>
    </row>
    <row r="1892" customFormat="false" ht="12.75" hidden="false" customHeight="true" outlineLevel="0" collapsed="false">
      <c r="A1892" s="121" t="str">
        <f aca="false">IF(B1892="","",CONCATENATE(COUNTA($B$4:B1892),"."))</f>
        <v/>
      </c>
      <c r="B1892" s="112"/>
      <c r="C1892" s="112"/>
      <c r="D1892" s="81"/>
      <c r="E1892" s="81"/>
      <c r="F1892" s="81"/>
      <c r="G1892" s="81"/>
      <c r="H1892" s="81"/>
      <c r="I1892" s="161"/>
      <c r="J1892" s="154" t="str">
        <f aca="false">IF(H1892="","",ROUNDUP(H1892*35%,0))</f>
        <v/>
      </c>
      <c r="K1892" s="113"/>
      <c r="L1892" s="113"/>
    </row>
    <row r="1893" customFormat="false" ht="12.75" hidden="false" customHeight="true" outlineLevel="0" collapsed="false">
      <c r="A1893" s="121" t="str">
        <f aca="false">IF(B1893="","",CONCATENATE(COUNTA($B$4:B1893),"."))</f>
        <v/>
      </c>
      <c r="B1893" s="112"/>
      <c r="C1893" s="112"/>
      <c r="D1893" s="81"/>
      <c r="E1893" s="81"/>
      <c r="F1893" s="81"/>
      <c r="G1893" s="81"/>
      <c r="H1893" s="81"/>
      <c r="I1893" s="161"/>
      <c r="J1893" s="154" t="str">
        <f aca="false">IF(H1893="","",ROUNDUP(H1893*35%,0))</f>
        <v/>
      </c>
      <c r="K1893" s="113"/>
      <c r="L1893" s="113"/>
    </row>
    <row r="1894" customFormat="false" ht="12.75" hidden="false" customHeight="true" outlineLevel="0" collapsed="false">
      <c r="A1894" s="121" t="str">
        <f aca="false">IF(B1894="","",CONCATENATE(COUNTA($B$4:B1894),"."))</f>
        <v/>
      </c>
      <c r="B1894" s="112"/>
      <c r="C1894" s="112"/>
      <c r="D1894" s="81"/>
      <c r="E1894" s="81"/>
      <c r="F1894" s="81"/>
      <c r="G1894" s="81"/>
      <c r="H1894" s="81"/>
      <c r="I1894" s="161"/>
      <c r="J1894" s="154" t="str">
        <f aca="false">IF(H1894="","",ROUNDUP(H1894*35%,0))</f>
        <v/>
      </c>
      <c r="K1894" s="113"/>
      <c r="L1894" s="113"/>
    </row>
    <row r="1895" customFormat="false" ht="12.75" hidden="false" customHeight="true" outlineLevel="0" collapsed="false">
      <c r="A1895" s="121" t="str">
        <f aca="false">IF(B1895="","",CONCATENATE(COUNTA($B$4:B1895),"."))</f>
        <v/>
      </c>
      <c r="B1895" s="112"/>
      <c r="C1895" s="112"/>
      <c r="D1895" s="81"/>
      <c r="E1895" s="81"/>
      <c r="F1895" s="81"/>
      <c r="G1895" s="81"/>
      <c r="H1895" s="81"/>
      <c r="I1895" s="161"/>
      <c r="J1895" s="154" t="str">
        <f aca="false">IF(H1895="","",ROUNDUP(H1895*35%,0))</f>
        <v/>
      </c>
      <c r="K1895" s="113"/>
      <c r="L1895" s="113"/>
    </row>
    <row r="1896" customFormat="false" ht="12.75" hidden="false" customHeight="true" outlineLevel="0" collapsed="false">
      <c r="A1896" s="121" t="str">
        <f aca="false">IF(B1896="","",CONCATENATE(COUNTA($B$4:B1896),"."))</f>
        <v/>
      </c>
      <c r="B1896" s="112"/>
      <c r="C1896" s="112"/>
      <c r="D1896" s="81"/>
      <c r="E1896" s="81"/>
      <c r="F1896" s="81"/>
      <c r="G1896" s="81"/>
      <c r="H1896" s="81"/>
      <c r="I1896" s="161"/>
      <c r="J1896" s="154" t="str">
        <f aca="false">IF(H1896="","",ROUNDUP(H1896*35%,0))</f>
        <v/>
      </c>
      <c r="K1896" s="113"/>
      <c r="L1896" s="113"/>
    </row>
    <row r="1897" customFormat="false" ht="12.75" hidden="false" customHeight="true" outlineLevel="0" collapsed="false">
      <c r="A1897" s="121" t="str">
        <f aca="false">IF(B1897="","",CONCATENATE(COUNTA($B$4:B1897),"."))</f>
        <v/>
      </c>
      <c r="B1897" s="112"/>
      <c r="C1897" s="112"/>
      <c r="D1897" s="81"/>
      <c r="E1897" s="81"/>
      <c r="F1897" s="81"/>
      <c r="G1897" s="81"/>
      <c r="H1897" s="81"/>
      <c r="I1897" s="161"/>
      <c r="J1897" s="154" t="str">
        <f aca="false">IF(H1897="","",ROUNDUP(H1897*35%,0))</f>
        <v/>
      </c>
      <c r="K1897" s="113"/>
      <c r="L1897" s="113"/>
    </row>
    <row r="1898" customFormat="false" ht="12.75" hidden="false" customHeight="true" outlineLevel="0" collapsed="false">
      <c r="A1898" s="121" t="str">
        <f aca="false">IF(B1898="","",CONCATENATE(COUNTA($B$4:B1898),"."))</f>
        <v/>
      </c>
      <c r="B1898" s="112"/>
      <c r="C1898" s="112"/>
      <c r="D1898" s="81"/>
      <c r="E1898" s="81"/>
      <c r="F1898" s="81"/>
      <c r="G1898" s="81"/>
      <c r="H1898" s="81"/>
      <c r="I1898" s="161"/>
      <c r="J1898" s="154" t="str">
        <f aca="false">IF(H1898="","",ROUNDUP(H1898*35%,0))</f>
        <v/>
      </c>
      <c r="K1898" s="113"/>
      <c r="L1898" s="113"/>
    </row>
    <row r="1899" customFormat="false" ht="12.75" hidden="false" customHeight="true" outlineLevel="0" collapsed="false">
      <c r="A1899" s="121" t="str">
        <f aca="false">IF(B1899="","",CONCATENATE(COUNTA($B$4:B1899),"."))</f>
        <v/>
      </c>
      <c r="B1899" s="112"/>
      <c r="C1899" s="112"/>
      <c r="D1899" s="81"/>
      <c r="E1899" s="81"/>
      <c r="F1899" s="81"/>
      <c r="G1899" s="81"/>
      <c r="H1899" s="81"/>
      <c r="I1899" s="161"/>
      <c r="J1899" s="154" t="str">
        <f aca="false">IF(H1899="","",ROUNDUP(H1899*35%,0))</f>
        <v/>
      </c>
      <c r="K1899" s="113"/>
      <c r="L1899" s="113"/>
    </row>
    <row r="1900" customFormat="false" ht="12.75" hidden="false" customHeight="true" outlineLevel="0" collapsed="false">
      <c r="A1900" s="121" t="str">
        <f aca="false">IF(B1900="","",CONCATENATE(COUNTA($B$4:B1900),"."))</f>
        <v/>
      </c>
      <c r="B1900" s="112"/>
      <c r="C1900" s="112"/>
      <c r="D1900" s="81"/>
      <c r="E1900" s="81"/>
      <c r="F1900" s="81"/>
      <c r="G1900" s="81"/>
      <c r="H1900" s="81"/>
      <c r="I1900" s="161"/>
      <c r="J1900" s="154" t="str">
        <f aca="false">IF(H1900="","",ROUNDUP(H1900*35%,0))</f>
        <v/>
      </c>
      <c r="K1900" s="113"/>
      <c r="L1900" s="113"/>
    </row>
    <row r="1901" customFormat="false" ht="12.75" hidden="false" customHeight="true" outlineLevel="0" collapsed="false">
      <c r="A1901" s="121" t="str">
        <f aca="false">IF(B1901="","",CONCATENATE(COUNTA($B$4:B1901),"."))</f>
        <v/>
      </c>
      <c r="B1901" s="112"/>
      <c r="C1901" s="112"/>
      <c r="D1901" s="81"/>
      <c r="E1901" s="81"/>
      <c r="F1901" s="81"/>
      <c r="G1901" s="81"/>
      <c r="H1901" s="81"/>
      <c r="I1901" s="161"/>
      <c r="J1901" s="154" t="str">
        <f aca="false">IF(H1901="","",ROUNDUP(H1901*35%,0))</f>
        <v/>
      </c>
      <c r="K1901" s="113"/>
      <c r="L1901" s="113"/>
    </row>
    <row r="1902" customFormat="false" ht="12.75" hidden="false" customHeight="true" outlineLevel="0" collapsed="false">
      <c r="A1902" s="121" t="str">
        <f aca="false">IF(B1902="","",CONCATENATE(COUNTA($B$4:B1902),"."))</f>
        <v/>
      </c>
      <c r="B1902" s="112"/>
      <c r="C1902" s="112"/>
      <c r="D1902" s="81"/>
      <c r="E1902" s="81"/>
      <c r="F1902" s="81"/>
      <c r="G1902" s="81"/>
      <c r="H1902" s="81"/>
      <c r="I1902" s="161"/>
      <c r="J1902" s="154" t="str">
        <f aca="false">IF(H1902="","",ROUNDUP(H1902*35%,0))</f>
        <v/>
      </c>
      <c r="K1902" s="113"/>
      <c r="L1902" s="113"/>
    </row>
    <row r="1903" customFormat="false" ht="12.75" hidden="false" customHeight="true" outlineLevel="0" collapsed="false">
      <c r="A1903" s="121" t="str">
        <f aca="false">IF(B1903="","",CONCATENATE(COUNTA($B$4:B1903),"."))</f>
        <v/>
      </c>
      <c r="B1903" s="112"/>
      <c r="C1903" s="112"/>
      <c r="D1903" s="81"/>
      <c r="E1903" s="81"/>
      <c r="F1903" s="81"/>
      <c r="G1903" s="81"/>
      <c r="H1903" s="81"/>
      <c r="I1903" s="161"/>
      <c r="J1903" s="154" t="str">
        <f aca="false">IF(H1903="","",ROUNDUP(H1903*35%,0))</f>
        <v/>
      </c>
      <c r="K1903" s="113"/>
      <c r="L1903" s="113"/>
    </row>
    <row r="1904" customFormat="false" ht="12.75" hidden="false" customHeight="true" outlineLevel="0" collapsed="false">
      <c r="A1904" s="121" t="str">
        <f aca="false">IF(B1904="","",CONCATENATE(COUNTA($B$4:B1904),"."))</f>
        <v/>
      </c>
      <c r="B1904" s="112"/>
      <c r="C1904" s="112"/>
      <c r="D1904" s="81"/>
      <c r="E1904" s="81"/>
      <c r="F1904" s="81"/>
      <c r="G1904" s="81"/>
      <c r="H1904" s="81"/>
      <c r="I1904" s="161"/>
      <c r="J1904" s="154" t="str">
        <f aca="false">IF(H1904="","",ROUNDUP(H1904*35%,0))</f>
        <v/>
      </c>
      <c r="K1904" s="113"/>
      <c r="L1904" s="113"/>
    </row>
    <row r="1905" customFormat="false" ht="12.75" hidden="false" customHeight="true" outlineLevel="0" collapsed="false">
      <c r="A1905" s="121" t="str">
        <f aca="false">IF(B1905="","",CONCATENATE(COUNTA($B$4:B1905),"."))</f>
        <v/>
      </c>
      <c r="B1905" s="112"/>
      <c r="C1905" s="112"/>
      <c r="D1905" s="81"/>
      <c r="E1905" s="81"/>
      <c r="F1905" s="81"/>
      <c r="G1905" s="81"/>
      <c r="H1905" s="81"/>
      <c r="I1905" s="161"/>
      <c r="J1905" s="154" t="str">
        <f aca="false">IF(H1905="","",ROUNDUP(H1905*35%,0))</f>
        <v/>
      </c>
      <c r="K1905" s="113"/>
      <c r="L1905" s="113"/>
    </row>
    <row r="1906" customFormat="false" ht="12.75" hidden="false" customHeight="true" outlineLevel="0" collapsed="false">
      <c r="A1906" s="121" t="str">
        <f aca="false">IF(B1906="","",CONCATENATE(COUNTA($B$4:B1906),"."))</f>
        <v/>
      </c>
      <c r="B1906" s="112"/>
      <c r="C1906" s="112"/>
      <c r="D1906" s="81"/>
      <c r="E1906" s="81"/>
      <c r="F1906" s="81"/>
      <c r="G1906" s="81"/>
      <c r="H1906" s="81"/>
      <c r="I1906" s="161"/>
      <c r="J1906" s="154" t="str">
        <f aca="false">IF(H1906="","",ROUNDUP(H1906*35%,0))</f>
        <v/>
      </c>
      <c r="K1906" s="113"/>
      <c r="L1906" s="113"/>
    </row>
    <row r="1907" customFormat="false" ht="12.75" hidden="false" customHeight="true" outlineLevel="0" collapsed="false">
      <c r="A1907" s="121" t="str">
        <f aca="false">IF(B1907="","",CONCATENATE(COUNTA($B$4:B1907),"."))</f>
        <v/>
      </c>
      <c r="B1907" s="112"/>
      <c r="C1907" s="112"/>
      <c r="D1907" s="81"/>
      <c r="E1907" s="81"/>
      <c r="F1907" s="81"/>
      <c r="G1907" s="81"/>
      <c r="H1907" s="81"/>
      <c r="I1907" s="161"/>
      <c r="J1907" s="154" t="str">
        <f aca="false">IF(H1907="","",ROUNDUP(H1907*35%,0))</f>
        <v/>
      </c>
      <c r="K1907" s="113"/>
      <c r="L1907" s="113"/>
    </row>
    <row r="1908" customFormat="false" ht="12.75" hidden="false" customHeight="true" outlineLevel="0" collapsed="false">
      <c r="A1908" s="121" t="str">
        <f aca="false">IF(B1908="","",CONCATENATE(COUNTA($B$4:B1908),"."))</f>
        <v/>
      </c>
      <c r="B1908" s="112"/>
      <c r="C1908" s="112"/>
      <c r="D1908" s="81"/>
      <c r="E1908" s="81"/>
      <c r="F1908" s="81"/>
      <c r="G1908" s="81"/>
      <c r="H1908" s="81"/>
      <c r="I1908" s="161"/>
      <c r="J1908" s="154" t="str">
        <f aca="false">IF(H1908="","",ROUNDUP(H1908*35%,0))</f>
        <v/>
      </c>
      <c r="K1908" s="113"/>
      <c r="L1908" s="113"/>
    </row>
    <row r="1909" customFormat="false" ht="12.75" hidden="false" customHeight="true" outlineLevel="0" collapsed="false">
      <c r="A1909" s="121" t="str">
        <f aca="false">IF(B1909="","",CONCATENATE(COUNTA($B$4:B1909),"."))</f>
        <v/>
      </c>
      <c r="B1909" s="112"/>
      <c r="C1909" s="112"/>
      <c r="D1909" s="81"/>
      <c r="E1909" s="81"/>
      <c r="F1909" s="81"/>
      <c r="G1909" s="81"/>
      <c r="H1909" s="81"/>
      <c r="I1909" s="161"/>
      <c r="J1909" s="154" t="str">
        <f aca="false">IF(H1909="","",ROUNDUP(H1909*35%,0))</f>
        <v/>
      </c>
      <c r="K1909" s="113"/>
      <c r="L1909" s="113"/>
    </row>
    <row r="1910" customFormat="false" ht="12.75" hidden="false" customHeight="true" outlineLevel="0" collapsed="false">
      <c r="A1910" s="121" t="str">
        <f aca="false">IF(B1910="","",CONCATENATE(COUNTA($B$4:B1910),"."))</f>
        <v/>
      </c>
      <c r="B1910" s="112"/>
      <c r="C1910" s="112"/>
      <c r="D1910" s="81"/>
      <c r="E1910" s="81"/>
      <c r="F1910" s="81"/>
      <c r="G1910" s="81"/>
      <c r="H1910" s="81"/>
      <c r="I1910" s="161"/>
      <c r="J1910" s="154" t="str">
        <f aca="false">IF(H1910="","",ROUNDUP(H1910*35%,0))</f>
        <v/>
      </c>
      <c r="K1910" s="113"/>
      <c r="L1910" s="113"/>
    </row>
    <row r="1911" customFormat="false" ht="12.75" hidden="false" customHeight="true" outlineLevel="0" collapsed="false">
      <c r="A1911" s="121" t="str">
        <f aca="false">IF(B1911="","",CONCATENATE(COUNTA($B$4:B1911),"."))</f>
        <v/>
      </c>
      <c r="B1911" s="112"/>
      <c r="C1911" s="112"/>
      <c r="D1911" s="81"/>
      <c r="E1911" s="81"/>
      <c r="F1911" s="81"/>
      <c r="G1911" s="81"/>
      <c r="H1911" s="81"/>
      <c r="I1911" s="161"/>
      <c r="J1911" s="154" t="str">
        <f aca="false">IF(H1911="","",ROUNDUP(H1911*35%,0))</f>
        <v/>
      </c>
      <c r="K1911" s="113"/>
      <c r="L1911" s="113"/>
    </row>
    <row r="1912" customFormat="false" ht="12.75" hidden="false" customHeight="true" outlineLevel="0" collapsed="false">
      <c r="A1912" s="121" t="str">
        <f aca="false">IF(B1912="","",CONCATENATE(COUNTA($B$4:B1912),"."))</f>
        <v/>
      </c>
      <c r="B1912" s="112"/>
      <c r="C1912" s="112"/>
      <c r="D1912" s="81"/>
      <c r="E1912" s="81"/>
      <c r="F1912" s="81"/>
      <c r="G1912" s="81"/>
      <c r="H1912" s="81"/>
      <c r="I1912" s="161"/>
      <c r="J1912" s="154" t="str">
        <f aca="false">IF(H1912="","",ROUNDUP(H1912*35%,0))</f>
        <v/>
      </c>
      <c r="K1912" s="113"/>
      <c r="L1912" s="113"/>
    </row>
    <row r="1913" customFormat="false" ht="12.75" hidden="false" customHeight="true" outlineLevel="0" collapsed="false">
      <c r="A1913" s="121" t="str">
        <f aca="false">IF(B1913="","",CONCATENATE(COUNTA($B$4:B1913),"."))</f>
        <v/>
      </c>
      <c r="B1913" s="112"/>
      <c r="C1913" s="112"/>
      <c r="D1913" s="81"/>
      <c r="E1913" s="81"/>
      <c r="F1913" s="81"/>
      <c r="G1913" s="81"/>
      <c r="H1913" s="81"/>
      <c r="I1913" s="161"/>
      <c r="J1913" s="154" t="str">
        <f aca="false">IF(H1913="","",ROUNDUP(H1913*35%,0))</f>
        <v/>
      </c>
      <c r="K1913" s="113"/>
      <c r="L1913" s="113"/>
    </row>
    <row r="1914" customFormat="false" ht="12.75" hidden="false" customHeight="true" outlineLevel="0" collapsed="false">
      <c r="A1914" s="121" t="str">
        <f aca="false">IF(B1914="","",CONCATENATE(COUNTA($B$4:B1914),"."))</f>
        <v/>
      </c>
      <c r="B1914" s="112"/>
      <c r="C1914" s="112"/>
      <c r="D1914" s="81"/>
      <c r="E1914" s="81"/>
      <c r="F1914" s="81"/>
      <c r="G1914" s="81"/>
      <c r="H1914" s="81"/>
      <c r="I1914" s="161"/>
      <c r="J1914" s="154" t="str">
        <f aca="false">IF(H1914="","",ROUNDUP(H1914*35%,0))</f>
        <v/>
      </c>
      <c r="K1914" s="113"/>
      <c r="L1914" s="113"/>
    </row>
    <row r="1915" customFormat="false" ht="12.75" hidden="false" customHeight="true" outlineLevel="0" collapsed="false">
      <c r="A1915" s="121" t="str">
        <f aca="false">IF(B1915="","",CONCATENATE(COUNTA($B$4:B1915),"."))</f>
        <v/>
      </c>
      <c r="B1915" s="112"/>
      <c r="C1915" s="112"/>
      <c r="D1915" s="81"/>
      <c r="E1915" s="81"/>
      <c r="F1915" s="81"/>
      <c r="G1915" s="81"/>
      <c r="H1915" s="81"/>
      <c r="I1915" s="161"/>
      <c r="J1915" s="154" t="str">
        <f aca="false">IF(H1915="","",ROUNDUP(H1915*35%,0))</f>
        <v/>
      </c>
      <c r="K1915" s="113"/>
      <c r="L1915" s="113"/>
    </row>
    <row r="1916" customFormat="false" ht="12.75" hidden="false" customHeight="true" outlineLevel="0" collapsed="false">
      <c r="A1916" s="121" t="str">
        <f aca="false">IF(B1916="","",CONCATENATE(COUNTA($B$4:B1916),"."))</f>
        <v/>
      </c>
      <c r="B1916" s="112"/>
      <c r="C1916" s="112"/>
      <c r="D1916" s="81"/>
      <c r="E1916" s="81"/>
      <c r="F1916" s="81"/>
      <c r="G1916" s="81"/>
      <c r="H1916" s="81"/>
      <c r="I1916" s="161"/>
      <c r="J1916" s="154" t="str">
        <f aca="false">IF(H1916="","",ROUNDUP(H1916*35%,0))</f>
        <v/>
      </c>
      <c r="K1916" s="113"/>
      <c r="L1916" s="113"/>
    </row>
    <row r="1917" customFormat="false" ht="12.75" hidden="false" customHeight="true" outlineLevel="0" collapsed="false">
      <c r="A1917" s="121" t="str">
        <f aca="false">IF(B1917="","",CONCATENATE(COUNTA($B$4:B1917),"."))</f>
        <v/>
      </c>
      <c r="B1917" s="112"/>
      <c r="C1917" s="112"/>
      <c r="D1917" s="81"/>
      <c r="E1917" s="81"/>
      <c r="F1917" s="81"/>
      <c r="G1917" s="81"/>
      <c r="H1917" s="81"/>
      <c r="I1917" s="161"/>
      <c r="J1917" s="154" t="str">
        <f aca="false">IF(H1917="","",ROUNDUP(H1917*35%,0))</f>
        <v/>
      </c>
      <c r="K1917" s="113"/>
      <c r="L1917" s="113"/>
    </row>
    <row r="1918" customFormat="false" ht="12.75" hidden="false" customHeight="true" outlineLevel="0" collapsed="false">
      <c r="A1918" s="121" t="str">
        <f aca="false">IF(B1918="","",CONCATENATE(COUNTA($B$4:B1918),"."))</f>
        <v/>
      </c>
      <c r="B1918" s="112"/>
      <c r="C1918" s="112"/>
      <c r="D1918" s="81"/>
      <c r="E1918" s="81"/>
      <c r="F1918" s="81"/>
      <c r="G1918" s="81"/>
      <c r="H1918" s="81"/>
      <c r="I1918" s="161"/>
      <c r="J1918" s="154" t="str">
        <f aca="false">IF(H1918="","",ROUNDUP(H1918*35%,0))</f>
        <v/>
      </c>
      <c r="K1918" s="113"/>
      <c r="L1918" s="113"/>
    </row>
    <row r="1919" customFormat="false" ht="12.75" hidden="false" customHeight="true" outlineLevel="0" collapsed="false">
      <c r="A1919" s="121" t="str">
        <f aca="false">IF(B1919="","",CONCATENATE(COUNTA($B$4:B1919),"."))</f>
        <v/>
      </c>
      <c r="B1919" s="112"/>
      <c r="C1919" s="112"/>
      <c r="D1919" s="81"/>
      <c r="E1919" s="81"/>
      <c r="F1919" s="81"/>
      <c r="G1919" s="81"/>
      <c r="H1919" s="81"/>
      <c r="I1919" s="161"/>
      <c r="J1919" s="154" t="str">
        <f aca="false">IF(H1919="","",ROUNDUP(H1919*35%,0))</f>
        <v/>
      </c>
      <c r="K1919" s="113"/>
      <c r="L1919" s="113"/>
    </row>
    <row r="1920" customFormat="false" ht="12.75" hidden="false" customHeight="true" outlineLevel="0" collapsed="false">
      <c r="A1920" s="121" t="str">
        <f aca="false">IF(B1920="","",CONCATENATE(COUNTA($B$4:B1920),"."))</f>
        <v/>
      </c>
      <c r="B1920" s="112"/>
      <c r="C1920" s="112"/>
      <c r="D1920" s="81"/>
      <c r="E1920" s="81"/>
      <c r="F1920" s="81"/>
      <c r="G1920" s="81"/>
      <c r="H1920" s="81"/>
      <c r="I1920" s="161"/>
      <c r="J1920" s="154" t="str">
        <f aca="false">IF(H1920="","",ROUNDUP(H1920*35%,0))</f>
        <v/>
      </c>
      <c r="K1920" s="113"/>
      <c r="L1920" s="113"/>
    </row>
    <row r="1921" customFormat="false" ht="12.75" hidden="false" customHeight="true" outlineLevel="0" collapsed="false">
      <c r="A1921" s="121" t="str">
        <f aca="false">IF(B1921="","",CONCATENATE(COUNTA($B$4:B1921),"."))</f>
        <v/>
      </c>
      <c r="B1921" s="112"/>
      <c r="C1921" s="112"/>
      <c r="D1921" s="81"/>
      <c r="E1921" s="81"/>
      <c r="F1921" s="81"/>
      <c r="G1921" s="81"/>
      <c r="H1921" s="81"/>
      <c r="I1921" s="161"/>
      <c r="J1921" s="154" t="str">
        <f aca="false">IF(H1921="","",ROUNDUP(H1921*35%,0))</f>
        <v/>
      </c>
      <c r="K1921" s="113"/>
      <c r="L1921" s="113"/>
    </row>
    <row r="1922" customFormat="false" ht="12.75" hidden="false" customHeight="true" outlineLevel="0" collapsed="false">
      <c r="A1922" s="121" t="str">
        <f aca="false">IF(B1922="","",CONCATENATE(COUNTA($B$4:B1922),"."))</f>
        <v/>
      </c>
      <c r="B1922" s="112"/>
      <c r="C1922" s="112"/>
      <c r="D1922" s="81"/>
      <c r="E1922" s="81"/>
      <c r="F1922" s="81"/>
      <c r="G1922" s="81"/>
      <c r="H1922" s="81"/>
      <c r="I1922" s="161"/>
      <c r="J1922" s="154" t="str">
        <f aca="false">IF(H1922="","",ROUNDUP(H1922*35%,0))</f>
        <v/>
      </c>
      <c r="K1922" s="113"/>
      <c r="L1922" s="113"/>
    </row>
    <row r="1923" customFormat="false" ht="12.75" hidden="false" customHeight="true" outlineLevel="0" collapsed="false">
      <c r="A1923" s="121" t="str">
        <f aca="false">IF(B1923="","",CONCATENATE(COUNTA($B$4:B1923),"."))</f>
        <v/>
      </c>
      <c r="B1923" s="112"/>
      <c r="C1923" s="112"/>
      <c r="D1923" s="81"/>
      <c r="E1923" s="81"/>
      <c r="F1923" s="81"/>
      <c r="G1923" s="81"/>
      <c r="H1923" s="81"/>
      <c r="I1923" s="161"/>
      <c r="J1923" s="154" t="str">
        <f aca="false">IF(H1923="","",ROUNDUP(H1923*35%,0))</f>
        <v/>
      </c>
      <c r="K1923" s="113"/>
      <c r="L1923" s="113"/>
    </row>
    <row r="1924" customFormat="false" ht="12.75" hidden="false" customHeight="true" outlineLevel="0" collapsed="false">
      <c r="A1924" s="121" t="str">
        <f aca="false">IF(B1924="","",CONCATENATE(COUNTA($B$4:B1924),"."))</f>
        <v/>
      </c>
      <c r="B1924" s="112"/>
      <c r="C1924" s="112"/>
      <c r="D1924" s="81"/>
      <c r="E1924" s="81"/>
      <c r="F1924" s="81"/>
      <c r="G1924" s="81"/>
      <c r="H1924" s="81"/>
      <c r="I1924" s="161"/>
      <c r="J1924" s="154" t="str">
        <f aca="false">IF(H1924="","",ROUNDUP(H1924*35%,0))</f>
        <v/>
      </c>
      <c r="K1924" s="113"/>
      <c r="L1924" s="113"/>
    </row>
    <row r="1925" customFormat="false" ht="12.75" hidden="false" customHeight="true" outlineLevel="0" collapsed="false">
      <c r="A1925" s="121" t="str">
        <f aca="false">IF(B1925="","",CONCATENATE(COUNTA($B$4:B1925),"."))</f>
        <v/>
      </c>
      <c r="B1925" s="112"/>
      <c r="C1925" s="112"/>
      <c r="D1925" s="81"/>
      <c r="E1925" s="81"/>
      <c r="F1925" s="81"/>
      <c r="G1925" s="81"/>
      <c r="H1925" s="81"/>
      <c r="I1925" s="161"/>
      <c r="J1925" s="154" t="str">
        <f aca="false">IF(H1925="","",ROUNDUP(H1925*35%,0))</f>
        <v/>
      </c>
      <c r="K1925" s="113"/>
      <c r="L1925" s="113"/>
    </row>
    <row r="1926" customFormat="false" ht="12.75" hidden="false" customHeight="true" outlineLevel="0" collapsed="false">
      <c r="A1926" s="121" t="str">
        <f aca="false">IF(B1926="","",CONCATENATE(COUNTA($B$4:B1926),"."))</f>
        <v/>
      </c>
      <c r="B1926" s="112"/>
      <c r="C1926" s="112"/>
      <c r="D1926" s="81"/>
      <c r="E1926" s="81"/>
      <c r="F1926" s="81"/>
      <c r="G1926" s="81"/>
      <c r="H1926" s="81"/>
      <c r="I1926" s="161"/>
      <c r="J1926" s="154" t="str">
        <f aca="false">IF(H1926="","",ROUNDUP(H1926*35%,0))</f>
        <v/>
      </c>
      <c r="K1926" s="113"/>
      <c r="L1926" s="113"/>
    </row>
    <row r="1927" customFormat="false" ht="12.75" hidden="false" customHeight="true" outlineLevel="0" collapsed="false">
      <c r="A1927" s="121" t="str">
        <f aca="false">IF(B1927="","",CONCATENATE(COUNTA($B$4:B1927),"."))</f>
        <v/>
      </c>
      <c r="B1927" s="112"/>
      <c r="C1927" s="112"/>
      <c r="D1927" s="81"/>
      <c r="E1927" s="81"/>
      <c r="F1927" s="81"/>
      <c r="G1927" s="81"/>
      <c r="H1927" s="81"/>
      <c r="I1927" s="161"/>
      <c r="J1927" s="154" t="str">
        <f aca="false">IF(H1927="","",ROUNDUP(H1927*35%,0))</f>
        <v/>
      </c>
      <c r="K1927" s="113"/>
      <c r="L1927" s="113"/>
    </row>
    <row r="1928" customFormat="false" ht="12.75" hidden="false" customHeight="true" outlineLevel="0" collapsed="false">
      <c r="A1928" s="121" t="str">
        <f aca="false">IF(B1928="","",CONCATENATE(COUNTA($B$4:B1928),"."))</f>
        <v/>
      </c>
      <c r="B1928" s="112"/>
      <c r="C1928" s="112"/>
      <c r="D1928" s="81"/>
      <c r="E1928" s="81"/>
      <c r="F1928" s="81"/>
      <c r="G1928" s="81"/>
      <c r="H1928" s="81"/>
      <c r="I1928" s="161"/>
      <c r="J1928" s="154" t="str">
        <f aca="false">IF(H1928="","",ROUNDUP(H1928*35%,0))</f>
        <v/>
      </c>
      <c r="K1928" s="113"/>
      <c r="L1928" s="113"/>
    </row>
    <row r="1929" customFormat="false" ht="12.75" hidden="false" customHeight="true" outlineLevel="0" collapsed="false">
      <c r="A1929" s="121" t="str">
        <f aca="false">IF(B1929="","",CONCATENATE(COUNTA($B$4:B1929),"."))</f>
        <v/>
      </c>
      <c r="B1929" s="112"/>
      <c r="C1929" s="112"/>
      <c r="D1929" s="81"/>
      <c r="E1929" s="81"/>
      <c r="F1929" s="81"/>
      <c r="G1929" s="81"/>
      <c r="H1929" s="81"/>
      <c r="I1929" s="161"/>
      <c r="J1929" s="154" t="str">
        <f aca="false">IF(H1929="","",ROUNDUP(H1929*35%,0))</f>
        <v/>
      </c>
      <c r="K1929" s="113"/>
      <c r="L1929" s="113"/>
    </row>
    <row r="1930" customFormat="false" ht="12.75" hidden="false" customHeight="true" outlineLevel="0" collapsed="false">
      <c r="A1930" s="121" t="str">
        <f aca="false">IF(B1930="","",CONCATENATE(COUNTA($B$4:B1930),"."))</f>
        <v/>
      </c>
      <c r="B1930" s="112"/>
      <c r="C1930" s="112"/>
      <c r="D1930" s="81"/>
      <c r="E1930" s="81"/>
      <c r="F1930" s="81"/>
      <c r="G1930" s="81"/>
      <c r="H1930" s="81"/>
      <c r="I1930" s="161"/>
      <c r="J1930" s="154" t="str">
        <f aca="false">IF(H1930="","",ROUNDUP(H1930*35%,0))</f>
        <v/>
      </c>
      <c r="K1930" s="113"/>
      <c r="L1930" s="113"/>
    </row>
    <row r="1931" customFormat="false" ht="12.75" hidden="false" customHeight="true" outlineLevel="0" collapsed="false">
      <c r="A1931" s="121" t="str">
        <f aca="false">IF(B1931="","",CONCATENATE(COUNTA($B$4:B1931),"."))</f>
        <v/>
      </c>
      <c r="B1931" s="112"/>
      <c r="C1931" s="112"/>
      <c r="D1931" s="81"/>
      <c r="E1931" s="81"/>
      <c r="F1931" s="81"/>
      <c r="G1931" s="81"/>
      <c r="H1931" s="81"/>
      <c r="I1931" s="161"/>
      <c r="J1931" s="154" t="str">
        <f aca="false">IF(H1931="","",ROUNDUP(H1931*35%,0))</f>
        <v/>
      </c>
      <c r="K1931" s="113"/>
      <c r="L1931" s="113"/>
    </row>
    <row r="1932" customFormat="false" ht="12.75" hidden="false" customHeight="true" outlineLevel="0" collapsed="false">
      <c r="A1932" s="121" t="str">
        <f aca="false">IF(B1932="","",CONCATENATE(COUNTA($B$4:B1932),"."))</f>
        <v/>
      </c>
      <c r="B1932" s="112"/>
      <c r="C1932" s="112"/>
      <c r="D1932" s="81"/>
      <c r="E1932" s="81"/>
      <c r="F1932" s="81"/>
      <c r="G1932" s="81"/>
      <c r="H1932" s="81"/>
      <c r="I1932" s="161"/>
      <c r="J1932" s="154" t="str">
        <f aca="false">IF(H1932="","",ROUNDUP(H1932*35%,0))</f>
        <v/>
      </c>
      <c r="K1932" s="113"/>
      <c r="L1932" s="113"/>
    </row>
    <row r="1933" customFormat="false" ht="12.75" hidden="false" customHeight="true" outlineLevel="0" collapsed="false">
      <c r="A1933" s="121" t="str">
        <f aca="false">IF(B1933="","",CONCATENATE(COUNTA($B$4:B1933),"."))</f>
        <v/>
      </c>
      <c r="B1933" s="112"/>
      <c r="C1933" s="112"/>
      <c r="D1933" s="81"/>
      <c r="E1933" s="81"/>
      <c r="F1933" s="81"/>
      <c r="G1933" s="81"/>
      <c r="H1933" s="81"/>
      <c r="I1933" s="161"/>
      <c r="J1933" s="154" t="str">
        <f aca="false">IF(H1933="","",ROUNDUP(H1933*35%,0))</f>
        <v/>
      </c>
      <c r="K1933" s="113"/>
      <c r="L1933" s="113"/>
    </row>
    <row r="1934" customFormat="false" ht="12.75" hidden="false" customHeight="true" outlineLevel="0" collapsed="false">
      <c r="A1934" s="121" t="str">
        <f aca="false">IF(B1934="","",CONCATENATE(COUNTA($B$4:B1934),"."))</f>
        <v/>
      </c>
      <c r="B1934" s="112"/>
      <c r="C1934" s="112"/>
      <c r="D1934" s="81"/>
      <c r="E1934" s="81"/>
      <c r="F1934" s="81"/>
      <c r="G1934" s="81"/>
      <c r="H1934" s="81"/>
      <c r="I1934" s="161"/>
      <c r="J1934" s="154" t="str">
        <f aca="false">IF(H1934="","",ROUNDUP(H1934*35%,0))</f>
        <v/>
      </c>
      <c r="K1934" s="113"/>
      <c r="L1934" s="113"/>
    </row>
    <row r="1935" customFormat="false" ht="12.75" hidden="false" customHeight="true" outlineLevel="0" collapsed="false">
      <c r="A1935" s="121" t="str">
        <f aca="false">IF(B1935="","",CONCATENATE(COUNTA($B$4:B1935),"."))</f>
        <v/>
      </c>
      <c r="B1935" s="112"/>
      <c r="C1935" s="112"/>
      <c r="D1935" s="81"/>
      <c r="E1935" s="81"/>
      <c r="F1935" s="81"/>
      <c r="G1935" s="81"/>
      <c r="H1935" s="81"/>
      <c r="I1935" s="161"/>
      <c r="J1935" s="154" t="str">
        <f aca="false">IF(H1935="","",ROUNDUP(H1935*35%,0))</f>
        <v/>
      </c>
      <c r="K1935" s="113"/>
      <c r="L1935" s="113"/>
    </row>
    <row r="1936" customFormat="false" ht="12.75" hidden="false" customHeight="true" outlineLevel="0" collapsed="false">
      <c r="A1936" s="121" t="str">
        <f aca="false">IF(B1936="","",CONCATENATE(COUNTA($B$4:B1936),"."))</f>
        <v/>
      </c>
      <c r="B1936" s="112"/>
      <c r="C1936" s="112"/>
      <c r="D1936" s="81"/>
      <c r="E1936" s="81"/>
      <c r="F1936" s="81"/>
      <c r="G1936" s="81"/>
      <c r="H1936" s="81"/>
      <c r="I1936" s="161"/>
      <c r="J1936" s="154" t="str">
        <f aca="false">IF(H1936="","",ROUNDUP(H1936*35%,0))</f>
        <v/>
      </c>
      <c r="K1936" s="113"/>
      <c r="L1936" s="113"/>
    </row>
    <row r="1937" customFormat="false" ht="12.75" hidden="false" customHeight="true" outlineLevel="0" collapsed="false">
      <c r="A1937" s="121" t="str">
        <f aca="false">IF(B1937="","",CONCATENATE(COUNTA($B$4:B1937),"."))</f>
        <v/>
      </c>
      <c r="B1937" s="112"/>
      <c r="C1937" s="112"/>
      <c r="D1937" s="81"/>
      <c r="E1937" s="81"/>
      <c r="F1937" s="81"/>
      <c r="G1937" s="81"/>
      <c r="H1937" s="81"/>
      <c r="I1937" s="161"/>
      <c r="J1937" s="154" t="str">
        <f aca="false">IF(H1937="","",ROUNDUP(H1937*35%,0))</f>
        <v/>
      </c>
      <c r="K1937" s="113"/>
      <c r="L1937" s="113"/>
    </row>
    <row r="1938" customFormat="false" ht="12.75" hidden="false" customHeight="true" outlineLevel="0" collapsed="false">
      <c r="A1938" s="121" t="str">
        <f aca="false">IF(B1938="","",CONCATENATE(COUNTA($B$4:B1938),"."))</f>
        <v/>
      </c>
      <c r="B1938" s="112"/>
      <c r="C1938" s="112"/>
      <c r="D1938" s="81"/>
      <c r="E1938" s="81"/>
      <c r="F1938" s="81"/>
      <c r="G1938" s="81"/>
      <c r="H1938" s="81"/>
      <c r="I1938" s="161"/>
      <c r="J1938" s="154" t="str">
        <f aca="false">IF(H1938="","",ROUNDUP(H1938*35%,0))</f>
        <v/>
      </c>
      <c r="K1938" s="113"/>
      <c r="L1938" s="113"/>
    </row>
    <row r="1939" customFormat="false" ht="12.75" hidden="false" customHeight="true" outlineLevel="0" collapsed="false">
      <c r="A1939" s="121" t="str">
        <f aca="false">IF(B1939="","",CONCATENATE(COUNTA($B$4:B1939),"."))</f>
        <v/>
      </c>
      <c r="B1939" s="112"/>
      <c r="C1939" s="112"/>
      <c r="D1939" s="81"/>
      <c r="E1939" s="81"/>
      <c r="F1939" s="81"/>
      <c r="G1939" s="81"/>
      <c r="H1939" s="81"/>
      <c r="I1939" s="161"/>
      <c r="J1939" s="154" t="str">
        <f aca="false">IF(H1939="","",ROUNDUP(H1939*35%,0))</f>
        <v/>
      </c>
      <c r="K1939" s="113"/>
      <c r="L1939" s="113"/>
    </row>
    <row r="1940" customFormat="false" ht="12.75" hidden="false" customHeight="true" outlineLevel="0" collapsed="false">
      <c r="A1940" s="121" t="str">
        <f aca="false">IF(B1940="","",CONCATENATE(COUNTA($B$4:B1940),"."))</f>
        <v/>
      </c>
      <c r="B1940" s="112"/>
      <c r="C1940" s="112"/>
      <c r="D1940" s="81"/>
      <c r="E1940" s="81"/>
      <c r="F1940" s="81"/>
      <c r="G1940" s="81"/>
      <c r="H1940" s="81"/>
      <c r="I1940" s="161"/>
      <c r="J1940" s="154" t="str">
        <f aca="false">IF(H1940="","",ROUNDUP(H1940*35%,0))</f>
        <v/>
      </c>
      <c r="K1940" s="113"/>
      <c r="L1940" s="113"/>
    </row>
    <row r="1941" customFormat="false" ht="12.75" hidden="false" customHeight="true" outlineLevel="0" collapsed="false">
      <c r="A1941" s="121" t="str">
        <f aca="false">IF(B1941="","",CONCATENATE(COUNTA($B$4:B1941),"."))</f>
        <v/>
      </c>
      <c r="B1941" s="112"/>
      <c r="C1941" s="112"/>
      <c r="D1941" s="81"/>
      <c r="E1941" s="81"/>
      <c r="F1941" s="81"/>
      <c r="G1941" s="81"/>
      <c r="H1941" s="81"/>
      <c r="I1941" s="161"/>
      <c r="J1941" s="154" t="str">
        <f aca="false">IF(H1941="","",ROUNDUP(H1941*35%,0))</f>
        <v/>
      </c>
      <c r="K1941" s="113"/>
      <c r="L1941" s="113"/>
    </row>
    <row r="1942" customFormat="false" ht="12.75" hidden="false" customHeight="true" outlineLevel="0" collapsed="false">
      <c r="A1942" s="121" t="str">
        <f aca="false">IF(B1942="","",CONCATENATE(COUNTA($B$4:B1942),"."))</f>
        <v/>
      </c>
      <c r="B1942" s="112"/>
      <c r="C1942" s="112"/>
      <c r="D1942" s="81"/>
      <c r="E1942" s="81"/>
      <c r="F1942" s="81"/>
      <c r="G1942" s="81"/>
      <c r="H1942" s="81"/>
      <c r="I1942" s="161"/>
      <c r="J1942" s="154" t="str">
        <f aca="false">IF(H1942="","",ROUNDUP(H1942*35%,0))</f>
        <v/>
      </c>
      <c r="K1942" s="113"/>
      <c r="L1942" s="113"/>
    </row>
    <row r="1943" customFormat="false" ht="12.75" hidden="false" customHeight="true" outlineLevel="0" collapsed="false">
      <c r="A1943" s="121" t="str">
        <f aca="false">IF(B1943="","",CONCATENATE(COUNTA($B$4:B1943),"."))</f>
        <v/>
      </c>
      <c r="B1943" s="112"/>
      <c r="C1943" s="112"/>
      <c r="D1943" s="81"/>
      <c r="E1943" s="81"/>
      <c r="F1943" s="81"/>
      <c r="G1943" s="81"/>
      <c r="H1943" s="81"/>
      <c r="I1943" s="161"/>
      <c r="J1943" s="154" t="str">
        <f aca="false">IF(H1943="","",ROUNDUP(H1943*35%,0))</f>
        <v/>
      </c>
      <c r="K1943" s="113"/>
      <c r="L1943" s="113"/>
    </row>
    <row r="1944" customFormat="false" ht="12.75" hidden="false" customHeight="true" outlineLevel="0" collapsed="false">
      <c r="A1944" s="121" t="str">
        <f aca="false">IF(B1944="","",CONCATENATE(COUNTA($B$4:B1944),"."))</f>
        <v/>
      </c>
      <c r="B1944" s="112"/>
      <c r="C1944" s="112"/>
      <c r="D1944" s="81"/>
      <c r="E1944" s="81"/>
      <c r="F1944" s="81"/>
      <c r="G1944" s="81"/>
      <c r="H1944" s="81"/>
      <c r="I1944" s="161"/>
      <c r="J1944" s="154" t="str">
        <f aca="false">IF(H1944="","",ROUNDUP(H1944*35%,0))</f>
        <v/>
      </c>
      <c r="K1944" s="113"/>
      <c r="L1944" s="113"/>
    </row>
    <row r="1945" customFormat="false" ht="12.75" hidden="false" customHeight="true" outlineLevel="0" collapsed="false">
      <c r="A1945" s="121" t="str">
        <f aca="false">IF(B1945="","",CONCATENATE(COUNTA($B$4:B1945),"."))</f>
        <v/>
      </c>
      <c r="B1945" s="112"/>
      <c r="C1945" s="112"/>
      <c r="D1945" s="81"/>
      <c r="E1945" s="81"/>
      <c r="F1945" s="81"/>
      <c r="G1945" s="81"/>
      <c r="H1945" s="81"/>
      <c r="I1945" s="161"/>
      <c r="J1945" s="154" t="str">
        <f aca="false">IF(H1945="","",ROUNDUP(H1945*35%,0))</f>
        <v/>
      </c>
      <c r="K1945" s="113"/>
      <c r="L1945" s="113"/>
    </row>
    <row r="1946" customFormat="false" ht="12.75" hidden="false" customHeight="true" outlineLevel="0" collapsed="false">
      <c r="A1946" s="121" t="str">
        <f aca="false">IF(B1946="","",CONCATENATE(COUNTA($B$4:B1946),"."))</f>
        <v/>
      </c>
      <c r="B1946" s="112"/>
      <c r="C1946" s="112"/>
      <c r="D1946" s="81"/>
      <c r="E1946" s="81"/>
      <c r="F1946" s="81"/>
      <c r="G1946" s="81"/>
      <c r="H1946" s="81"/>
      <c r="I1946" s="161"/>
      <c r="J1946" s="154" t="str">
        <f aca="false">IF(H1946="","",ROUNDUP(H1946*35%,0))</f>
        <v/>
      </c>
      <c r="K1946" s="113"/>
      <c r="L1946" s="113"/>
    </row>
    <row r="1947" customFormat="false" ht="12.75" hidden="false" customHeight="true" outlineLevel="0" collapsed="false">
      <c r="A1947" s="121" t="str">
        <f aca="false">IF(B1947="","",CONCATENATE(COUNTA($B$4:B1947),"."))</f>
        <v/>
      </c>
      <c r="B1947" s="112"/>
      <c r="C1947" s="112"/>
      <c r="D1947" s="81"/>
      <c r="E1947" s="81"/>
      <c r="F1947" s="81"/>
      <c r="G1947" s="81"/>
      <c r="H1947" s="81"/>
      <c r="I1947" s="161"/>
      <c r="J1947" s="154" t="str">
        <f aca="false">IF(H1947="","",ROUNDUP(H1947*35%,0))</f>
        <v/>
      </c>
      <c r="K1947" s="113"/>
      <c r="L1947" s="113"/>
    </row>
    <row r="1948" customFormat="false" ht="12.75" hidden="false" customHeight="true" outlineLevel="0" collapsed="false">
      <c r="A1948" s="121" t="str">
        <f aca="false">IF(B1948="","",CONCATENATE(COUNTA($B$4:B1948),"."))</f>
        <v/>
      </c>
      <c r="B1948" s="112"/>
      <c r="C1948" s="112"/>
      <c r="D1948" s="81"/>
      <c r="E1948" s="81"/>
      <c r="F1948" s="81"/>
      <c r="G1948" s="81"/>
      <c r="H1948" s="81"/>
      <c r="I1948" s="161"/>
      <c r="J1948" s="154" t="str">
        <f aca="false">IF(H1948="","",ROUNDUP(H1948*35%,0))</f>
        <v/>
      </c>
      <c r="K1948" s="113"/>
      <c r="L1948" s="113"/>
    </row>
    <row r="1949" customFormat="false" ht="12.75" hidden="false" customHeight="true" outlineLevel="0" collapsed="false">
      <c r="A1949" s="121" t="str">
        <f aca="false">IF(B1949="","",CONCATENATE(COUNTA($B$4:B1949),"."))</f>
        <v/>
      </c>
      <c r="B1949" s="112"/>
      <c r="C1949" s="112"/>
      <c r="D1949" s="81"/>
      <c r="E1949" s="81"/>
      <c r="F1949" s="81"/>
      <c r="G1949" s="81"/>
      <c r="H1949" s="81"/>
      <c r="I1949" s="161"/>
      <c r="J1949" s="154" t="str">
        <f aca="false">IF(H1949="","",ROUNDUP(H1949*35%,0))</f>
        <v/>
      </c>
      <c r="K1949" s="113"/>
      <c r="L1949" s="113"/>
    </row>
    <row r="1950" customFormat="false" ht="12.75" hidden="false" customHeight="true" outlineLevel="0" collapsed="false">
      <c r="A1950" s="121" t="str">
        <f aca="false">IF(B1950="","",CONCATENATE(COUNTA($B$4:B1950),"."))</f>
        <v/>
      </c>
      <c r="B1950" s="112"/>
      <c r="C1950" s="112"/>
      <c r="D1950" s="81"/>
      <c r="E1950" s="81"/>
      <c r="F1950" s="81"/>
      <c r="G1950" s="81"/>
      <c r="H1950" s="81"/>
      <c r="I1950" s="161"/>
      <c r="J1950" s="154" t="str">
        <f aca="false">IF(H1950="","",ROUNDUP(H1950*35%,0))</f>
        <v/>
      </c>
      <c r="K1950" s="113"/>
      <c r="L1950" s="113"/>
    </row>
    <row r="1951" customFormat="false" ht="12.75" hidden="false" customHeight="true" outlineLevel="0" collapsed="false">
      <c r="A1951" s="121" t="str">
        <f aca="false">IF(B1951="","",CONCATENATE(COUNTA($B$4:B1951),"."))</f>
        <v/>
      </c>
      <c r="B1951" s="112"/>
      <c r="C1951" s="112"/>
      <c r="D1951" s="81"/>
      <c r="E1951" s="81"/>
      <c r="F1951" s="81"/>
      <c r="G1951" s="81"/>
      <c r="H1951" s="81"/>
      <c r="I1951" s="161"/>
      <c r="J1951" s="154" t="str">
        <f aca="false">IF(H1951="","",ROUNDUP(H1951*35%,0))</f>
        <v/>
      </c>
      <c r="K1951" s="113"/>
      <c r="L1951" s="113"/>
    </row>
    <row r="1952" customFormat="false" ht="12.75" hidden="false" customHeight="true" outlineLevel="0" collapsed="false">
      <c r="A1952" s="121" t="str">
        <f aca="false">IF(B1952="","",CONCATENATE(COUNTA($B$4:B1952),"."))</f>
        <v/>
      </c>
      <c r="B1952" s="112"/>
      <c r="C1952" s="112"/>
      <c r="D1952" s="81"/>
      <c r="E1952" s="81"/>
      <c r="F1952" s="81"/>
      <c r="G1952" s="81"/>
      <c r="H1952" s="81"/>
      <c r="I1952" s="161"/>
      <c r="J1952" s="154" t="str">
        <f aca="false">IF(H1952="","",ROUNDUP(H1952*35%,0))</f>
        <v/>
      </c>
      <c r="K1952" s="113"/>
      <c r="L1952" s="113"/>
    </row>
    <row r="1953" customFormat="false" ht="12.75" hidden="false" customHeight="true" outlineLevel="0" collapsed="false">
      <c r="A1953" s="121" t="str">
        <f aca="false">IF(B1953="","",CONCATENATE(COUNTA($B$4:B1953),"."))</f>
        <v/>
      </c>
      <c r="B1953" s="112"/>
      <c r="C1953" s="112"/>
      <c r="D1953" s="81"/>
      <c r="E1953" s="81"/>
      <c r="F1953" s="81"/>
      <c r="G1953" s="81"/>
      <c r="H1953" s="81"/>
      <c r="I1953" s="161"/>
      <c r="J1953" s="154" t="str">
        <f aca="false">IF(H1953="","",ROUNDUP(H1953*35%,0))</f>
        <v/>
      </c>
      <c r="K1953" s="113"/>
      <c r="L1953" s="113"/>
    </row>
    <row r="1954" customFormat="false" ht="12.75" hidden="false" customHeight="true" outlineLevel="0" collapsed="false">
      <c r="A1954" s="121" t="str">
        <f aca="false">IF(B1954="","",CONCATENATE(COUNTA($B$4:B1954),"."))</f>
        <v/>
      </c>
      <c r="B1954" s="112"/>
      <c r="C1954" s="112"/>
      <c r="D1954" s="81"/>
      <c r="E1954" s="81"/>
      <c r="F1954" s="81"/>
      <c r="G1954" s="81"/>
      <c r="H1954" s="81"/>
      <c r="I1954" s="161"/>
      <c r="J1954" s="154" t="str">
        <f aca="false">IF(H1954="","",ROUNDUP(H1954*35%,0))</f>
        <v/>
      </c>
      <c r="K1954" s="113"/>
      <c r="L1954" s="113"/>
    </row>
    <row r="1955" customFormat="false" ht="12.75" hidden="false" customHeight="true" outlineLevel="0" collapsed="false">
      <c r="A1955" s="121" t="str">
        <f aca="false">IF(B1955="","",CONCATENATE(COUNTA($B$4:B1955),"."))</f>
        <v/>
      </c>
      <c r="B1955" s="112"/>
      <c r="C1955" s="112"/>
      <c r="D1955" s="81"/>
      <c r="E1955" s="81"/>
      <c r="F1955" s="81"/>
      <c r="G1955" s="81"/>
      <c r="H1955" s="81"/>
      <c r="I1955" s="161"/>
      <c r="J1955" s="154" t="str">
        <f aca="false">IF(H1955="","",ROUNDUP(H1955*35%,0))</f>
        <v/>
      </c>
      <c r="K1955" s="113"/>
      <c r="L1955" s="113"/>
    </row>
    <row r="1956" customFormat="false" ht="12.75" hidden="false" customHeight="true" outlineLevel="0" collapsed="false">
      <c r="A1956" s="121" t="str">
        <f aca="false">IF(B1956="","",CONCATENATE(COUNTA($B$4:B1956),"."))</f>
        <v/>
      </c>
      <c r="B1956" s="112"/>
      <c r="C1956" s="112"/>
      <c r="D1956" s="81"/>
      <c r="E1956" s="81"/>
      <c r="F1956" s="81"/>
      <c r="G1956" s="81"/>
      <c r="H1956" s="81"/>
      <c r="I1956" s="161"/>
      <c r="J1956" s="154" t="str">
        <f aca="false">IF(H1956="","",ROUNDUP(H1956*35%,0))</f>
        <v/>
      </c>
      <c r="K1956" s="113"/>
      <c r="L1956" s="113"/>
    </row>
    <row r="1957" customFormat="false" ht="12.75" hidden="false" customHeight="true" outlineLevel="0" collapsed="false">
      <c r="A1957" s="121" t="str">
        <f aca="false">IF(B1957="","",CONCATENATE(COUNTA($B$4:B1957),"."))</f>
        <v/>
      </c>
      <c r="B1957" s="112"/>
      <c r="C1957" s="112"/>
      <c r="D1957" s="81"/>
      <c r="E1957" s="81"/>
      <c r="F1957" s="81"/>
      <c r="G1957" s="81"/>
      <c r="H1957" s="81"/>
      <c r="I1957" s="161"/>
      <c r="J1957" s="154" t="str">
        <f aca="false">IF(H1957="","",ROUNDUP(H1957*35%,0))</f>
        <v/>
      </c>
      <c r="K1957" s="113"/>
      <c r="L1957" s="113"/>
    </row>
    <row r="1958" customFormat="false" ht="12.75" hidden="false" customHeight="true" outlineLevel="0" collapsed="false">
      <c r="A1958" s="121" t="str">
        <f aca="false">IF(B1958="","",CONCATENATE(COUNTA($B$4:B1958),"."))</f>
        <v/>
      </c>
      <c r="B1958" s="112"/>
      <c r="C1958" s="112"/>
      <c r="D1958" s="81"/>
      <c r="E1958" s="81"/>
      <c r="F1958" s="81"/>
      <c r="G1958" s="81"/>
      <c r="H1958" s="81"/>
      <c r="I1958" s="161"/>
      <c r="J1958" s="154" t="str">
        <f aca="false">IF(H1958="","",ROUNDUP(H1958*35%,0))</f>
        <v/>
      </c>
      <c r="K1958" s="113"/>
      <c r="L1958" s="113"/>
    </row>
    <row r="1959" customFormat="false" ht="12.75" hidden="false" customHeight="true" outlineLevel="0" collapsed="false">
      <c r="A1959" s="121" t="str">
        <f aca="false">IF(B1959="","",CONCATENATE(COUNTA($B$4:B1959),"."))</f>
        <v/>
      </c>
      <c r="B1959" s="112"/>
      <c r="C1959" s="112"/>
      <c r="D1959" s="81"/>
      <c r="E1959" s="81"/>
      <c r="F1959" s="81"/>
      <c r="G1959" s="81"/>
      <c r="H1959" s="81"/>
      <c r="I1959" s="161"/>
      <c r="J1959" s="154" t="str">
        <f aca="false">IF(H1959="","",ROUNDUP(H1959*35%,0))</f>
        <v/>
      </c>
      <c r="K1959" s="113"/>
      <c r="L1959" s="113"/>
    </row>
    <row r="1960" customFormat="false" ht="12.75" hidden="false" customHeight="true" outlineLevel="0" collapsed="false">
      <c r="A1960" s="121" t="str">
        <f aca="false">IF(B1960="","",CONCATENATE(COUNTA($B$4:B1960),"."))</f>
        <v/>
      </c>
      <c r="B1960" s="112"/>
      <c r="C1960" s="112"/>
      <c r="D1960" s="81"/>
      <c r="E1960" s="81"/>
      <c r="F1960" s="81"/>
      <c r="G1960" s="81"/>
      <c r="H1960" s="81"/>
      <c r="I1960" s="161"/>
      <c r="J1960" s="154" t="str">
        <f aca="false">IF(H1960="","",ROUNDUP(H1960*35%,0))</f>
        <v/>
      </c>
      <c r="K1960" s="113"/>
      <c r="L1960" s="113"/>
    </row>
    <row r="1961" customFormat="false" ht="12.75" hidden="false" customHeight="true" outlineLevel="0" collapsed="false">
      <c r="A1961" s="121" t="str">
        <f aca="false">IF(B1961="","",CONCATENATE(COUNTA($B$4:B1961),"."))</f>
        <v/>
      </c>
      <c r="B1961" s="112"/>
      <c r="C1961" s="112"/>
      <c r="D1961" s="81"/>
      <c r="E1961" s="81"/>
      <c r="F1961" s="81"/>
      <c r="G1961" s="81"/>
      <c r="H1961" s="81"/>
      <c r="I1961" s="161"/>
      <c r="J1961" s="154" t="str">
        <f aca="false">IF(H1961="","",ROUNDUP(H1961*35%,0))</f>
        <v/>
      </c>
      <c r="K1961" s="113"/>
      <c r="L1961" s="113"/>
    </row>
    <row r="1962" customFormat="false" ht="12.75" hidden="false" customHeight="true" outlineLevel="0" collapsed="false">
      <c r="A1962" s="121" t="str">
        <f aca="false">IF(B1962="","",CONCATENATE(COUNTA($B$4:B1962),"."))</f>
        <v/>
      </c>
      <c r="B1962" s="112"/>
      <c r="C1962" s="112"/>
      <c r="D1962" s="81"/>
      <c r="E1962" s="81"/>
      <c r="F1962" s="81"/>
      <c r="G1962" s="81"/>
      <c r="H1962" s="81"/>
      <c r="I1962" s="161"/>
      <c r="J1962" s="154" t="str">
        <f aca="false">IF(H1962="","",ROUNDUP(H1962*35%,0))</f>
        <v/>
      </c>
      <c r="K1962" s="113"/>
      <c r="L1962" s="113"/>
    </row>
    <row r="1963" customFormat="false" ht="12.75" hidden="false" customHeight="true" outlineLevel="0" collapsed="false">
      <c r="A1963" s="121" t="str">
        <f aca="false">IF(B1963="","",CONCATENATE(COUNTA($B$4:B1963),"."))</f>
        <v/>
      </c>
      <c r="B1963" s="112"/>
      <c r="C1963" s="112"/>
      <c r="D1963" s="81"/>
      <c r="E1963" s="81"/>
      <c r="F1963" s="81"/>
      <c r="G1963" s="81"/>
      <c r="H1963" s="81"/>
      <c r="I1963" s="161"/>
      <c r="J1963" s="154" t="str">
        <f aca="false">IF(H1963="","",ROUNDUP(H1963*35%,0))</f>
        <v/>
      </c>
      <c r="K1963" s="113"/>
      <c r="L1963" s="113"/>
    </row>
    <row r="1964" customFormat="false" ht="12.75" hidden="false" customHeight="true" outlineLevel="0" collapsed="false">
      <c r="A1964" s="121" t="str">
        <f aca="false">IF(B1964="","",CONCATENATE(COUNTA($B$4:B1964),"."))</f>
        <v/>
      </c>
      <c r="B1964" s="112"/>
      <c r="C1964" s="112"/>
      <c r="D1964" s="81"/>
      <c r="E1964" s="81"/>
      <c r="F1964" s="81"/>
      <c r="G1964" s="81"/>
      <c r="H1964" s="81"/>
      <c r="I1964" s="161"/>
      <c r="J1964" s="154" t="str">
        <f aca="false">IF(H1964="","",ROUNDUP(H1964*35%,0))</f>
        <v/>
      </c>
      <c r="K1964" s="113"/>
      <c r="L1964" s="113"/>
    </row>
    <row r="1965" customFormat="false" ht="12.75" hidden="false" customHeight="true" outlineLevel="0" collapsed="false">
      <c r="A1965" s="121" t="str">
        <f aca="false">IF(B1965="","",CONCATENATE(COUNTA($B$4:B1965),"."))</f>
        <v/>
      </c>
      <c r="B1965" s="112"/>
      <c r="C1965" s="112"/>
      <c r="D1965" s="81"/>
      <c r="E1965" s="81"/>
      <c r="F1965" s="81"/>
      <c r="G1965" s="81"/>
      <c r="H1965" s="81"/>
      <c r="I1965" s="161"/>
      <c r="J1965" s="154" t="str">
        <f aca="false">IF(H1965="","",ROUNDUP(H1965*35%,0))</f>
        <v/>
      </c>
      <c r="K1965" s="113"/>
      <c r="L1965" s="113"/>
    </row>
    <row r="1966" customFormat="false" ht="12.75" hidden="false" customHeight="true" outlineLevel="0" collapsed="false">
      <c r="A1966" s="121" t="str">
        <f aca="false">IF(B1966="","",CONCATENATE(COUNTA($B$4:B1966),"."))</f>
        <v/>
      </c>
      <c r="B1966" s="112"/>
      <c r="C1966" s="112"/>
      <c r="D1966" s="81"/>
      <c r="E1966" s="81"/>
      <c r="F1966" s="81"/>
      <c r="G1966" s="81"/>
      <c r="H1966" s="81"/>
      <c r="I1966" s="161"/>
      <c r="J1966" s="154" t="str">
        <f aca="false">IF(H1966="","",ROUNDUP(H1966*35%,0))</f>
        <v/>
      </c>
      <c r="K1966" s="113"/>
      <c r="L1966" s="113"/>
    </row>
    <row r="1967" customFormat="false" ht="12.75" hidden="false" customHeight="true" outlineLevel="0" collapsed="false">
      <c r="A1967" s="121" t="str">
        <f aca="false">IF(B1967="","",CONCATENATE(COUNTA($B$4:B1967),"."))</f>
        <v/>
      </c>
      <c r="B1967" s="112"/>
      <c r="C1967" s="112"/>
      <c r="D1967" s="81"/>
      <c r="E1967" s="81"/>
      <c r="F1967" s="81"/>
      <c r="G1967" s="81"/>
      <c r="H1967" s="81"/>
      <c r="I1967" s="161"/>
      <c r="J1967" s="154" t="str">
        <f aca="false">IF(H1967="","",ROUNDUP(H1967*35%,0))</f>
        <v/>
      </c>
      <c r="K1967" s="113"/>
      <c r="L1967" s="113"/>
    </row>
    <row r="1968" customFormat="false" ht="12.75" hidden="false" customHeight="true" outlineLevel="0" collapsed="false">
      <c r="A1968" s="121" t="str">
        <f aca="false">IF(B1968="","",CONCATENATE(COUNTA($B$4:B1968),"."))</f>
        <v/>
      </c>
      <c r="B1968" s="112"/>
      <c r="C1968" s="112"/>
      <c r="D1968" s="81"/>
      <c r="E1968" s="81"/>
      <c r="F1968" s="81"/>
      <c r="G1968" s="81"/>
      <c r="H1968" s="81"/>
      <c r="I1968" s="161"/>
      <c r="J1968" s="154" t="str">
        <f aca="false">IF(H1968="","",ROUNDUP(H1968*35%,0))</f>
        <v/>
      </c>
      <c r="K1968" s="113"/>
      <c r="L1968" s="113"/>
    </row>
    <row r="1969" customFormat="false" ht="12.75" hidden="false" customHeight="true" outlineLevel="0" collapsed="false">
      <c r="A1969" s="121" t="str">
        <f aca="false">IF(B1969="","",CONCATENATE(COUNTA($B$4:B1969),"."))</f>
        <v/>
      </c>
      <c r="B1969" s="112"/>
      <c r="C1969" s="112"/>
      <c r="D1969" s="81"/>
      <c r="E1969" s="81"/>
      <c r="F1969" s="81"/>
      <c r="G1969" s="81"/>
      <c r="H1969" s="81"/>
      <c r="I1969" s="161"/>
      <c r="J1969" s="154" t="str">
        <f aca="false">IF(H1969="","",ROUNDUP(H1969*35%,0))</f>
        <v/>
      </c>
      <c r="K1969" s="113"/>
      <c r="L1969" s="113"/>
    </row>
    <row r="1970" customFormat="false" ht="12.75" hidden="false" customHeight="true" outlineLevel="0" collapsed="false">
      <c r="A1970" s="121" t="str">
        <f aca="false">IF(B1970="","",CONCATENATE(COUNTA($B$4:B1970),"."))</f>
        <v/>
      </c>
      <c r="B1970" s="112"/>
      <c r="C1970" s="112"/>
      <c r="D1970" s="81"/>
      <c r="E1970" s="81"/>
      <c r="F1970" s="81"/>
      <c r="G1970" s="81"/>
      <c r="H1970" s="81"/>
      <c r="I1970" s="161"/>
      <c r="J1970" s="154" t="str">
        <f aca="false">IF(H1970="","",ROUNDUP(H1970*35%,0))</f>
        <v/>
      </c>
      <c r="K1970" s="113"/>
      <c r="L1970" s="113"/>
    </row>
    <row r="1971" customFormat="false" ht="12.75" hidden="false" customHeight="true" outlineLevel="0" collapsed="false">
      <c r="A1971" s="121" t="str">
        <f aca="false">IF(B1971="","",CONCATENATE(COUNTA($B$4:B1971),"."))</f>
        <v/>
      </c>
      <c r="B1971" s="112"/>
      <c r="C1971" s="112"/>
      <c r="D1971" s="81"/>
      <c r="E1971" s="81"/>
      <c r="F1971" s="81"/>
      <c r="G1971" s="81"/>
      <c r="H1971" s="81"/>
      <c r="I1971" s="161"/>
      <c r="J1971" s="154" t="str">
        <f aca="false">IF(H1971="","",ROUNDUP(H1971*35%,0))</f>
        <v/>
      </c>
      <c r="K1971" s="113"/>
      <c r="L1971" s="113"/>
    </row>
    <row r="1972" customFormat="false" ht="12.75" hidden="false" customHeight="true" outlineLevel="0" collapsed="false">
      <c r="A1972" s="121" t="str">
        <f aca="false">IF(B1972="","",CONCATENATE(COUNTA($B$4:B1972),"."))</f>
        <v/>
      </c>
      <c r="B1972" s="112"/>
      <c r="C1972" s="112"/>
      <c r="D1972" s="81"/>
      <c r="E1972" s="81"/>
      <c r="F1972" s="81"/>
      <c r="G1972" s="81"/>
      <c r="H1972" s="81"/>
      <c r="I1972" s="161"/>
      <c r="J1972" s="154" t="str">
        <f aca="false">IF(H1972="","",ROUNDUP(H1972*35%,0))</f>
        <v/>
      </c>
      <c r="K1972" s="113"/>
      <c r="L1972" s="113"/>
    </row>
    <row r="1973" customFormat="false" ht="12.75" hidden="false" customHeight="true" outlineLevel="0" collapsed="false">
      <c r="A1973" s="121" t="str">
        <f aca="false">IF(B1973="","",CONCATENATE(COUNTA($B$4:B1973),"."))</f>
        <v/>
      </c>
      <c r="B1973" s="112"/>
      <c r="C1973" s="112"/>
      <c r="D1973" s="81"/>
      <c r="E1973" s="81"/>
      <c r="F1973" s="81"/>
      <c r="G1973" s="81"/>
      <c r="H1973" s="81"/>
      <c r="I1973" s="161"/>
      <c r="J1973" s="154" t="str">
        <f aca="false">IF(H1973="","",ROUNDUP(H1973*35%,0))</f>
        <v/>
      </c>
      <c r="K1973" s="113"/>
      <c r="L1973" s="113"/>
    </row>
    <row r="1974" customFormat="false" ht="12.75" hidden="false" customHeight="true" outlineLevel="0" collapsed="false">
      <c r="A1974" s="121" t="str">
        <f aca="false">IF(B1974="","",CONCATENATE(COUNTA($B$4:B1974),"."))</f>
        <v/>
      </c>
      <c r="B1974" s="112"/>
      <c r="C1974" s="112"/>
      <c r="D1974" s="81"/>
      <c r="E1974" s="81"/>
      <c r="F1974" s="81"/>
      <c r="G1974" s="81"/>
      <c r="H1974" s="81"/>
      <c r="I1974" s="161"/>
      <c r="J1974" s="154" t="str">
        <f aca="false">IF(H1974="","",ROUNDUP(H1974*35%,0))</f>
        <v/>
      </c>
      <c r="K1974" s="113"/>
      <c r="L1974" s="113"/>
    </row>
    <row r="1975" customFormat="false" ht="12.75" hidden="false" customHeight="true" outlineLevel="0" collapsed="false">
      <c r="A1975" s="121" t="str">
        <f aca="false">IF(B1975="","",CONCATENATE(COUNTA($B$4:B1975),"."))</f>
        <v/>
      </c>
      <c r="B1975" s="112"/>
      <c r="C1975" s="112"/>
      <c r="D1975" s="81"/>
      <c r="E1975" s="81"/>
      <c r="F1975" s="81"/>
      <c r="G1975" s="81"/>
      <c r="H1975" s="81"/>
      <c r="I1975" s="161"/>
      <c r="J1975" s="154" t="str">
        <f aca="false">IF(H1975="","",ROUNDUP(H1975*35%,0))</f>
        <v/>
      </c>
      <c r="K1975" s="113"/>
      <c r="L1975" s="113"/>
    </row>
    <row r="1976" customFormat="false" ht="12.75" hidden="false" customHeight="true" outlineLevel="0" collapsed="false">
      <c r="A1976" s="121" t="str">
        <f aca="false">IF(B1976="","",CONCATENATE(COUNTA($B$4:B1976),"."))</f>
        <v/>
      </c>
      <c r="B1976" s="112"/>
      <c r="C1976" s="112"/>
      <c r="D1976" s="81"/>
      <c r="E1976" s="81"/>
      <c r="F1976" s="81"/>
      <c r="G1976" s="81"/>
      <c r="H1976" s="81"/>
      <c r="I1976" s="161"/>
      <c r="J1976" s="154" t="str">
        <f aca="false">IF(H1976="","",ROUNDUP(H1976*35%,0))</f>
        <v/>
      </c>
      <c r="K1976" s="113"/>
      <c r="L1976" s="113"/>
    </row>
    <row r="1977" customFormat="false" ht="12.75" hidden="false" customHeight="true" outlineLevel="0" collapsed="false">
      <c r="A1977" s="121" t="str">
        <f aca="false">IF(B1977="","",CONCATENATE(COUNTA($B$4:B1977),"."))</f>
        <v/>
      </c>
      <c r="B1977" s="112"/>
      <c r="C1977" s="112"/>
      <c r="D1977" s="81"/>
      <c r="E1977" s="81"/>
      <c r="F1977" s="81"/>
      <c r="G1977" s="81"/>
      <c r="H1977" s="81"/>
      <c r="I1977" s="161"/>
      <c r="J1977" s="154" t="str">
        <f aca="false">IF(H1977="","",ROUNDUP(H1977*35%,0))</f>
        <v/>
      </c>
      <c r="K1977" s="113"/>
      <c r="L1977" s="113"/>
    </row>
    <row r="1978" customFormat="false" ht="12.75" hidden="false" customHeight="true" outlineLevel="0" collapsed="false">
      <c r="A1978" s="121" t="str">
        <f aca="false">IF(B1978="","",CONCATENATE(COUNTA($B$4:B1978),"."))</f>
        <v/>
      </c>
      <c r="B1978" s="112"/>
      <c r="C1978" s="112"/>
      <c r="D1978" s="81"/>
      <c r="E1978" s="81"/>
      <c r="F1978" s="81"/>
      <c r="G1978" s="81"/>
      <c r="H1978" s="81"/>
      <c r="I1978" s="161"/>
      <c r="J1978" s="154" t="str">
        <f aca="false">IF(H1978="","",ROUNDUP(H1978*35%,0))</f>
        <v/>
      </c>
      <c r="K1978" s="113"/>
      <c r="L1978" s="113"/>
    </row>
    <row r="1979" customFormat="false" ht="12.75" hidden="false" customHeight="true" outlineLevel="0" collapsed="false">
      <c r="A1979" s="121" t="str">
        <f aca="false">IF(B1979="","",CONCATENATE(COUNTA($B$4:B1979),"."))</f>
        <v/>
      </c>
      <c r="B1979" s="112"/>
      <c r="C1979" s="112"/>
      <c r="D1979" s="81"/>
      <c r="E1979" s="81"/>
      <c r="F1979" s="81"/>
      <c r="G1979" s="81"/>
      <c r="H1979" s="81"/>
      <c r="I1979" s="161"/>
      <c r="J1979" s="154" t="str">
        <f aca="false">IF(H1979="","",ROUNDUP(H1979*35%,0))</f>
        <v/>
      </c>
      <c r="K1979" s="113"/>
      <c r="L1979" s="113"/>
    </row>
    <row r="1980" customFormat="false" ht="12.75" hidden="false" customHeight="true" outlineLevel="0" collapsed="false">
      <c r="A1980" s="121" t="str">
        <f aca="false">IF(B1980="","",CONCATENATE(COUNTA($B$4:B1980),"."))</f>
        <v/>
      </c>
      <c r="B1980" s="112"/>
      <c r="C1980" s="112"/>
      <c r="D1980" s="81"/>
      <c r="E1980" s="81"/>
      <c r="F1980" s="81"/>
      <c r="G1980" s="81"/>
      <c r="H1980" s="81"/>
      <c r="I1980" s="161"/>
      <c r="J1980" s="154" t="str">
        <f aca="false">IF(H1980="","",ROUNDUP(H1980*35%,0))</f>
        <v/>
      </c>
      <c r="K1980" s="113"/>
      <c r="L1980" s="113"/>
    </row>
    <row r="1981" customFormat="false" ht="12.75" hidden="false" customHeight="true" outlineLevel="0" collapsed="false">
      <c r="A1981" s="121" t="str">
        <f aca="false">IF(B1981="","",CONCATENATE(COUNTA($B$4:B1981),"."))</f>
        <v/>
      </c>
      <c r="B1981" s="112"/>
      <c r="C1981" s="112"/>
      <c r="D1981" s="81"/>
      <c r="E1981" s="81"/>
      <c r="F1981" s="81"/>
      <c r="G1981" s="81"/>
      <c r="H1981" s="81"/>
      <c r="I1981" s="161"/>
      <c r="J1981" s="154" t="str">
        <f aca="false">IF(H1981="","",ROUNDUP(H1981*35%,0))</f>
        <v/>
      </c>
      <c r="K1981" s="113"/>
      <c r="L1981" s="113"/>
    </row>
    <row r="1982" customFormat="false" ht="12.75" hidden="false" customHeight="true" outlineLevel="0" collapsed="false">
      <c r="A1982" s="121" t="str">
        <f aca="false">IF(B1982="","",CONCATENATE(COUNTA($B$4:B1982),"."))</f>
        <v/>
      </c>
      <c r="B1982" s="112"/>
      <c r="C1982" s="112"/>
      <c r="D1982" s="81"/>
      <c r="E1982" s="81"/>
      <c r="F1982" s="81"/>
      <c r="G1982" s="81"/>
      <c r="H1982" s="81"/>
      <c r="I1982" s="161"/>
      <c r="J1982" s="154" t="str">
        <f aca="false">IF(H1982="","",ROUNDUP(H1982*35%,0))</f>
        <v/>
      </c>
      <c r="K1982" s="113"/>
      <c r="L1982" s="113"/>
    </row>
    <row r="1983" customFormat="false" ht="12.75" hidden="false" customHeight="true" outlineLevel="0" collapsed="false">
      <c r="A1983" s="121" t="str">
        <f aca="false">IF(B1983="","",CONCATENATE(COUNTA($B$4:B1983),"."))</f>
        <v/>
      </c>
      <c r="B1983" s="112"/>
      <c r="C1983" s="112"/>
      <c r="D1983" s="81"/>
      <c r="E1983" s="81"/>
      <c r="F1983" s="81"/>
      <c r="G1983" s="81"/>
      <c r="H1983" s="81"/>
      <c r="I1983" s="161"/>
      <c r="J1983" s="154" t="str">
        <f aca="false">IF(H1983="","",ROUNDUP(H1983*35%,0))</f>
        <v/>
      </c>
      <c r="K1983" s="113"/>
      <c r="L1983" s="113"/>
    </row>
    <row r="1984" customFormat="false" ht="12.75" hidden="false" customHeight="true" outlineLevel="0" collapsed="false">
      <c r="A1984" s="121" t="str">
        <f aca="false">IF(B1984="","",CONCATENATE(COUNTA($B$4:B1984),"."))</f>
        <v/>
      </c>
      <c r="B1984" s="112"/>
      <c r="C1984" s="112"/>
      <c r="D1984" s="81"/>
      <c r="E1984" s="81"/>
      <c r="F1984" s="81"/>
      <c r="G1984" s="81"/>
      <c r="H1984" s="81"/>
      <c r="I1984" s="161"/>
      <c r="J1984" s="154" t="str">
        <f aca="false">IF(H1984="","",ROUNDUP(H1984*35%,0))</f>
        <v/>
      </c>
      <c r="K1984" s="113"/>
      <c r="L1984" s="113"/>
    </row>
    <row r="1985" customFormat="false" ht="12.75" hidden="false" customHeight="true" outlineLevel="0" collapsed="false">
      <c r="A1985" s="121" t="str">
        <f aca="false">IF(B1985="","",CONCATENATE(COUNTA($B$4:B1985),"."))</f>
        <v/>
      </c>
      <c r="B1985" s="112"/>
      <c r="C1985" s="112"/>
      <c r="D1985" s="81"/>
      <c r="E1985" s="81"/>
      <c r="F1985" s="81"/>
      <c r="G1985" s="81"/>
      <c r="H1985" s="81"/>
      <c r="I1985" s="161"/>
      <c r="J1985" s="154" t="str">
        <f aca="false">IF(H1985="","",ROUNDUP(H1985*35%,0))</f>
        <v/>
      </c>
      <c r="K1985" s="113"/>
      <c r="L1985" s="113"/>
    </row>
    <row r="1986" customFormat="false" ht="12.75" hidden="false" customHeight="true" outlineLevel="0" collapsed="false">
      <c r="A1986" s="121" t="str">
        <f aca="false">IF(B1986="","",CONCATENATE(COUNTA($B$4:B1986),"."))</f>
        <v/>
      </c>
      <c r="B1986" s="112"/>
      <c r="C1986" s="112"/>
      <c r="D1986" s="81"/>
      <c r="E1986" s="81"/>
      <c r="F1986" s="81"/>
      <c r="G1986" s="81"/>
      <c r="H1986" s="81"/>
      <c r="I1986" s="161"/>
      <c r="J1986" s="154" t="str">
        <f aca="false">IF(H1986="","",ROUNDUP(H1986*35%,0))</f>
        <v/>
      </c>
      <c r="K1986" s="113"/>
      <c r="L1986" s="113"/>
    </row>
    <row r="1987" customFormat="false" ht="12.75" hidden="false" customHeight="true" outlineLevel="0" collapsed="false">
      <c r="A1987" s="121" t="str">
        <f aca="false">IF(B1987="","",CONCATENATE(COUNTA($B$4:B1987),"."))</f>
        <v/>
      </c>
      <c r="B1987" s="112"/>
      <c r="C1987" s="112"/>
      <c r="D1987" s="81"/>
      <c r="E1987" s="81"/>
      <c r="F1987" s="81"/>
      <c r="G1987" s="81"/>
      <c r="H1987" s="81"/>
      <c r="I1987" s="161"/>
      <c r="J1987" s="154" t="str">
        <f aca="false">IF(H1987="","",ROUNDUP(H1987*35%,0))</f>
        <v/>
      </c>
      <c r="K1987" s="113"/>
      <c r="L1987" s="113"/>
    </row>
    <row r="1988" customFormat="false" ht="12.75" hidden="false" customHeight="true" outlineLevel="0" collapsed="false">
      <c r="A1988" s="121" t="str">
        <f aca="false">IF(B1988="","",CONCATENATE(COUNTA($B$4:B1988),"."))</f>
        <v/>
      </c>
      <c r="B1988" s="112"/>
      <c r="C1988" s="112"/>
      <c r="D1988" s="81"/>
      <c r="E1988" s="81"/>
      <c r="F1988" s="81"/>
      <c r="G1988" s="81"/>
      <c r="H1988" s="81"/>
      <c r="I1988" s="161"/>
      <c r="J1988" s="154" t="str">
        <f aca="false">IF(H1988="","",ROUNDUP(H1988*35%,0))</f>
        <v/>
      </c>
      <c r="K1988" s="113"/>
      <c r="L1988" s="113"/>
    </row>
    <row r="1989" customFormat="false" ht="12.75" hidden="false" customHeight="true" outlineLevel="0" collapsed="false">
      <c r="A1989" s="121" t="str">
        <f aca="false">IF(B1989="","",CONCATENATE(COUNTA($B$4:B1989),"."))</f>
        <v/>
      </c>
      <c r="B1989" s="112"/>
      <c r="C1989" s="112"/>
      <c r="D1989" s="81"/>
      <c r="E1989" s="81"/>
      <c r="F1989" s="81"/>
      <c r="G1989" s="81"/>
      <c r="H1989" s="81"/>
      <c r="I1989" s="161"/>
      <c r="J1989" s="154" t="str">
        <f aca="false">IF(H1989="","",ROUNDUP(H1989*35%,0))</f>
        <v/>
      </c>
      <c r="K1989" s="113"/>
      <c r="L1989" s="113"/>
    </row>
    <row r="1990" customFormat="false" ht="12.75" hidden="false" customHeight="true" outlineLevel="0" collapsed="false">
      <c r="A1990" s="121" t="str">
        <f aca="false">IF(B1990="","",CONCATENATE(COUNTA($B$4:B1990),"."))</f>
        <v/>
      </c>
      <c r="B1990" s="112"/>
      <c r="C1990" s="112"/>
      <c r="D1990" s="81"/>
      <c r="E1990" s="81"/>
      <c r="F1990" s="81"/>
      <c r="G1990" s="81"/>
      <c r="H1990" s="81"/>
      <c r="I1990" s="161"/>
      <c r="J1990" s="154" t="str">
        <f aca="false">IF(H1990="","",ROUNDUP(H1990*35%,0))</f>
        <v/>
      </c>
      <c r="K1990" s="113"/>
      <c r="L1990" s="113"/>
    </row>
    <row r="1991" customFormat="false" ht="12.75" hidden="false" customHeight="true" outlineLevel="0" collapsed="false">
      <c r="A1991" s="121" t="str">
        <f aca="false">IF(B1991="","",CONCATENATE(COUNTA($B$4:B1991),"."))</f>
        <v/>
      </c>
      <c r="B1991" s="112"/>
      <c r="C1991" s="112"/>
      <c r="D1991" s="81"/>
      <c r="E1991" s="81"/>
      <c r="F1991" s="81"/>
      <c r="G1991" s="81"/>
      <c r="H1991" s="81"/>
      <c r="I1991" s="161"/>
      <c r="J1991" s="154" t="str">
        <f aca="false">IF(H1991="","",ROUNDUP(H1991*35%,0))</f>
        <v/>
      </c>
      <c r="K1991" s="113"/>
      <c r="L1991" s="113"/>
    </row>
    <row r="1992" customFormat="false" ht="12.75" hidden="false" customHeight="true" outlineLevel="0" collapsed="false">
      <c r="A1992" s="121" t="str">
        <f aca="false">IF(B1992="","",CONCATENATE(COUNTA($B$4:B1992),"."))</f>
        <v/>
      </c>
      <c r="B1992" s="112"/>
      <c r="C1992" s="112"/>
      <c r="D1992" s="81"/>
      <c r="E1992" s="81"/>
      <c r="F1992" s="81"/>
      <c r="G1992" s="81"/>
      <c r="H1992" s="81"/>
      <c r="I1992" s="161"/>
      <c r="J1992" s="154" t="str">
        <f aca="false">IF(H1992="","",ROUNDUP(H1992*35%,0))</f>
        <v/>
      </c>
      <c r="K1992" s="113"/>
      <c r="L1992" s="113"/>
    </row>
    <row r="1993" customFormat="false" ht="12.75" hidden="false" customHeight="true" outlineLevel="0" collapsed="false">
      <c r="A1993" s="121" t="str">
        <f aca="false">IF(B1993="","",CONCATENATE(COUNTA($B$4:B1993),"."))</f>
        <v/>
      </c>
      <c r="B1993" s="112"/>
      <c r="C1993" s="112"/>
      <c r="D1993" s="81"/>
      <c r="E1993" s="81"/>
      <c r="F1993" s="81"/>
      <c r="G1993" s="81"/>
      <c r="H1993" s="81"/>
      <c r="I1993" s="161"/>
      <c r="J1993" s="154" t="str">
        <f aca="false">IF(H1993="","",ROUNDUP(H1993*35%,0))</f>
        <v/>
      </c>
      <c r="K1993" s="113"/>
      <c r="L1993" s="113"/>
    </row>
    <row r="1994" customFormat="false" ht="12.75" hidden="false" customHeight="true" outlineLevel="0" collapsed="false">
      <c r="A1994" s="121" t="str">
        <f aca="false">IF(B1994="","",CONCATENATE(COUNTA($B$4:B1994),"."))</f>
        <v/>
      </c>
      <c r="B1994" s="112"/>
      <c r="C1994" s="112"/>
      <c r="D1994" s="81"/>
      <c r="E1994" s="81"/>
      <c r="F1994" s="81"/>
      <c r="G1994" s="81"/>
      <c r="H1994" s="81"/>
      <c r="I1994" s="161"/>
      <c r="J1994" s="154" t="str">
        <f aca="false">IF(H1994="","",ROUNDUP(H1994*35%,0))</f>
        <v/>
      </c>
      <c r="K1994" s="113"/>
      <c r="L1994" s="113"/>
    </row>
    <row r="1995" customFormat="false" ht="12.75" hidden="false" customHeight="true" outlineLevel="0" collapsed="false">
      <c r="A1995" s="121" t="str">
        <f aca="false">IF(B1995="","",CONCATENATE(COUNTA($B$4:B1995),"."))</f>
        <v/>
      </c>
      <c r="B1995" s="112"/>
      <c r="C1995" s="112"/>
      <c r="D1995" s="81"/>
      <c r="E1995" s="81"/>
      <c r="F1995" s="81"/>
      <c r="G1995" s="81"/>
      <c r="H1995" s="81"/>
      <c r="I1995" s="161"/>
      <c r="J1995" s="154" t="str">
        <f aca="false">IF(H1995="","",ROUNDUP(H1995*35%,0))</f>
        <v/>
      </c>
      <c r="K1995" s="113"/>
      <c r="L1995" s="113"/>
    </row>
    <row r="1996" customFormat="false" ht="12.75" hidden="false" customHeight="true" outlineLevel="0" collapsed="false">
      <c r="A1996" s="121" t="str">
        <f aca="false">IF(B1996="","",CONCATENATE(COUNTA($B$4:B1996),"."))</f>
        <v/>
      </c>
      <c r="B1996" s="112"/>
      <c r="C1996" s="112"/>
      <c r="D1996" s="81"/>
      <c r="E1996" s="81"/>
      <c r="F1996" s="81"/>
      <c r="G1996" s="81"/>
      <c r="H1996" s="81"/>
      <c r="I1996" s="161"/>
      <c r="J1996" s="154" t="str">
        <f aca="false">IF(H1996="","",ROUNDUP(H1996*35%,0))</f>
        <v/>
      </c>
      <c r="K1996" s="113"/>
      <c r="L1996" s="113"/>
    </row>
    <row r="1997" customFormat="false" ht="12.75" hidden="false" customHeight="true" outlineLevel="0" collapsed="false">
      <c r="A1997" s="162"/>
      <c r="B1997" s="131"/>
      <c r="C1997" s="131"/>
      <c r="D1997" s="163"/>
      <c r="E1997" s="163"/>
      <c r="F1997" s="163"/>
      <c r="G1997" s="163"/>
      <c r="H1997" s="163"/>
      <c r="I1997" s="163"/>
      <c r="J1997" s="163"/>
      <c r="K1997" s="164"/>
      <c r="L1997" s="164"/>
    </row>
    <row r="1998" customFormat="false" ht="12.75" hidden="false" customHeight="true" outlineLevel="0" collapsed="false">
      <c r="A1998" s="162"/>
      <c r="B1998" s="131"/>
      <c r="C1998" s="131"/>
      <c r="D1998" s="163"/>
      <c r="E1998" s="163"/>
      <c r="F1998" s="163"/>
      <c r="G1998" s="163"/>
      <c r="H1998" s="163"/>
      <c r="I1998" s="163"/>
      <c r="J1998" s="163"/>
      <c r="K1998" s="164"/>
      <c r="L1998" s="164"/>
    </row>
  </sheetData>
  <mergeCells count="2000">
    <mergeCell ref="A1:A3"/>
    <mergeCell ref="B1:C1"/>
    <mergeCell ref="D1:G1"/>
    <mergeCell ref="H1:L1"/>
    <mergeCell ref="B2:C2"/>
    <mergeCell ref="D2:G2"/>
    <mergeCell ref="J3:L3"/>
    <mergeCell ref="J4:L4"/>
    <mergeCell ref="J5:L5"/>
    <mergeCell ref="J6:L6"/>
    <mergeCell ref="J7:L7"/>
    <mergeCell ref="J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K59:L59"/>
    <mergeCell ref="K60:L60"/>
    <mergeCell ref="K61:L61"/>
    <mergeCell ref="K62:L62"/>
    <mergeCell ref="K63:L63"/>
    <mergeCell ref="K64:L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K85:L85"/>
    <mergeCell ref="K86:L86"/>
    <mergeCell ref="K87:L87"/>
    <mergeCell ref="K88:L88"/>
    <mergeCell ref="K89:L89"/>
    <mergeCell ref="K90:L90"/>
    <mergeCell ref="K91:L91"/>
    <mergeCell ref="K92:L92"/>
    <mergeCell ref="K93:L93"/>
    <mergeCell ref="K94:L94"/>
    <mergeCell ref="K95:L95"/>
    <mergeCell ref="K96:L96"/>
    <mergeCell ref="K97:L97"/>
    <mergeCell ref="K98:L98"/>
    <mergeCell ref="K99:L99"/>
    <mergeCell ref="K100:L100"/>
    <mergeCell ref="K101:L101"/>
    <mergeCell ref="K102:L102"/>
    <mergeCell ref="K103:L103"/>
    <mergeCell ref="K104:L104"/>
    <mergeCell ref="K105:L105"/>
    <mergeCell ref="K106:L106"/>
    <mergeCell ref="K107:L107"/>
    <mergeCell ref="K108:L108"/>
    <mergeCell ref="K109:L109"/>
    <mergeCell ref="K110:L110"/>
    <mergeCell ref="K111:L111"/>
    <mergeCell ref="K112:L112"/>
    <mergeCell ref="K113:L113"/>
    <mergeCell ref="K114:L114"/>
    <mergeCell ref="K115:L115"/>
    <mergeCell ref="K116:L116"/>
    <mergeCell ref="K117:L117"/>
    <mergeCell ref="K118:L118"/>
    <mergeCell ref="K119:L119"/>
    <mergeCell ref="K120:L120"/>
    <mergeCell ref="K121:L121"/>
    <mergeCell ref="K122:L122"/>
    <mergeCell ref="K123:L123"/>
    <mergeCell ref="K124:L124"/>
    <mergeCell ref="K125:L125"/>
    <mergeCell ref="K126:L126"/>
    <mergeCell ref="K127:L127"/>
    <mergeCell ref="K128:L128"/>
    <mergeCell ref="K129:L129"/>
    <mergeCell ref="K130:L130"/>
    <mergeCell ref="K131:L131"/>
    <mergeCell ref="K132:L132"/>
    <mergeCell ref="K133:L133"/>
    <mergeCell ref="K134:L134"/>
    <mergeCell ref="K135:L135"/>
    <mergeCell ref="K136:L136"/>
    <mergeCell ref="K137:L137"/>
    <mergeCell ref="K138:L138"/>
    <mergeCell ref="K139:L139"/>
    <mergeCell ref="K140:L140"/>
    <mergeCell ref="K141:L141"/>
    <mergeCell ref="K142:L142"/>
    <mergeCell ref="K143:L143"/>
    <mergeCell ref="K144:L144"/>
    <mergeCell ref="K145:L145"/>
    <mergeCell ref="K146:L146"/>
    <mergeCell ref="K147:L147"/>
    <mergeCell ref="K148:L148"/>
    <mergeCell ref="K149:L149"/>
    <mergeCell ref="K150:L150"/>
    <mergeCell ref="K151:L151"/>
    <mergeCell ref="K152:L152"/>
    <mergeCell ref="K153:L153"/>
    <mergeCell ref="K154:L154"/>
    <mergeCell ref="K155:L155"/>
    <mergeCell ref="K156:L156"/>
    <mergeCell ref="K157:L157"/>
    <mergeCell ref="K158:L158"/>
    <mergeCell ref="K159:L159"/>
    <mergeCell ref="K160:L160"/>
    <mergeCell ref="K161:L161"/>
    <mergeCell ref="K162:L162"/>
    <mergeCell ref="K163:L163"/>
    <mergeCell ref="K164:L164"/>
    <mergeCell ref="K165:L165"/>
    <mergeCell ref="K166:L166"/>
    <mergeCell ref="K167:L167"/>
    <mergeCell ref="K168:L168"/>
    <mergeCell ref="K169:L169"/>
    <mergeCell ref="K170:L170"/>
    <mergeCell ref="K171:L171"/>
    <mergeCell ref="K172:L172"/>
    <mergeCell ref="K173:L173"/>
    <mergeCell ref="K174:L174"/>
    <mergeCell ref="K175:L175"/>
    <mergeCell ref="K176:L176"/>
    <mergeCell ref="K177:L177"/>
    <mergeCell ref="K178:L178"/>
    <mergeCell ref="K179:L179"/>
    <mergeCell ref="K180:L180"/>
    <mergeCell ref="K181:L181"/>
    <mergeCell ref="K182:L182"/>
    <mergeCell ref="K183:L183"/>
    <mergeCell ref="K184:L184"/>
    <mergeCell ref="K185:L185"/>
    <mergeCell ref="K186:L186"/>
    <mergeCell ref="K187:L187"/>
    <mergeCell ref="K188:L188"/>
    <mergeCell ref="K189:L189"/>
    <mergeCell ref="K190:L190"/>
    <mergeCell ref="K191:L191"/>
    <mergeCell ref="K192:L192"/>
    <mergeCell ref="K193:L193"/>
    <mergeCell ref="K194:L194"/>
    <mergeCell ref="K195:L195"/>
    <mergeCell ref="K196:L196"/>
    <mergeCell ref="K197:L197"/>
    <mergeCell ref="K198:L198"/>
    <mergeCell ref="K199:L199"/>
    <mergeCell ref="K200:L200"/>
    <mergeCell ref="K201:L201"/>
    <mergeCell ref="K202:L202"/>
    <mergeCell ref="K203:L203"/>
    <mergeCell ref="K204:L204"/>
    <mergeCell ref="K205:L205"/>
    <mergeCell ref="K206:L206"/>
    <mergeCell ref="K207:L207"/>
    <mergeCell ref="K208:L208"/>
    <mergeCell ref="K209:L209"/>
    <mergeCell ref="K210:L210"/>
    <mergeCell ref="K211:L211"/>
    <mergeCell ref="K212:L212"/>
    <mergeCell ref="K213:L213"/>
    <mergeCell ref="K214:L214"/>
    <mergeCell ref="K215:L215"/>
    <mergeCell ref="K216:L216"/>
    <mergeCell ref="K217:L217"/>
    <mergeCell ref="K218:L218"/>
    <mergeCell ref="K219:L219"/>
    <mergeCell ref="K220:L220"/>
    <mergeCell ref="K221:L221"/>
    <mergeCell ref="K222:L222"/>
    <mergeCell ref="K223:L223"/>
    <mergeCell ref="K224:L224"/>
    <mergeCell ref="K225:L225"/>
    <mergeCell ref="K226:L226"/>
    <mergeCell ref="K227:L227"/>
    <mergeCell ref="K228:L228"/>
    <mergeCell ref="K229:L229"/>
    <mergeCell ref="K230:L230"/>
    <mergeCell ref="K231:L231"/>
    <mergeCell ref="K232:L232"/>
    <mergeCell ref="K233:L233"/>
    <mergeCell ref="K234:L234"/>
    <mergeCell ref="K235:L235"/>
    <mergeCell ref="K236:L236"/>
    <mergeCell ref="K237:L237"/>
    <mergeCell ref="K238:L238"/>
    <mergeCell ref="K239:L239"/>
    <mergeCell ref="K240:L240"/>
    <mergeCell ref="K241:L241"/>
    <mergeCell ref="K242:L242"/>
    <mergeCell ref="K243:L243"/>
    <mergeCell ref="K244:L244"/>
    <mergeCell ref="K245:L245"/>
    <mergeCell ref="K246:L246"/>
    <mergeCell ref="K247:L247"/>
    <mergeCell ref="K248:L248"/>
    <mergeCell ref="K249:L249"/>
    <mergeCell ref="K250:L250"/>
    <mergeCell ref="K251:L251"/>
    <mergeCell ref="K252:L252"/>
    <mergeCell ref="K253:L253"/>
    <mergeCell ref="K254:L254"/>
    <mergeCell ref="K255:L255"/>
    <mergeCell ref="K256:L256"/>
    <mergeCell ref="K257:L257"/>
    <mergeCell ref="K258:L258"/>
    <mergeCell ref="K259:L259"/>
    <mergeCell ref="K260:L260"/>
    <mergeCell ref="K261:L261"/>
    <mergeCell ref="K262:L262"/>
    <mergeCell ref="K263:L263"/>
    <mergeCell ref="K264:L264"/>
    <mergeCell ref="K265:L265"/>
    <mergeCell ref="K266:L266"/>
    <mergeCell ref="K267:L267"/>
    <mergeCell ref="K268:L268"/>
    <mergeCell ref="K269:L269"/>
    <mergeCell ref="K270:L270"/>
    <mergeCell ref="K271:L271"/>
    <mergeCell ref="K272:L272"/>
    <mergeCell ref="K273:L273"/>
    <mergeCell ref="K274:L274"/>
    <mergeCell ref="K275:L275"/>
    <mergeCell ref="K276:L276"/>
    <mergeCell ref="K277:L277"/>
    <mergeCell ref="K278:L278"/>
    <mergeCell ref="K279:L279"/>
    <mergeCell ref="K280:L280"/>
    <mergeCell ref="K281:L281"/>
    <mergeCell ref="K282:L282"/>
    <mergeCell ref="K283:L283"/>
    <mergeCell ref="K284:L284"/>
    <mergeCell ref="K285:L285"/>
    <mergeCell ref="K286:L286"/>
    <mergeCell ref="K287:L287"/>
    <mergeCell ref="K288:L288"/>
    <mergeCell ref="K289:L289"/>
    <mergeCell ref="K290:L290"/>
    <mergeCell ref="K291:L291"/>
    <mergeCell ref="K292:L292"/>
    <mergeCell ref="K293:L293"/>
    <mergeCell ref="K294:L294"/>
    <mergeCell ref="K295:L295"/>
    <mergeCell ref="K296:L296"/>
    <mergeCell ref="K297:L297"/>
    <mergeCell ref="K298:L298"/>
    <mergeCell ref="K299:L299"/>
    <mergeCell ref="K300:L300"/>
    <mergeCell ref="K301:L301"/>
    <mergeCell ref="K302:L302"/>
    <mergeCell ref="K303:L303"/>
    <mergeCell ref="K304:L304"/>
    <mergeCell ref="K305:L305"/>
    <mergeCell ref="K306:L306"/>
    <mergeCell ref="K307:L307"/>
    <mergeCell ref="K308:L308"/>
    <mergeCell ref="K309:L309"/>
    <mergeCell ref="K310:L310"/>
    <mergeCell ref="K311:L311"/>
    <mergeCell ref="K312:L312"/>
    <mergeCell ref="K313:L313"/>
    <mergeCell ref="K314:L314"/>
    <mergeCell ref="K315:L315"/>
    <mergeCell ref="K316:L316"/>
    <mergeCell ref="K317:L317"/>
    <mergeCell ref="K318:L318"/>
    <mergeCell ref="K319:L319"/>
    <mergeCell ref="K320:L320"/>
    <mergeCell ref="K321:L321"/>
    <mergeCell ref="K322:L322"/>
    <mergeCell ref="K323:L323"/>
    <mergeCell ref="K324:L324"/>
    <mergeCell ref="K325:L325"/>
    <mergeCell ref="K326:L326"/>
    <mergeCell ref="K327:L327"/>
    <mergeCell ref="K328:L328"/>
    <mergeCell ref="K329:L329"/>
    <mergeCell ref="K330:L330"/>
    <mergeCell ref="K331:L331"/>
    <mergeCell ref="K332:L332"/>
    <mergeCell ref="K333:L333"/>
    <mergeCell ref="K334:L334"/>
    <mergeCell ref="K335:L335"/>
    <mergeCell ref="K336:L336"/>
    <mergeCell ref="K337:L337"/>
    <mergeCell ref="K338:L338"/>
    <mergeCell ref="K339:L339"/>
    <mergeCell ref="K340:L340"/>
    <mergeCell ref="K341:L341"/>
    <mergeCell ref="K342:L342"/>
    <mergeCell ref="K343:L343"/>
    <mergeCell ref="K344:L344"/>
    <mergeCell ref="K345:L345"/>
    <mergeCell ref="K346:L346"/>
    <mergeCell ref="K347:L347"/>
    <mergeCell ref="K348:L348"/>
    <mergeCell ref="K349:L349"/>
    <mergeCell ref="K350:L350"/>
    <mergeCell ref="K351:L351"/>
    <mergeCell ref="K352:L352"/>
    <mergeCell ref="K353:L353"/>
    <mergeCell ref="K354:L354"/>
    <mergeCell ref="K355:L355"/>
    <mergeCell ref="K356:L356"/>
    <mergeCell ref="K357:L357"/>
    <mergeCell ref="K358:L358"/>
    <mergeCell ref="K359:L359"/>
    <mergeCell ref="K360:L360"/>
    <mergeCell ref="K361:L361"/>
    <mergeCell ref="K362:L362"/>
    <mergeCell ref="K363:L363"/>
    <mergeCell ref="K364:L364"/>
    <mergeCell ref="K365:L365"/>
    <mergeCell ref="K366:L366"/>
    <mergeCell ref="K367:L367"/>
    <mergeCell ref="K368:L368"/>
    <mergeCell ref="K369:L369"/>
    <mergeCell ref="K370:L370"/>
    <mergeCell ref="K371:L371"/>
    <mergeCell ref="K372:L372"/>
    <mergeCell ref="K373:L373"/>
    <mergeCell ref="K374:L374"/>
    <mergeCell ref="K375:L375"/>
    <mergeCell ref="K376:L376"/>
    <mergeCell ref="K377:L377"/>
    <mergeCell ref="K378:L378"/>
    <mergeCell ref="K379:L379"/>
    <mergeCell ref="K380:L380"/>
    <mergeCell ref="K381:L381"/>
    <mergeCell ref="K382:L382"/>
    <mergeCell ref="K383:L383"/>
    <mergeCell ref="K384:L384"/>
    <mergeCell ref="K385:L385"/>
    <mergeCell ref="K386:L386"/>
    <mergeCell ref="K387:L387"/>
    <mergeCell ref="K388:L388"/>
    <mergeCell ref="K389:L389"/>
    <mergeCell ref="K390:L390"/>
    <mergeCell ref="K391:L391"/>
    <mergeCell ref="K392:L392"/>
    <mergeCell ref="K393:L393"/>
    <mergeCell ref="K394:L394"/>
    <mergeCell ref="K395:L395"/>
    <mergeCell ref="K396:L396"/>
    <mergeCell ref="K397:L397"/>
    <mergeCell ref="K398:L398"/>
    <mergeCell ref="K399:L399"/>
    <mergeCell ref="K400:L400"/>
    <mergeCell ref="K401:L401"/>
    <mergeCell ref="K402:L402"/>
    <mergeCell ref="K403:L403"/>
    <mergeCell ref="K404:L404"/>
    <mergeCell ref="K405:L405"/>
    <mergeCell ref="K406:L406"/>
    <mergeCell ref="K407:L407"/>
    <mergeCell ref="K408:L408"/>
    <mergeCell ref="K409:L409"/>
    <mergeCell ref="K410:L410"/>
    <mergeCell ref="K411:L411"/>
    <mergeCell ref="K412:L412"/>
    <mergeCell ref="K413:L413"/>
    <mergeCell ref="K414:L414"/>
    <mergeCell ref="K415:L415"/>
    <mergeCell ref="K416:L416"/>
    <mergeCell ref="K417:L417"/>
    <mergeCell ref="K418:L418"/>
    <mergeCell ref="K419:L419"/>
    <mergeCell ref="K420:L420"/>
    <mergeCell ref="K421:L421"/>
    <mergeCell ref="K422:L422"/>
    <mergeCell ref="K423:L423"/>
    <mergeCell ref="K424:L424"/>
    <mergeCell ref="K425:L425"/>
    <mergeCell ref="K426:L426"/>
    <mergeCell ref="K427:L427"/>
    <mergeCell ref="K428:L428"/>
    <mergeCell ref="K429:L429"/>
    <mergeCell ref="K430:L430"/>
    <mergeCell ref="K431:L431"/>
    <mergeCell ref="K432:L432"/>
    <mergeCell ref="K433:L433"/>
    <mergeCell ref="K434:L434"/>
    <mergeCell ref="K435:L435"/>
    <mergeCell ref="K436:L436"/>
    <mergeCell ref="K437:L437"/>
    <mergeCell ref="K438:L438"/>
    <mergeCell ref="K439:L439"/>
    <mergeCell ref="K440:L440"/>
    <mergeCell ref="K441:L441"/>
    <mergeCell ref="K442:L442"/>
    <mergeCell ref="K443:L443"/>
    <mergeCell ref="K444:L444"/>
    <mergeCell ref="K445:L445"/>
    <mergeCell ref="K446:L446"/>
    <mergeCell ref="K447:L447"/>
    <mergeCell ref="K448:L448"/>
    <mergeCell ref="K449:L449"/>
    <mergeCell ref="K450:L450"/>
    <mergeCell ref="K451:L451"/>
    <mergeCell ref="K452:L452"/>
    <mergeCell ref="K453:L453"/>
    <mergeCell ref="K454:L454"/>
    <mergeCell ref="K455:L455"/>
    <mergeCell ref="K456:L456"/>
    <mergeCell ref="K457:L457"/>
    <mergeCell ref="K458:L458"/>
    <mergeCell ref="K459:L459"/>
    <mergeCell ref="K460:L460"/>
    <mergeCell ref="K461:L461"/>
    <mergeCell ref="K462:L462"/>
    <mergeCell ref="K463:L463"/>
    <mergeCell ref="K464:L464"/>
    <mergeCell ref="K465:L465"/>
    <mergeCell ref="K466:L466"/>
    <mergeCell ref="K467:L467"/>
    <mergeCell ref="K468:L468"/>
    <mergeCell ref="K469:L469"/>
    <mergeCell ref="K470:L470"/>
    <mergeCell ref="K471:L471"/>
    <mergeCell ref="K472:L472"/>
    <mergeCell ref="K473:L473"/>
    <mergeCell ref="K474:L474"/>
    <mergeCell ref="K475:L475"/>
    <mergeCell ref="K476:L476"/>
    <mergeCell ref="K477:L477"/>
    <mergeCell ref="K478:L478"/>
    <mergeCell ref="K479:L479"/>
    <mergeCell ref="K480:L480"/>
    <mergeCell ref="K481:L481"/>
    <mergeCell ref="K482:L482"/>
    <mergeCell ref="K483:L483"/>
    <mergeCell ref="K484:L484"/>
    <mergeCell ref="K485:L485"/>
    <mergeCell ref="K486:L486"/>
    <mergeCell ref="K487:L487"/>
    <mergeCell ref="K488:L488"/>
    <mergeCell ref="K489:L489"/>
    <mergeCell ref="K490:L490"/>
    <mergeCell ref="K491:L491"/>
    <mergeCell ref="K492:L492"/>
    <mergeCell ref="K493:L493"/>
    <mergeCell ref="K494:L494"/>
    <mergeCell ref="K495:L495"/>
    <mergeCell ref="K496:L496"/>
    <mergeCell ref="K497:L497"/>
    <mergeCell ref="K498:L498"/>
    <mergeCell ref="K499:L499"/>
    <mergeCell ref="K500:L500"/>
    <mergeCell ref="K501:L501"/>
    <mergeCell ref="K502:L502"/>
    <mergeCell ref="K503:L503"/>
    <mergeCell ref="K504:L504"/>
    <mergeCell ref="K505:L505"/>
    <mergeCell ref="K506:L506"/>
    <mergeCell ref="K507:L507"/>
    <mergeCell ref="K508:L508"/>
    <mergeCell ref="K509:L509"/>
    <mergeCell ref="K510:L510"/>
    <mergeCell ref="K511:L511"/>
    <mergeCell ref="K512:L512"/>
    <mergeCell ref="K513:L513"/>
    <mergeCell ref="K514:L514"/>
    <mergeCell ref="K515:L515"/>
    <mergeCell ref="K516:L516"/>
    <mergeCell ref="K517:L517"/>
    <mergeCell ref="K518:L518"/>
    <mergeCell ref="K519:L519"/>
    <mergeCell ref="K520:L520"/>
    <mergeCell ref="K521:L521"/>
    <mergeCell ref="K522:L522"/>
    <mergeCell ref="K523:L523"/>
    <mergeCell ref="K524:L524"/>
    <mergeCell ref="K525:L525"/>
    <mergeCell ref="K526:L526"/>
    <mergeCell ref="K527:L527"/>
    <mergeCell ref="K528:L528"/>
    <mergeCell ref="K529:L529"/>
    <mergeCell ref="K530:L530"/>
    <mergeCell ref="K531:L531"/>
    <mergeCell ref="K532:L532"/>
    <mergeCell ref="K533:L533"/>
    <mergeCell ref="K534:L534"/>
    <mergeCell ref="K535:L535"/>
    <mergeCell ref="K536:L536"/>
    <mergeCell ref="K537:L537"/>
    <mergeCell ref="K538:L538"/>
    <mergeCell ref="K539:L539"/>
    <mergeCell ref="K540:L540"/>
    <mergeCell ref="K541:L541"/>
    <mergeCell ref="K542:L542"/>
    <mergeCell ref="K543:L543"/>
    <mergeCell ref="K544:L544"/>
    <mergeCell ref="K545:L545"/>
    <mergeCell ref="K546:L546"/>
    <mergeCell ref="K547:L547"/>
    <mergeCell ref="K548:L548"/>
    <mergeCell ref="K549:L549"/>
    <mergeCell ref="K550:L550"/>
    <mergeCell ref="K551:L551"/>
    <mergeCell ref="K552:L552"/>
    <mergeCell ref="K553:L553"/>
    <mergeCell ref="K554:L554"/>
    <mergeCell ref="K555:L555"/>
    <mergeCell ref="K556:L556"/>
    <mergeCell ref="K557:L557"/>
    <mergeCell ref="K558:L558"/>
    <mergeCell ref="K559:L559"/>
    <mergeCell ref="K560:L560"/>
    <mergeCell ref="K561:L561"/>
    <mergeCell ref="K562:L562"/>
    <mergeCell ref="K563:L563"/>
    <mergeCell ref="K564:L564"/>
    <mergeCell ref="K565:L565"/>
    <mergeCell ref="K566:L566"/>
    <mergeCell ref="K567:L567"/>
    <mergeCell ref="K568:L568"/>
    <mergeCell ref="K569:L569"/>
    <mergeCell ref="K570:L570"/>
    <mergeCell ref="K571:L571"/>
    <mergeCell ref="K572:L572"/>
    <mergeCell ref="K573:L573"/>
    <mergeCell ref="K574:L574"/>
    <mergeCell ref="K575:L575"/>
    <mergeCell ref="K576:L576"/>
    <mergeCell ref="K577:L577"/>
    <mergeCell ref="K578:L578"/>
    <mergeCell ref="K579:L579"/>
    <mergeCell ref="K580:L580"/>
    <mergeCell ref="K581:L581"/>
    <mergeCell ref="K582:L582"/>
    <mergeCell ref="K583:L583"/>
    <mergeCell ref="K584:L584"/>
    <mergeCell ref="K585:L585"/>
    <mergeCell ref="K586:L586"/>
    <mergeCell ref="K587:L587"/>
    <mergeCell ref="K588:L588"/>
    <mergeCell ref="K589:L589"/>
    <mergeCell ref="K590:L590"/>
    <mergeCell ref="K591:L591"/>
    <mergeCell ref="K592:L592"/>
    <mergeCell ref="K593:L593"/>
    <mergeCell ref="K594:L594"/>
    <mergeCell ref="K595:L595"/>
    <mergeCell ref="K596:L596"/>
    <mergeCell ref="K597:L597"/>
    <mergeCell ref="K598:L598"/>
    <mergeCell ref="K599:L599"/>
    <mergeCell ref="K600:L600"/>
    <mergeCell ref="K601:L601"/>
    <mergeCell ref="K602:L602"/>
    <mergeCell ref="K603:L603"/>
    <mergeCell ref="K604:L604"/>
    <mergeCell ref="K605:L605"/>
    <mergeCell ref="K606:L606"/>
    <mergeCell ref="K607:L607"/>
    <mergeCell ref="K608:L608"/>
    <mergeCell ref="K609:L609"/>
    <mergeCell ref="K610:L610"/>
    <mergeCell ref="K611:L611"/>
    <mergeCell ref="K612:L612"/>
    <mergeCell ref="K613:L613"/>
    <mergeCell ref="K614:L614"/>
    <mergeCell ref="K615:L615"/>
    <mergeCell ref="K616:L616"/>
    <mergeCell ref="K617:L617"/>
    <mergeCell ref="K618:L618"/>
    <mergeCell ref="K619:L619"/>
    <mergeCell ref="K620:L620"/>
    <mergeCell ref="K621:L621"/>
    <mergeCell ref="K622:L622"/>
    <mergeCell ref="K623:L623"/>
    <mergeCell ref="K624:L624"/>
    <mergeCell ref="K625:L625"/>
    <mergeCell ref="K626:L626"/>
    <mergeCell ref="K627:L627"/>
    <mergeCell ref="K628:L628"/>
    <mergeCell ref="K629:L629"/>
    <mergeCell ref="K630:L630"/>
    <mergeCell ref="K631:L631"/>
    <mergeCell ref="K632:L632"/>
    <mergeCell ref="K633:L633"/>
    <mergeCell ref="K634:L634"/>
    <mergeCell ref="K635:L635"/>
    <mergeCell ref="K636:L636"/>
    <mergeCell ref="K637:L637"/>
    <mergeCell ref="K638:L638"/>
    <mergeCell ref="K639:L639"/>
    <mergeCell ref="K640:L640"/>
    <mergeCell ref="K641:L641"/>
    <mergeCell ref="K642:L642"/>
    <mergeCell ref="K643:L643"/>
    <mergeCell ref="K644:L644"/>
    <mergeCell ref="K645:L645"/>
    <mergeCell ref="K646:L646"/>
    <mergeCell ref="K647:L647"/>
    <mergeCell ref="K648:L648"/>
    <mergeCell ref="K649:L649"/>
    <mergeCell ref="K650:L650"/>
    <mergeCell ref="K651:L651"/>
    <mergeCell ref="K652:L652"/>
    <mergeCell ref="K653:L653"/>
    <mergeCell ref="K654:L654"/>
    <mergeCell ref="K655:L655"/>
    <mergeCell ref="K656:L656"/>
    <mergeCell ref="K657:L657"/>
    <mergeCell ref="K658:L658"/>
    <mergeCell ref="K659:L659"/>
    <mergeCell ref="K660:L660"/>
    <mergeCell ref="K661:L661"/>
    <mergeCell ref="K662:L662"/>
    <mergeCell ref="K663:L663"/>
    <mergeCell ref="K664:L664"/>
    <mergeCell ref="K665:L665"/>
    <mergeCell ref="K666:L666"/>
    <mergeCell ref="K667:L667"/>
    <mergeCell ref="K668:L668"/>
    <mergeCell ref="K669:L669"/>
    <mergeCell ref="K670:L670"/>
    <mergeCell ref="K671:L671"/>
    <mergeCell ref="K672:L672"/>
    <mergeCell ref="K673:L673"/>
    <mergeCell ref="K674:L674"/>
    <mergeCell ref="K675:L675"/>
    <mergeCell ref="K676:L676"/>
    <mergeCell ref="K677:L677"/>
    <mergeCell ref="K678:L678"/>
    <mergeCell ref="K679:L679"/>
    <mergeCell ref="K680:L680"/>
    <mergeCell ref="K681:L681"/>
    <mergeCell ref="K682:L682"/>
    <mergeCell ref="K683:L683"/>
    <mergeCell ref="K684:L684"/>
    <mergeCell ref="K685:L685"/>
    <mergeCell ref="K686:L686"/>
    <mergeCell ref="K687:L687"/>
    <mergeCell ref="K688:L688"/>
    <mergeCell ref="K689:L689"/>
    <mergeCell ref="K690:L690"/>
    <mergeCell ref="K691:L691"/>
    <mergeCell ref="K692:L692"/>
    <mergeCell ref="K693:L693"/>
    <mergeCell ref="K694:L694"/>
    <mergeCell ref="K695:L695"/>
    <mergeCell ref="K696:L696"/>
    <mergeCell ref="K697:L697"/>
    <mergeCell ref="K698:L698"/>
    <mergeCell ref="K699:L699"/>
    <mergeCell ref="K700:L700"/>
    <mergeCell ref="K701:L701"/>
    <mergeCell ref="K702:L702"/>
    <mergeCell ref="K703:L703"/>
    <mergeCell ref="K704:L704"/>
    <mergeCell ref="K705:L705"/>
    <mergeCell ref="K706:L706"/>
    <mergeCell ref="K707:L707"/>
    <mergeCell ref="K708:L708"/>
    <mergeCell ref="K709:L709"/>
    <mergeCell ref="K710:L710"/>
    <mergeCell ref="K711:L711"/>
    <mergeCell ref="K712:L712"/>
    <mergeCell ref="K713:L713"/>
    <mergeCell ref="K714:L714"/>
    <mergeCell ref="K715:L715"/>
    <mergeCell ref="K716:L716"/>
    <mergeCell ref="K717:L717"/>
    <mergeCell ref="K718:L718"/>
    <mergeCell ref="K719:L719"/>
    <mergeCell ref="K720:L720"/>
    <mergeCell ref="K721:L721"/>
    <mergeCell ref="K722:L722"/>
    <mergeCell ref="K723:L723"/>
    <mergeCell ref="K724:L724"/>
    <mergeCell ref="K725:L725"/>
    <mergeCell ref="K726:L726"/>
    <mergeCell ref="K727:L727"/>
    <mergeCell ref="K728:L728"/>
    <mergeCell ref="K729:L729"/>
    <mergeCell ref="K730:L730"/>
    <mergeCell ref="K731:L731"/>
    <mergeCell ref="K732:L732"/>
    <mergeCell ref="K733:L733"/>
    <mergeCell ref="K734:L734"/>
    <mergeCell ref="K735:L735"/>
    <mergeCell ref="K736:L736"/>
    <mergeCell ref="K737:L737"/>
    <mergeCell ref="K738:L738"/>
    <mergeCell ref="K739:L739"/>
    <mergeCell ref="K740:L740"/>
    <mergeCell ref="K741:L741"/>
    <mergeCell ref="K742:L742"/>
    <mergeCell ref="K743:L743"/>
    <mergeCell ref="K744:L744"/>
    <mergeCell ref="K745:L745"/>
    <mergeCell ref="K746:L746"/>
    <mergeCell ref="K747:L747"/>
    <mergeCell ref="K748:L748"/>
    <mergeCell ref="K749:L749"/>
    <mergeCell ref="K750:L750"/>
    <mergeCell ref="K751:L751"/>
    <mergeCell ref="K752:L752"/>
    <mergeCell ref="K753:L753"/>
    <mergeCell ref="K754:L754"/>
    <mergeCell ref="K755:L755"/>
    <mergeCell ref="K756:L756"/>
    <mergeCell ref="K757:L757"/>
    <mergeCell ref="K758:L758"/>
    <mergeCell ref="K759:L759"/>
    <mergeCell ref="K760:L760"/>
    <mergeCell ref="K761:L761"/>
    <mergeCell ref="K762:L762"/>
    <mergeCell ref="K763:L763"/>
    <mergeCell ref="K764:L764"/>
    <mergeCell ref="K765:L765"/>
    <mergeCell ref="K766:L766"/>
    <mergeCell ref="K767:L767"/>
    <mergeCell ref="K768:L768"/>
    <mergeCell ref="K769:L769"/>
    <mergeCell ref="K770:L770"/>
    <mergeCell ref="K771:L771"/>
    <mergeCell ref="K772:L772"/>
    <mergeCell ref="K773:L773"/>
    <mergeCell ref="K774:L774"/>
    <mergeCell ref="K775:L775"/>
    <mergeCell ref="K776:L776"/>
    <mergeCell ref="K777:L777"/>
    <mergeCell ref="K778:L778"/>
    <mergeCell ref="K779:L779"/>
    <mergeCell ref="K780:L780"/>
    <mergeCell ref="K781:L781"/>
    <mergeCell ref="K782:L782"/>
    <mergeCell ref="K783:L783"/>
    <mergeCell ref="K784:L784"/>
    <mergeCell ref="K785:L785"/>
    <mergeCell ref="K786:L786"/>
    <mergeCell ref="K787:L787"/>
    <mergeCell ref="K788:L788"/>
    <mergeCell ref="K789:L789"/>
    <mergeCell ref="K790:L790"/>
    <mergeCell ref="K791:L791"/>
    <mergeCell ref="K792:L792"/>
    <mergeCell ref="K793:L793"/>
    <mergeCell ref="K794:L794"/>
    <mergeCell ref="K795:L795"/>
    <mergeCell ref="K796:L796"/>
    <mergeCell ref="K797:L797"/>
    <mergeCell ref="K798:L798"/>
    <mergeCell ref="K799:L799"/>
    <mergeCell ref="K800:L800"/>
    <mergeCell ref="K801:L801"/>
    <mergeCell ref="K802:L802"/>
    <mergeCell ref="K803:L803"/>
    <mergeCell ref="K804:L804"/>
    <mergeCell ref="K805:L805"/>
    <mergeCell ref="K806:L806"/>
    <mergeCell ref="K807:L807"/>
    <mergeCell ref="K808:L808"/>
    <mergeCell ref="K809:L809"/>
    <mergeCell ref="K810:L810"/>
    <mergeCell ref="K811:L811"/>
    <mergeCell ref="K812:L812"/>
    <mergeCell ref="K813:L813"/>
    <mergeCell ref="K814:L814"/>
    <mergeCell ref="K815:L815"/>
    <mergeCell ref="K816:L816"/>
    <mergeCell ref="K817:L817"/>
    <mergeCell ref="K818:L818"/>
    <mergeCell ref="K819:L819"/>
    <mergeCell ref="K820:L820"/>
    <mergeCell ref="K821:L821"/>
    <mergeCell ref="K822:L822"/>
    <mergeCell ref="K823:L823"/>
    <mergeCell ref="K824:L824"/>
    <mergeCell ref="K825:L825"/>
    <mergeCell ref="K826:L826"/>
    <mergeCell ref="K827:L827"/>
    <mergeCell ref="K828:L828"/>
    <mergeCell ref="K829:L829"/>
    <mergeCell ref="K830:L830"/>
    <mergeCell ref="K831:L831"/>
    <mergeCell ref="K832:L832"/>
    <mergeCell ref="K833:L833"/>
    <mergeCell ref="K834:L834"/>
    <mergeCell ref="K835:L835"/>
    <mergeCell ref="K836:L836"/>
    <mergeCell ref="K837:L837"/>
    <mergeCell ref="K838:L838"/>
    <mergeCell ref="K839:L839"/>
    <mergeCell ref="K840:L840"/>
    <mergeCell ref="K841:L841"/>
    <mergeCell ref="K842:L842"/>
    <mergeCell ref="K843:L843"/>
    <mergeCell ref="K844:L844"/>
    <mergeCell ref="K845:L845"/>
    <mergeCell ref="K846:L846"/>
    <mergeCell ref="K847:L847"/>
    <mergeCell ref="K848:L848"/>
    <mergeCell ref="K849:L849"/>
    <mergeCell ref="K850:L850"/>
    <mergeCell ref="K851:L851"/>
    <mergeCell ref="K852:L852"/>
    <mergeCell ref="K853:L853"/>
    <mergeCell ref="K854:L854"/>
    <mergeCell ref="K855:L855"/>
    <mergeCell ref="K856:L856"/>
    <mergeCell ref="K857:L857"/>
    <mergeCell ref="K858:L858"/>
    <mergeCell ref="K859:L859"/>
    <mergeCell ref="K860:L860"/>
    <mergeCell ref="K861:L861"/>
    <mergeCell ref="K862:L862"/>
    <mergeCell ref="K863:L863"/>
    <mergeCell ref="K864:L864"/>
    <mergeCell ref="K865:L865"/>
    <mergeCell ref="K866:L866"/>
    <mergeCell ref="K867:L867"/>
    <mergeCell ref="K868:L868"/>
    <mergeCell ref="K869:L869"/>
    <mergeCell ref="K870:L870"/>
    <mergeCell ref="K871:L871"/>
    <mergeCell ref="K872:L872"/>
    <mergeCell ref="K873:L873"/>
    <mergeCell ref="K874:L874"/>
    <mergeCell ref="K875:L875"/>
    <mergeCell ref="K876:L876"/>
    <mergeCell ref="K877:L877"/>
    <mergeCell ref="K878:L878"/>
    <mergeCell ref="K879:L879"/>
    <mergeCell ref="K880:L880"/>
    <mergeCell ref="K881:L881"/>
    <mergeCell ref="K882:L882"/>
    <mergeCell ref="K883:L883"/>
    <mergeCell ref="K884:L884"/>
    <mergeCell ref="K885:L885"/>
    <mergeCell ref="K886:L886"/>
    <mergeCell ref="K887:L887"/>
    <mergeCell ref="K888:L888"/>
    <mergeCell ref="K889:L889"/>
    <mergeCell ref="K890:L890"/>
    <mergeCell ref="K891:L891"/>
    <mergeCell ref="K892:L892"/>
    <mergeCell ref="K893:L893"/>
    <mergeCell ref="K894:L894"/>
    <mergeCell ref="K895:L895"/>
    <mergeCell ref="K896:L896"/>
    <mergeCell ref="K897:L897"/>
    <mergeCell ref="K898:L898"/>
    <mergeCell ref="K899:L899"/>
    <mergeCell ref="K900:L900"/>
    <mergeCell ref="K901:L901"/>
    <mergeCell ref="K902:L902"/>
    <mergeCell ref="K903:L903"/>
    <mergeCell ref="K904:L904"/>
    <mergeCell ref="K905:L905"/>
    <mergeCell ref="K906:L906"/>
    <mergeCell ref="K907:L907"/>
    <mergeCell ref="K908:L908"/>
    <mergeCell ref="K909:L909"/>
    <mergeCell ref="K910:L910"/>
    <mergeCell ref="K911:L911"/>
    <mergeCell ref="K912:L912"/>
    <mergeCell ref="K913:L913"/>
    <mergeCell ref="K914:L914"/>
    <mergeCell ref="K915:L915"/>
    <mergeCell ref="K916:L916"/>
    <mergeCell ref="K917:L917"/>
    <mergeCell ref="K918:L918"/>
    <mergeCell ref="K919:L919"/>
    <mergeCell ref="K920:L920"/>
    <mergeCell ref="K921:L921"/>
    <mergeCell ref="K922:L922"/>
    <mergeCell ref="K923:L923"/>
    <mergeCell ref="K924:L924"/>
    <mergeCell ref="K925:L925"/>
    <mergeCell ref="K926:L926"/>
    <mergeCell ref="K927:L927"/>
    <mergeCell ref="K928:L928"/>
    <mergeCell ref="K929:L929"/>
    <mergeCell ref="K930:L930"/>
    <mergeCell ref="K931:L931"/>
    <mergeCell ref="K932:L932"/>
    <mergeCell ref="K933:L933"/>
    <mergeCell ref="K934:L934"/>
    <mergeCell ref="K935:L935"/>
    <mergeCell ref="K936:L936"/>
    <mergeCell ref="K937:L937"/>
    <mergeCell ref="K938:L938"/>
    <mergeCell ref="K939:L939"/>
    <mergeCell ref="K940:L940"/>
    <mergeCell ref="K941:L941"/>
    <mergeCell ref="K942:L942"/>
    <mergeCell ref="K943:L943"/>
    <mergeCell ref="K944:L944"/>
    <mergeCell ref="K945:L945"/>
    <mergeCell ref="K946:L946"/>
    <mergeCell ref="K947:L947"/>
    <mergeCell ref="K948:L948"/>
    <mergeCell ref="K949:L949"/>
    <mergeCell ref="K950:L950"/>
    <mergeCell ref="K951:L951"/>
    <mergeCell ref="K952:L952"/>
    <mergeCell ref="K953:L953"/>
    <mergeCell ref="K954:L954"/>
    <mergeCell ref="K955:L955"/>
    <mergeCell ref="K956:L956"/>
    <mergeCell ref="K957:L957"/>
    <mergeCell ref="K958:L958"/>
    <mergeCell ref="K959:L959"/>
    <mergeCell ref="K960:L960"/>
    <mergeCell ref="K961:L961"/>
    <mergeCell ref="K962:L962"/>
    <mergeCell ref="K963:L963"/>
    <mergeCell ref="K964:L964"/>
    <mergeCell ref="K965:L965"/>
    <mergeCell ref="K966:L966"/>
    <mergeCell ref="K967:L967"/>
    <mergeCell ref="K968:L968"/>
    <mergeCell ref="K969:L969"/>
    <mergeCell ref="K970:L970"/>
    <mergeCell ref="K971:L971"/>
    <mergeCell ref="K972:L972"/>
    <mergeCell ref="K973:L973"/>
    <mergeCell ref="K974:L974"/>
    <mergeCell ref="K975:L975"/>
    <mergeCell ref="K976:L976"/>
    <mergeCell ref="K977:L977"/>
    <mergeCell ref="K978:L978"/>
    <mergeCell ref="K979:L979"/>
    <mergeCell ref="K980:L980"/>
    <mergeCell ref="K981:L981"/>
    <mergeCell ref="K982:L982"/>
    <mergeCell ref="K983:L983"/>
    <mergeCell ref="K984:L984"/>
    <mergeCell ref="K985:L985"/>
    <mergeCell ref="K986:L986"/>
    <mergeCell ref="K987:L987"/>
    <mergeCell ref="K988:L988"/>
    <mergeCell ref="K989:L989"/>
    <mergeCell ref="K990:L990"/>
    <mergeCell ref="K991:L991"/>
    <mergeCell ref="K992:L992"/>
    <mergeCell ref="K993:L993"/>
    <mergeCell ref="K994:L994"/>
    <mergeCell ref="K995:L995"/>
    <mergeCell ref="K996:L996"/>
    <mergeCell ref="K997:L997"/>
    <mergeCell ref="K998:L998"/>
    <mergeCell ref="K999:L999"/>
    <mergeCell ref="K1000:L1000"/>
    <mergeCell ref="K1001:L1001"/>
    <mergeCell ref="K1002:L1002"/>
    <mergeCell ref="K1003:L1003"/>
    <mergeCell ref="K1004:L1004"/>
    <mergeCell ref="K1005:L1005"/>
    <mergeCell ref="K1006:L1006"/>
    <mergeCell ref="K1007:L1007"/>
    <mergeCell ref="K1008:L1008"/>
    <mergeCell ref="K1009:L1009"/>
    <mergeCell ref="K1010:L1010"/>
    <mergeCell ref="K1011:L1011"/>
    <mergeCell ref="K1012:L1012"/>
    <mergeCell ref="K1013:L1013"/>
    <mergeCell ref="K1014:L1014"/>
    <mergeCell ref="K1015:L1015"/>
    <mergeCell ref="K1016:L1016"/>
    <mergeCell ref="K1017:L1017"/>
    <mergeCell ref="K1018:L1018"/>
    <mergeCell ref="K1019:L1019"/>
    <mergeCell ref="K1020:L1020"/>
    <mergeCell ref="K1021:L1021"/>
    <mergeCell ref="K1022:L1022"/>
    <mergeCell ref="K1023:L1023"/>
    <mergeCell ref="K1024:L1024"/>
    <mergeCell ref="K1025:L1025"/>
    <mergeCell ref="K1026:L1026"/>
    <mergeCell ref="K1027:L1027"/>
    <mergeCell ref="K1028:L1028"/>
    <mergeCell ref="K1029:L1029"/>
    <mergeCell ref="K1030:L1030"/>
    <mergeCell ref="K1031:L1031"/>
    <mergeCell ref="K1032:L1032"/>
    <mergeCell ref="K1033:L1033"/>
    <mergeCell ref="K1034:L1034"/>
    <mergeCell ref="K1035:L1035"/>
    <mergeCell ref="K1036:L1036"/>
    <mergeCell ref="K1037:L1037"/>
    <mergeCell ref="K1038:L1038"/>
    <mergeCell ref="K1039:L1039"/>
    <mergeCell ref="K1040:L1040"/>
    <mergeCell ref="K1041:L1041"/>
    <mergeCell ref="K1042:L1042"/>
    <mergeCell ref="K1043:L1043"/>
    <mergeCell ref="K1044:L1044"/>
    <mergeCell ref="K1045:L1045"/>
    <mergeCell ref="K1046:L1046"/>
    <mergeCell ref="K1047:L1047"/>
    <mergeCell ref="K1048:L1048"/>
    <mergeCell ref="K1049:L1049"/>
    <mergeCell ref="K1050:L1050"/>
    <mergeCell ref="K1051:L1051"/>
    <mergeCell ref="K1052:L1052"/>
    <mergeCell ref="K1053:L1053"/>
    <mergeCell ref="K1054:L1054"/>
    <mergeCell ref="K1055:L1055"/>
    <mergeCell ref="K1056:L1056"/>
    <mergeCell ref="K1057:L1057"/>
    <mergeCell ref="K1058:L1058"/>
    <mergeCell ref="K1059:L1059"/>
    <mergeCell ref="K1060:L1060"/>
    <mergeCell ref="K1061:L1061"/>
    <mergeCell ref="K1062:L1062"/>
    <mergeCell ref="K1063:L1063"/>
    <mergeCell ref="K1064:L1064"/>
    <mergeCell ref="K1065:L1065"/>
    <mergeCell ref="K1066:L1066"/>
    <mergeCell ref="K1067:L1067"/>
    <mergeCell ref="K1068:L1068"/>
    <mergeCell ref="K1069:L1069"/>
    <mergeCell ref="K1070:L1070"/>
    <mergeCell ref="K1071:L1071"/>
    <mergeCell ref="K1072:L1072"/>
    <mergeCell ref="K1073:L1073"/>
    <mergeCell ref="K1074:L1074"/>
    <mergeCell ref="K1075:L1075"/>
    <mergeCell ref="K1076:L1076"/>
    <mergeCell ref="K1077:L1077"/>
    <mergeCell ref="K1078:L1078"/>
    <mergeCell ref="K1079:L1079"/>
    <mergeCell ref="K1080:L1080"/>
    <mergeCell ref="K1081:L1081"/>
    <mergeCell ref="K1082:L1082"/>
    <mergeCell ref="K1083:L1083"/>
    <mergeCell ref="K1084:L1084"/>
    <mergeCell ref="K1085:L1085"/>
    <mergeCell ref="K1086:L1086"/>
    <mergeCell ref="K1087:L1087"/>
    <mergeCell ref="K1088:L1088"/>
    <mergeCell ref="K1089:L1089"/>
    <mergeCell ref="K1090:L1090"/>
    <mergeCell ref="K1091:L1091"/>
    <mergeCell ref="K1092:L1092"/>
    <mergeCell ref="K1093:L1093"/>
    <mergeCell ref="K1094:L1094"/>
    <mergeCell ref="K1095:L1095"/>
    <mergeCell ref="K1096:L1096"/>
    <mergeCell ref="K1097:L1097"/>
    <mergeCell ref="K1098:L1098"/>
    <mergeCell ref="K1099:L1099"/>
    <mergeCell ref="K1100:L1100"/>
    <mergeCell ref="K1101:L1101"/>
    <mergeCell ref="K1102:L1102"/>
    <mergeCell ref="K1103:L1103"/>
    <mergeCell ref="K1104:L1104"/>
    <mergeCell ref="K1105:L1105"/>
    <mergeCell ref="K1106:L1106"/>
    <mergeCell ref="K1107:L1107"/>
    <mergeCell ref="K1108:L1108"/>
    <mergeCell ref="K1109:L1109"/>
    <mergeCell ref="K1110:L1110"/>
    <mergeCell ref="K1111:L1111"/>
    <mergeCell ref="K1112:L1112"/>
    <mergeCell ref="K1113:L1113"/>
    <mergeCell ref="K1114:L1114"/>
    <mergeCell ref="K1115:L1115"/>
    <mergeCell ref="K1116:L1116"/>
    <mergeCell ref="K1117:L1117"/>
    <mergeCell ref="K1118:L1118"/>
    <mergeCell ref="K1119:L1119"/>
    <mergeCell ref="K1120:L1120"/>
    <mergeCell ref="K1121:L1121"/>
    <mergeCell ref="K1122:L1122"/>
    <mergeCell ref="K1123:L1123"/>
    <mergeCell ref="K1124:L1124"/>
    <mergeCell ref="K1125:L1125"/>
    <mergeCell ref="K1126:L1126"/>
    <mergeCell ref="K1127:L1127"/>
    <mergeCell ref="K1128:L1128"/>
    <mergeCell ref="K1129:L1129"/>
    <mergeCell ref="K1130:L1130"/>
    <mergeCell ref="K1131:L1131"/>
    <mergeCell ref="K1132:L1132"/>
    <mergeCell ref="K1133:L1133"/>
    <mergeCell ref="K1134:L1134"/>
    <mergeCell ref="K1135:L1135"/>
    <mergeCell ref="K1136:L1136"/>
    <mergeCell ref="K1137:L1137"/>
    <mergeCell ref="K1138:L1138"/>
    <mergeCell ref="K1139:L1139"/>
    <mergeCell ref="K1140:L1140"/>
    <mergeCell ref="K1141:L1141"/>
    <mergeCell ref="K1142:L1142"/>
    <mergeCell ref="K1143:L1143"/>
    <mergeCell ref="K1144:L1144"/>
    <mergeCell ref="K1145:L1145"/>
    <mergeCell ref="K1146:L1146"/>
    <mergeCell ref="K1147:L1147"/>
    <mergeCell ref="K1148:L1148"/>
    <mergeCell ref="K1149:L1149"/>
    <mergeCell ref="K1150:L1150"/>
    <mergeCell ref="K1151:L1151"/>
    <mergeCell ref="K1152:L1152"/>
    <mergeCell ref="K1153:L1153"/>
    <mergeCell ref="K1154:L1154"/>
    <mergeCell ref="K1155:L1155"/>
    <mergeCell ref="K1156:L1156"/>
    <mergeCell ref="K1157:L1157"/>
    <mergeCell ref="K1158:L1158"/>
    <mergeCell ref="K1159:L1159"/>
    <mergeCell ref="K1160:L1160"/>
    <mergeCell ref="K1161:L1161"/>
    <mergeCell ref="K1162:L1162"/>
    <mergeCell ref="K1163:L1163"/>
    <mergeCell ref="K1164:L1164"/>
    <mergeCell ref="K1165:L1165"/>
    <mergeCell ref="K1166:L1166"/>
    <mergeCell ref="K1167:L1167"/>
    <mergeCell ref="K1168:L1168"/>
    <mergeCell ref="K1169:L1169"/>
    <mergeCell ref="K1170:L1170"/>
    <mergeCell ref="K1171:L1171"/>
    <mergeCell ref="K1172:L1172"/>
    <mergeCell ref="K1173:L1173"/>
    <mergeCell ref="K1174:L1174"/>
    <mergeCell ref="K1175:L1175"/>
    <mergeCell ref="K1176:L1176"/>
    <mergeCell ref="K1177:L1177"/>
    <mergeCell ref="K1178:L1178"/>
    <mergeCell ref="K1179:L1179"/>
    <mergeCell ref="K1180:L1180"/>
    <mergeCell ref="K1181:L1181"/>
    <mergeCell ref="K1182:L1182"/>
    <mergeCell ref="K1183:L1183"/>
    <mergeCell ref="K1184:L1184"/>
    <mergeCell ref="K1185:L1185"/>
    <mergeCell ref="K1186:L1186"/>
    <mergeCell ref="K1187:L1187"/>
    <mergeCell ref="K1188:L1188"/>
    <mergeCell ref="K1189:L1189"/>
    <mergeCell ref="K1190:L1190"/>
    <mergeCell ref="K1191:L1191"/>
    <mergeCell ref="K1192:L1192"/>
    <mergeCell ref="K1193:L1193"/>
    <mergeCell ref="K1194:L1194"/>
    <mergeCell ref="K1195:L1195"/>
    <mergeCell ref="K1196:L1196"/>
    <mergeCell ref="K1197:L1197"/>
    <mergeCell ref="K1198:L1198"/>
    <mergeCell ref="K1199:L1199"/>
    <mergeCell ref="K1200:L1200"/>
    <mergeCell ref="K1201:L1201"/>
    <mergeCell ref="K1202:L1202"/>
    <mergeCell ref="K1203:L1203"/>
    <mergeCell ref="K1204:L1204"/>
    <mergeCell ref="K1205:L1205"/>
    <mergeCell ref="K1206:L1206"/>
    <mergeCell ref="K1207:L1207"/>
    <mergeCell ref="K1208:L1208"/>
    <mergeCell ref="K1209:L1209"/>
    <mergeCell ref="K1210:L1210"/>
    <mergeCell ref="K1211:L1211"/>
    <mergeCell ref="K1212:L1212"/>
    <mergeCell ref="K1213:L1213"/>
    <mergeCell ref="K1214:L1214"/>
    <mergeCell ref="K1215:L1215"/>
    <mergeCell ref="K1216:L1216"/>
    <mergeCell ref="K1217:L1217"/>
    <mergeCell ref="K1218:L1218"/>
    <mergeCell ref="K1219:L1219"/>
    <mergeCell ref="K1220:L1220"/>
    <mergeCell ref="K1221:L1221"/>
    <mergeCell ref="K1222:L1222"/>
    <mergeCell ref="K1223:L1223"/>
    <mergeCell ref="K1224:L1224"/>
    <mergeCell ref="K1225:L1225"/>
    <mergeCell ref="K1226:L1226"/>
    <mergeCell ref="K1227:L1227"/>
    <mergeCell ref="K1228:L1228"/>
    <mergeCell ref="K1229:L1229"/>
    <mergeCell ref="K1230:L1230"/>
    <mergeCell ref="K1231:L1231"/>
    <mergeCell ref="K1232:L1232"/>
    <mergeCell ref="K1233:L1233"/>
    <mergeCell ref="K1234:L1234"/>
    <mergeCell ref="K1235:L1235"/>
    <mergeCell ref="K1236:L1236"/>
    <mergeCell ref="K1237:L1237"/>
    <mergeCell ref="K1238:L1238"/>
    <mergeCell ref="K1239:L1239"/>
    <mergeCell ref="K1240:L1240"/>
    <mergeCell ref="K1241:L1241"/>
    <mergeCell ref="K1242:L1242"/>
    <mergeCell ref="K1243:L1243"/>
    <mergeCell ref="K1244:L1244"/>
    <mergeCell ref="K1245:L1245"/>
    <mergeCell ref="K1246:L1246"/>
    <mergeCell ref="K1247:L1247"/>
    <mergeCell ref="K1248:L1248"/>
    <mergeCell ref="K1249:L1249"/>
    <mergeCell ref="K1250:L1250"/>
    <mergeCell ref="K1251:L1251"/>
    <mergeCell ref="K1252:L1252"/>
    <mergeCell ref="K1253:L1253"/>
    <mergeCell ref="K1254:L1254"/>
    <mergeCell ref="K1255:L1255"/>
    <mergeCell ref="K1256:L1256"/>
    <mergeCell ref="K1257:L1257"/>
    <mergeCell ref="K1258:L1258"/>
    <mergeCell ref="K1259:L1259"/>
    <mergeCell ref="K1260:L1260"/>
    <mergeCell ref="K1261:L1261"/>
    <mergeCell ref="K1262:L1262"/>
    <mergeCell ref="K1263:L1263"/>
    <mergeCell ref="K1264:L1264"/>
    <mergeCell ref="K1265:L1265"/>
    <mergeCell ref="K1266:L1266"/>
    <mergeCell ref="K1267:L1267"/>
    <mergeCell ref="K1268:L1268"/>
    <mergeCell ref="K1269:L1269"/>
    <mergeCell ref="K1270:L1270"/>
    <mergeCell ref="K1271:L1271"/>
    <mergeCell ref="K1272:L1272"/>
    <mergeCell ref="K1273:L1273"/>
    <mergeCell ref="K1274:L1274"/>
    <mergeCell ref="K1275:L1275"/>
    <mergeCell ref="K1276:L1276"/>
    <mergeCell ref="K1277:L1277"/>
    <mergeCell ref="K1278:L1278"/>
    <mergeCell ref="K1279:L1279"/>
    <mergeCell ref="K1280:L1280"/>
    <mergeCell ref="K1281:L1281"/>
    <mergeCell ref="K1282:L1282"/>
    <mergeCell ref="K1283:L1283"/>
    <mergeCell ref="K1284:L1284"/>
    <mergeCell ref="K1285:L1285"/>
    <mergeCell ref="K1286:L1286"/>
    <mergeCell ref="K1287:L1287"/>
    <mergeCell ref="K1288:L1288"/>
    <mergeCell ref="K1289:L1289"/>
    <mergeCell ref="K1290:L1290"/>
    <mergeCell ref="K1291:L1291"/>
    <mergeCell ref="K1292:L1292"/>
    <mergeCell ref="K1293:L1293"/>
    <mergeCell ref="K1294:L1294"/>
    <mergeCell ref="K1295:L1295"/>
    <mergeCell ref="K1296:L1296"/>
    <mergeCell ref="K1297:L1297"/>
    <mergeCell ref="K1298:L1298"/>
    <mergeCell ref="K1299:L1299"/>
    <mergeCell ref="K1300:L1300"/>
    <mergeCell ref="K1301:L1301"/>
    <mergeCell ref="K1302:L1302"/>
    <mergeCell ref="K1303:L1303"/>
    <mergeCell ref="K1304:L1304"/>
    <mergeCell ref="K1305:L1305"/>
    <mergeCell ref="K1306:L1306"/>
    <mergeCell ref="K1307:L1307"/>
    <mergeCell ref="K1308:L1308"/>
    <mergeCell ref="K1309:L1309"/>
    <mergeCell ref="K1310:L1310"/>
    <mergeCell ref="K1311:L1311"/>
    <mergeCell ref="K1312:L1312"/>
    <mergeCell ref="K1313:L1313"/>
    <mergeCell ref="K1314:L1314"/>
    <mergeCell ref="K1315:L1315"/>
    <mergeCell ref="K1316:L1316"/>
    <mergeCell ref="K1317:L1317"/>
    <mergeCell ref="K1318:L1318"/>
    <mergeCell ref="K1319:L1319"/>
    <mergeCell ref="K1320:L1320"/>
    <mergeCell ref="K1321:L1321"/>
    <mergeCell ref="K1322:L1322"/>
    <mergeCell ref="K1323:L1323"/>
    <mergeCell ref="K1324:L1324"/>
    <mergeCell ref="K1325:L1325"/>
    <mergeCell ref="K1326:L1326"/>
    <mergeCell ref="K1327:L1327"/>
    <mergeCell ref="K1328:L1328"/>
    <mergeCell ref="K1329:L1329"/>
    <mergeCell ref="K1330:L1330"/>
    <mergeCell ref="K1331:L1331"/>
    <mergeCell ref="K1332:L1332"/>
    <mergeCell ref="K1333:L1333"/>
    <mergeCell ref="K1334:L1334"/>
    <mergeCell ref="K1335:L1335"/>
    <mergeCell ref="K1336:L1336"/>
    <mergeCell ref="K1337:L1337"/>
    <mergeCell ref="K1338:L1338"/>
    <mergeCell ref="K1339:L1339"/>
    <mergeCell ref="K1340:L1340"/>
    <mergeCell ref="K1341:L1341"/>
    <mergeCell ref="K1342:L1342"/>
    <mergeCell ref="K1343:L1343"/>
    <mergeCell ref="K1344:L1344"/>
    <mergeCell ref="K1345:L1345"/>
    <mergeCell ref="K1346:L1346"/>
    <mergeCell ref="K1347:L1347"/>
    <mergeCell ref="K1348:L1348"/>
    <mergeCell ref="K1349:L1349"/>
    <mergeCell ref="K1350:L1350"/>
    <mergeCell ref="K1351:L1351"/>
    <mergeCell ref="K1352:L1352"/>
    <mergeCell ref="K1353:L1353"/>
    <mergeCell ref="K1354:L1354"/>
    <mergeCell ref="K1355:L1355"/>
    <mergeCell ref="K1356:L1356"/>
    <mergeCell ref="K1357:L1357"/>
    <mergeCell ref="K1358:L1358"/>
    <mergeCell ref="K1359:L1359"/>
    <mergeCell ref="K1360:L1360"/>
    <mergeCell ref="K1361:L1361"/>
    <mergeCell ref="K1362:L1362"/>
    <mergeCell ref="K1363:L1363"/>
    <mergeCell ref="K1364:L1364"/>
    <mergeCell ref="K1365:L1365"/>
    <mergeCell ref="K1366:L1366"/>
    <mergeCell ref="K1367:L1367"/>
    <mergeCell ref="K1368:L1368"/>
    <mergeCell ref="K1369:L1369"/>
    <mergeCell ref="K1370:L1370"/>
    <mergeCell ref="K1371:L1371"/>
    <mergeCell ref="K1372:L1372"/>
    <mergeCell ref="K1373:L1373"/>
    <mergeCell ref="K1374:L1374"/>
    <mergeCell ref="K1375:L1375"/>
    <mergeCell ref="K1376:L1376"/>
    <mergeCell ref="K1377:L1377"/>
    <mergeCell ref="K1378:L1378"/>
    <mergeCell ref="K1379:L1379"/>
    <mergeCell ref="K1380:L1380"/>
    <mergeCell ref="K1381:L1381"/>
    <mergeCell ref="K1382:L1382"/>
    <mergeCell ref="K1383:L1383"/>
    <mergeCell ref="K1384:L1384"/>
    <mergeCell ref="K1385:L1385"/>
    <mergeCell ref="K1386:L1386"/>
    <mergeCell ref="K1387:L1387"/>
    <mergeCell ref="K1388:L1388"/>
    <mergeCell ref="K1389:L1389"/>
    <mergeCell ref="K1390:L1390"/>
    <mergeCell ref="K1391:L1391"/>
    <mergeCell ref="K1392:L1392"/>
    <mergeCell ref="K1393:L1393"/>
    <mergeCell ref="K1394:L1394"/>
    <mergeCell ref="K1395:L1395"/>
    <mergeCell ref="K1396:L1396"/>
    <mergeCell ref="K1397:L1397"/>
    <mergeCell ref="K1398:L1398"/>
    <mergeCell ref="K1399:L1399"/>
    <mergeCell ref="K1400:L1400"/>
    <mergeCell ref="K1401:L1401"/>
    <mergeCell ref="K1402:L1402"/>
    <mergeCell ref="K1403:L1403"/>
    <mergeCell ref="K1404:L1404"/>
    <mergeCell ref="K1405:L1405"/>
    <mergeCell ref="K1406:L1406"/>
    <mergeCell ref="K1407:L1407"/>
    <mergeCell ref="K1408:L1408"/>
    <mergeCell ref="K1409:L1409"/>
    <mergeCell ref="K1410:L1410"/>
    <mergeCell ref="K1411:L1411"/>
    <mergeCell ref="K1412:L1412"/>
    <mergeCell ref="K1413:L1413"/>
    <mergeCell ref="K1414:L1414"/>
    <mergeCell ref="K1415:L1415"/>
    <mergeCell ref="K1416:L1416"/>
    <mergeCell ref="K1417:L1417"/>
    <mergeCell ref="K1418:L1418"/>
    <mergeCell ref="K1419:L1419"/>
    <mergeCell ref="K1420:L1420"/>
    <mergeCell ref="K1421:L1421"/>
    <mergeCell ref="K1422:L1422"/>
    <mergeCell ref="K1423:L1423"/>
    <mergeCell ref="K1424:L1424"/>
    <mergeCell ref="K1425:L1425"/>
    <mergeCell ref="K1426:L1426"/>
    <mergeCell ref="K1427:L1427"/>
    <mergeCell ref="K1428:L1428"/>
    <mergeCell ref="K1429:L1429"/>
    <mergeCell ref="K1430:L1430"/>
    <mergeCell ref="K1431:L1431"/>
    <mergeCell ref="K1432:L1432"/>
    <mergeCell ref="K1433:L1433"/>
    <mergeCell ref="K1434:L1434"/>
    <mergeCell ref="K1435:L1435"/>
    <mergeCell ref="K1436:L1436"/>
    <mergeCell ref="K1437:L1437"/>
    <mergeCell ref="K1438:L1438"/>
    <mergeCell ref="K1439:L1439"/>
    <mergeCell ref="K1440:L1440"/>
    <mergeCell ref="K1441:L1441"/>
    <mergeCell ref="K1442:L1442"/>
    <mergeCell ref="K1443:L1443"/>
    <mergeCell ref="K1444:L1444"/>
    <mergeCell ref="K1445:L1445"/>
    <mergeCell ref="K1446:L1446"/>
    <mergeCell ref="K1447:L1447"/>
    <mergeCell ref="K1448:L1448"/>
    <mergeCell ref="K1449:L1449"/>
    <mergeCell ref="K1450:L1450"/>
    <mergeCell ref="K1451:L1451"/>
    <mergeCell ref="K1452:L1452"/>
    <mergeCell ref="K1453:L1453"/>
    <mergeCell ref="K1454:L1454"/>
    <mergeCell ref="K1455:L1455"/>
    <mergeCell ref="K1456:L1456"/>
    <mergeCell ref="K1457:L1457"/>
    <mergeCell ref="K1458:L1458"/>
    <mergeCell ref="K1459:L1459"/>
    <mergeCell ref="K1460:L1460"/>
    <mergeCell ref="K1461:L1461"/>
    <mergeCell ref="K1462:L1462"/>
    <mergeCell ref="K1463:L1463"/>
    <mergeCell ref="K1464:L1464"/>
    <mergeCell ref="K1465:L1465"/>
    <mergeCell ref="K1466:L1466"/>
    <mergeCell ref="K1467:L1467"/>
    <mergeCell ref="K1468:L1468"/>
    <mergeCell ref="K1469:L1469"/>
    <mergeCell ref="K1470:L1470"/>
    <mergeCell ref="K1471:L1471"/>
    <mergeCell ref="K1472:L1472"/>
    <mergeCell ref="K1473:L1473"/>
    <mergeCell ref="K1474:L1474"/>
    <mergeCell ref="K1475:L1475"/>
    <mergeCell ref="K1476:L1476"/>
    <mergeCell ref="K1477:L1477"/>
    <mergeCell ref="K1478:L1478"/>
    <mergeCell ref="K1479:L1479"/>
    <mergeCell ref="K1480:L1480"/>
    <mergeCell ref="K1481:L1481"/>
    <mergeCell ref="K1482:L1482"/>
    <mergeCell ref="K1483:L1483"/>
    <mergeCell ref="K1484:L1484"/>
    <mergeCell ref="K1485:L1485"/>
    <mergeCell ref="K1486:L1486"/>
    <mergeCell ref="K1487:L1487"/>
    <mergeCell ref="K1488:L1488"/>
    <mergeCell ref="K1489:L1489"/>
    <mergeCell ref="K1490:L1490"/>
    <mergeCell ref="K1491:L1491"/>
    <mergeCell ref="K1492:L1492"/>
    <mergeCell ref="K1493:L1493"/>
    <mergeCell ref="K1494:L1494"/>
    <mergeCell ref="K1495:L1495"/>
    <mergeCell ref="K1496:L1496"/>
    <mergeCell ref="K1497:L1497"/>
    <mergeCell ref="K1498:L1498"/>
    <mergeCell ref="K1499:L1499"/>
    <mergeCell ref="K1500:L1500"/>
    <mergeCell ref="K1501:L1501"/>
    <mergeCell ref="K1502:L1502"/>
    <mergeCell ref="K1503:L1503"/>
    <mergeCell ref="K1504:L1504"/>
    <mergeCell ref="K1505:L1505"/>
    <mergeCell ref="K1506:L1506"/>
    <mergeCell ref="K1507:L1507"/>
    <mergeCell ref="K1508:L1508"/>
    <mergeCell ref="K1509:L1509"/>
    <mergeCell ref="K1510:L1510"/>
    <mergeCell ref="K1511:L1511"/>
    <mergeCell ref="K1512:L1512"/>
    <mergeCell ref="K1513:L1513"/>
    <mergeCell ref="K1514:L1514"/>
    <mergeCell ref="K1515:L1515"/>
    <mergeCell ref="K1516:L1516"/>
    <mergeCell ref="K1517:L1517"/>
    <mergeCell ref="K1518:L1518"/>
    <mergeCell ref="K1519:L1519"/>
    <mergeCell ref="K1520:L1520"/>
    <mergeCell ref="K1521:L1521"/>
    <mergeCell ref="K1522:L1522"/>
    <mergeCell ref="K1523:L1523"/>
    <mergeCell ref="K1524:L1524"/>
    <mergeCell ref="K1525:L1525"/>
    <mergeCell ref="K1526:L1526"/>
    <mergeCell ref="K1527:L1527"/>
    <mergeCell ref="K1528:L1528"/>
    <mergeCell ref="K1529:L1529"/>
    <mergeCell ref="K1530:L1530"/>
    <mergeCell ref="K1531:L1531"/>
    <mergeCell ref="K1532:L1532"/>
    <mergeCell ref="K1533:L1533"/>
    <mergeCell ref="K1534:L1534"/>
    <mergeCell ref="K1535:L1535"/>
    <mergeCell ref="K1536:L1536"/>
    <mergeCell ref="K1537:L1537"/>
    <mergeCell ref="K1538:L1538"/>
    <mergeCell ref="K1539:L1539"/>
    <mergeCell ref="K1540:L1540"/>
    <mergeCell ref="K1541:L1541"/>
    <mergeCell ref="K1542:L1542"/>
    <mergeCell ref="K1543:L1543"/>
    <mergeCell ref="K1544:L1544"/>
    <mergeCell ref="K1545:L1545"/>
    <mergeCell ref="K1546:L1546"/>
    <mergeCell ref="K1547:L1547"/>
    <mergeCell ref="K1548:L1548"/>
    <mergeCell ref="K1549:L1549"/>
    <mergeCell ref="K1550:L1550"/>
    <mergeCell ref="K1551:L1551"/>
    <mergeCell ref="K1552:L1552"/>
    <mergeCell ref="K1553:L1553"/>
    <mergeCell ref="K1554:L1554"/>
    <mergeCell ref="K1555:L1555"/>
    <mergeCell ref="K1556:L1556"/>
    <mergeCell ref="K1557:L1557"/>
    <mergeCell ref="K1558:L1558"/>
    <mergeCell ref="K1559:L1559"/>
    <mergeCell ref="K1560:L1560"/>
    <mergeCell ref="K1561:L1561"/>
    <mergeCell ref="K1562:L1562"/>
    <mergeCell ref="K1563:L1563"/>
    <mergeCell ref="K1564:L1564"/>
    <mergeCell ref="K1565:L1565"/>
    <mergeCell ref="K1566:L1566"/>
    <mergeCell ref="K1567:L1567"/>
    <mergeCell ref="K1568:L1568"/>
    <mergeCell ref="K1569:L1569"/>
    <mergeCell ref="K1570:L1570"/>
    <mergeCell ref="K1571:L1571"/>
    <mergeCell ref="K1572:L1572"/>
    <mergeCell ref="K1573:L1573"/>
    <mergeCell ref="K1574:L1574"/>
    <mergeCell ref="K1575:L1575"/>
    <mergeCell ref="K1576:L1576"/>
    <mergeCell ref="K1577:L1577"/>
    <mergeCell ref="K1578:L1578"/>
    <mergeCell ref="K1579:L1579"/>
    <mergeCell ref="K1580:L1580"/>
    <mergeCell ref="K1581:L1581"/>
    <mergeCell ref="K1582:L1582"/>
    <mergeCell ref="K1583:L1583"/>
    <mergeCell ref="K1584:L1584"/>
    <mergeCell ref="K1585:L1585"/>
    <mergeCell ref="K1586:L1586"/>
    <mergeCell ref="K1587:L1587"/>
    <mergeCell ref="K1588:L1588"/>
    <mergeCell ref="K1589:L1589"/>
    <mergeCell ref="K1590:L1590"/>
    <mergeCell ref="K1591:L1591"/>
    <mergeCell ref="K1592:L1592"/>
    <mergeCell ref="K1593:L1593"/>
    <mergeCell ref="K1594:L1594"/>
    <mergeCell ref="K1595:L1595"/>
    <mergeCell ref="K1596:L1596"/>
    <mergeCell ref="K1597:L1597"/>
    <mergeCell ref="K1598:L1598"/>
    <mergeCell ref="K1599:L1599"/>
    <mergeCell ref="K1600:L1600"/>
    <mergeCell ref="K1601:L1601"/>
    <mergeCell ref="K1602:L1602"/>
    <mergeCell ref="K1603:L1603"/>
    <mergeCell ref="K1604:L1604"/>
    <mergeCell ref="K1605:L1605"/>
    <mergeCell ref="K1606:L1606"/>
    <mergeCell ref="K1607:L1607"/>
    <mergeCell ref="K1608:L1608"/>
    <mergeCell ref="K1609:L1609"/>
    <mergeCell ref="K1610:L1610"/>
    <mergeCell ref="K1611:L1611"/>
    <mergeCell ref="K1612:L1612"/>
    <mergeCell ref="K1613:L1613"/>
    <mergeCell ref="K1614:L1614"/>
    <mergeCell ref="K1615:L1615"/>
    <mergeCell ref="K1616:L1616"/>
    <mergeCell ref="K1617:L1617"/>
    <mergeCell ref="K1618:L1618"/>
    <mergeCell ref="K1619:L1619"/>
    <mergeCell ref="K1620:L1620"/>
    <mergeCell ref="K1621:L1621"/>
    <mergeCell ref="K1622:L1622"/>
    <mergeCell ref="K1623:L1623"/>
    <mergeCell ref="K1624:L1624"/>
    <mergeCell ref="K1625:L1625"/>
    <mergeCell ref="K1626:L1626"/>
    <mergeCell ref="K1627:L1627"/>
    <mergeCell ref="K1628:L1628"/>
    <mergeCell ref="K1629:L1629"/>
    <mergeCell ref="K1630:L1630"/>
    <mergeCell ref="K1631:L1631"/>
    <mergeCell ref="K1632:L1632"/>
    <mergeCell ref="K1633:L1633"/>
    <mergeCell ref="K1634:L1634"/>
    <mergeCell ref="K1635:L1635"/>
    <mergeCell ref="K1636:L1636"/>
    <mergeCell ref="K1637:L1637"/>
    <mergeCell ref="K1638:L1638"/>
    <mergeCell ref="K1639:L1639"/>
    <mergeCell ref="K1640:L1640"/>
    <mergeCell ref="K1641:L1641"/>
    <mergeCell ref="K1642:L1642"/>
    <mergeCell ref="K1643:L1643"/>
    <mergeCell ref="K1644:L1644"/>
    <mergeCell ref="K1645:L1645"/>
    <mergeCell ref="K1646:L1646"/>
    <mergeCell ref="K1647:L1647"/>
    <mergeCell ref="K1648:L1648"/>
    <mergeCell ref="K1649:L1649"/>
    <mergeCell ref="K1650:L1650"/>
    <mergeCell ref="K1651:L1651"/>
    <mergeCell ref="K1652:L1652"/>
    <mergeCell ref="K1653:L1653"/>
    <mergeCell ref="K1654:L1654"/>
    <mergeCell ref="K1655:L1655"/>
    <mergeCell ref="K1656:L1656"/>
    <mergeCell ref="K1657:L1657"/>
    <mergeCell ref="K1658:L1658"/>
    <mergeCell ref="K1659:L1659"/>
    <mergeCell ref="K1660:L1660"/>
    <mergeCell ref="K1661:L1661"/>
    <mergeCell ref="K1662:L1662"/>
    <mergeCell ref="K1663:L1663"/>
    <mergeCell ref="K1664:L1664"/>
    <mergeCell ref="K1665:L1665"/>
    <mergeCell ref="K1666:L1666"/>
    <mergeCell ref="K1667:L1667"/>
    <mergeCell ref="K1668:L1668"/>
    <mergeCell ref="K1669:L1669"/>
    <mergeCell ref="K1670:L1670"/>
    <mergeCell ref="K1671:L1671"/>
    <mergeCell ref="K1672:L1672"/>
    <mergeCell ref="K1673:L1673"/>
    <mergeCell ref="K1674:L1674"/>
    <mergeCell ref="K1675:L1675"/>
    <mergeCell ref="K1676:L1676"/>
    <mergeCell ref="K1677:L1677"/>
    <mergeCell ref="K1678:L1678"/>
    <mergeCell ref="K1679:L1679"/>
    <mergeCell ref="K1680:L1680"/>
    <mergeCell ref="K1681:L1681"/>
    <mergeCell ref="K1682:L1682"/>
    <mergeCell ref="K1683:L1683"/>
    <mergeCell ref="K1684:L1684"/>
    <mergeCell ref="K1685:L1685"/>
    <mergeCell ref="K1686:L1686"/>
    <mergeCell ref="K1687:L1687"/>
    <mergeCell ref="K1688:L1688"/>
    <mergeCell ref="K1689:L1689"/>
    <mergeCell ref="K1690:L1690"/>
    <mergeCell ref="K1691:L1691"/>
    <mergeCell ref="K1692:L1692"/>
    <mergeCell ref="K1693:L1693"/>
    <mergeCell ref="K1694:L1694"/>
    <mergeCell ref="K1695:L1695"/>
    <mergeCell ref="K1696:L1696"/>
    <mergeCell ref="K1697:L1697"/>
    <mergeCell ref="K1698:L1698"/>
    <mergeCell ref="K1699:L1699"/>
    <mergeCell ref="K1700:L1700"/>
    <mergeCell ref="K1701:L1701"/>
    <mergeCell ref="K1702:L1702"/>
    <mergeCell ref="K1703:L1703"/>
    <mergeCell ref="K1704:L1704"/>
    <mergeCell ref="K1705:L1705"/>
    <mergeCell ref="K1706:L1706"/>
    <mergeCell ref="K1707:L1707"/>
    <mergeCell ref="K1708:L1708"/>
    <mergeCell ref="K1709:L1709"/>
    <mergeCell ref="K1710:L1710"/>
    <mergeCell ref="K1711:L1711"/>
    <mergeCell ref="K1712:L1712"/>
    <mergeCell ref="K1713:L1713"/>
    <mergeCell ref="K1714:L1714"/>
    <mergeCell ref="K1715:L1715"/>
    <mergeCell ref="K1716:L1716"/>
    <mergeCell ref="K1717:L1717"/>
    <mergeCell ref="K1718:L1718"/>
    <mergeCell ref="K1719:L1719"/>
    <mergeCell ref="K1720:L1720"/>
    <mergeCell ref="K1721:L1721"/>
    <mergeCell ref="K1722:L1722"/>
    <mergeCell ref="K1723:L1723"/>
    <mergeCell ref="K1724:L1724"/>
    <mergeCell ref="K1725:L1725"/>
    <mergeCell ref="K1726:L1726"/>
    <mergeCell ref="K1727:L1727"/>
    <mergeCell ref="K1728:L1728"/>
    <mergeCell ref="K1729:L1729"/>
    <mergeCell ref="K1730:L1730"/>
    <mergeCell ref="K1731:L1731"/>
    <mergeCell ref="K1732:L1732"/>
    <mergeCell ref="K1733:L1733"/>
    <mergeCell ref="K1734:L1734"/>
    <mergeCell ref="K1735:L1735"/>
    <mergeCell ref="K1736:L1736"/>
    <mergeCell ref="K1737:L1737"/>
    <mergeCell ref="K1738:L1738"/>
    <mergeCell ref="K1739:L1739"/>
    <mergeCell ref="K1740:L1740"/>
    <mergeCell ref="K1741:L1741"/>
    <mergeCell ref="K1742:L1742"/>
    <mergeCell ref="K1743:L1743"/>
    <mergeCell ref="K1744:L1744"/>
    <mergeCell ref="K1745:L1745"/>
    <mergeCell ref="K1746:L1746"/>
    <mergeCell ref="K1747:L1747"/>
    <mergeCell ref="K1748:L1748"/>
    <mergeCell ref="K1749:L1749"/>
    <mergeCell ref="K1750:L1750"/>
    <mergeCell ref="K1751:L1751"/>
    <mergeCell ref="K1752:L1752"/>
    <mergeCell ref="K1753:L1753"/>
    <mergeCell ref="K1754:L1754"/>
    <mergeCell ref="K1755:L1755"/>
    <mergeCell ref="K1756:L1756"/>
    <mergeCell ref="K1757:L1757"/>
    <mergeCell ref="K1758:L1758"/>
    <mergeCell ref="K1759:L1759"/>
    <mergeCell ref="K1760:L1760"/>
    <mergeCell ref="K1761:L1761"/>
    <mergeCell ref="K1762:L1762"/>
    <mergeCell ref="K1763:L1763"/>
    <mergeCell ref="K1764:L1764"/>
    <mergeCell ref="K1765:L1765"/>
    <mergeCell ref="K1766:L1766"/>
    <mergeCell ref="K1767:L1767"/>
    <mergeCell ref="K1768:L1768"/>
    <mergeCell ref="K1769:L1769"/>
    <mergeCell ref="K1770:L1770"/>
    <mergeCell ref="K1771:L1771"/>
    <mergeCell ref="K1772:L1772"/>
    <mergeCell ref="K1773:L1773"/>
    <mergeCell ref="K1774:L1774"/>
    <mergeCell ref="K1775:L1775"/>
    <mergeCell ref="K1776:L1776"/>
    <mergeCell ref="K1777:L1777"/>
    <mergeCell ref="K1778:L1778"/>
    <mergeCell ref="K1779:L1779"/>
    <mergeCell ref="K1780:L1780"/>
    <mergeCell ref="K1781:L1781"/>
    <mergeCell ref="K1782:L1782"/>
    <mergeCell ref="K1783:L1783"/>
    <mergeCell ref="K1784:L1784"/>
    <mergeCell ref="K1785:L1785"/>
    <mergeCell ref="K1786:L1786"/>
    <mergeCell ref="K1787:L1787"/>
    <mergeCell ref="K1788:L1788"/>
    <mergeCell ref="K1789:L1789"/>
    <mergeCell ref="K1790:L1790"/>
    <mergeCell ref="K1791:L1791"/>
    <mergeCell ref="K1792:L1792"/>
    <mergeCell ref="K1793:L1793"/>
    <mergeCell ref="K1794:L1794"/>
    <mergeCell ref="K1795:L1795"/>
    <mergeCell ref="K1796:L1796"/>
    <mergeCell ref="K1797:L1797"/>
    <mergeCell ref="K1798:L1798"/>
    <mergeCell ref="K1799:L1799"/>
    <mergeCell ref="K1800:L1800"/>
    <mergeCell ref="K1801:L1801"/>
    <mergeCell ref="K1802:L1802"/>
    <mergeCell ref="K1803:L1803"/>
    <mergeCell ref="K1804:L1804"/>
    <mergeCell ref="K1805:L1805"/>
    <mergeCell ref="K1806:L1806"/>
    <mergeCell ref="K1807:L1807"/>
    <mergeCell ref="K1808:L1808"/>
    <mergeCell ref="K1809:L1809"/>
    <mergeCell ref="K1810:L1810"/>
    <mergeCell ref="K1811:L1811"/>
    <mergeCell ref="K1812:L1812"/>
    <mergeCell ref="K1813:L1813"/>
    <mergeCell ref="K1814:L1814"/>
    <mergeCell ref="K1815:L1815"/>
    <mergeCell ref="K1816:L1816"/>
    <mergeCell ref="K1817:L1817"/>
    <mergeCell ref="K1818:L1818"/>
    <mergeCell ref="K1819:L1819"/>
    <mergeCell ref="K1820:L1820"/>
    <mergeCell ref="K1821:L1821"/>
    <mergeCell ref="K1822:L1822"/>
    <mergeCell ref="K1823:L1823"/>
    <mergeCell ref="K1824:L1824"/>
    <mergeCell ref="K1825:L1825"/>
    <mergeCell ref="K1826:L1826"/>
    <mergeCell ref="K1827:L1827"/>
    <mergeCell ref="K1828:L1828"/>
    <mergeCell ref="K1829:L1829"/>
    <mergeCell ref="K1830:L1830"/>
    <mergeCell ref="K1831:L1831"/>
    <mergeCell ref="K1832:L1832"/>
    <mergeCell ref="K1833:L1833"/>
    <mergeCell ref="K1834:L1834"/>
    <mergeCell ref="K1835:L1835"/>
    <mergeCell ref="K1836:L1836"/>
    <mergeCell ref="K1837:L1837"/>
    <mergeCell ref="K1838:L1838"/>
    <mergeCell ref="K1839:L1839"/>
    <mergeCell ref="K1840:L1840"/>
    <mergeCell ref="K1841:L1841"/>
    <mergeCell ref="K1842:L1842"/>
    <mergeCell ref="K1843:L1843"/>
    <mergeCell ref="K1844:L1844"/>
    <mergeCell ref="K1845:L1845"/>
    <mergeCell ref="K1846:L1846"/>
    <mergeCell ref="K1847:L1847"/>
    <mergeCell ref="K1848:L1848"/>
    <mergeCell ref="K1849:L1849"/>
    <mergeCell ref="K1850:L1850"/>
    <mergeCell ref="K1851:L1851"/>
    <mergeCell ref="K1852:L1852"/>
    <mergeCell ref="K1853:L1853"/>
    <mergeCell ref="K1854:L1854"/>
    <mergeCell ref="K1855:L1855"/>
    <mergeCell ref="K1856:L1856"/>
    <mergeCell ref="K1857:L1857"/>
    <mergeCell ref="K1858:L1858"/>
    <mergeCell ref="K1859:L1859"/>
    <mergeCell ref="K1860:L1860"/>
    <mergeCell ref="K1861:L1861"/>
    <mergeCell ref="K1862:L1862"/>
    <mergeCell ref="K1863:L1863"/>
    <mergeCell ref="K1864:L1864"/>
    <mergeCell ref="K1865:L1865"/>
    <mergeCell ref="K1866:L1866"/>
    <mergeCell ref="K1867:L1867"/>
    <mergeCell ref="K1868:L1868"/>
    <mergeCell ref="K1869:L1869"/>
    <mergeCell ref="K1870:L1870"/>
    <mergeCell ref="K1871:L1871"/>
    <mergeCell ref="K1872:L1872"/>
    <mergeCell ref="K1873:L1873"/>
    <mergeCell ref="K1874:L1874"/>
    <mergeCell ref="K1875:L1875"/>
    <mergeCell ref="K1876:L1876"/>
    <mergeCell ref="K1877:L1877"/>
    <mergeCell ref="K1878:L1878"/>
    <mergeCell ref="K1879:L1879"/>
    <mergeCell ref="K1880:L1880"/>
    <mergeCell ref="K1881:L1881"/>
    <mergeCell ref="K1882:L1882"/>
    <mergeCell ref="K1883:L1883"/>
    <mergeCell ref="K1884:L1884"/>
    <mergeCell ref="K1885:L1885"/>
    <mergeCell ref="K1886:L1886"/>
    <mergeCell ref="K1887:L1887"/>
    <mergeCell ref="K1888:L1888"/>
    <mergeCell ref="K1889:L1889"/>
    <mergeCell ref="K1890:L1890"/>
    <mergeCell ref="K1891:L1891"/>
    <mergeCell ref="K1892:L1892"/>
    <mergeCell ref="K1893:L1893"/>
    <mergeCell ref="K1894:L1894"/>
    <mergeCell ref="K1895:L1895"/>
    <mergeCell ref="K1896:L1896"/>
    <mergeCell ref="K1897:L1897"/>
    <mergeCell ref="K1898:L1898"/>
    <mergeCell ref="K1899:L1899"/>
    <mergeCell ref="K1900:L1900"/>
    <mergeCell ref="K1901:L1901"/>
    <mergeCell ref="K1902:L1902"/>
    <mergeCell ref="K1903:L1903"/>
    <mergeCell ref="K1904:L1904"/>
    <mergeCell ref="K1905:L1905"/>
    <mergeCell ref="K1906:L1906"/>
    <mergeCell ref="K1907:L1907"/>
    <mergeCell ref="K1908:L1908"/>
    <mergeCell ref="K1909:L1909"/>
    <mergeCell ref="K1910:L1910"/>
    <mergeCell ref="K1911:L1911"/>
    <mergeCell ref="K1912:L1912"/>
    <mergeCell ref="K1913:L1913"/>
    <mergeCell ref="K1914:L1914"/>
    <mergeCell ref="K1915:L1915"/>
    <mergeCell ref="K1916:L1916"/>
    <mergeCell ref="K1917:L1917"/>
    <mergeCell ref="K1918:L1918"/>
    <mergeCell ref="K1919:L1919"/>
    <mergeCell ref="K1920:L1920"/>
    <mergeCell ref="K1921:L1921"/>
    <mergeCell ref="K1922:L1922"/>
    <mergeCell ref="K1923:L1923"/>
    <mergeCell ref="K1924:L1924"/>
    <mergeCell ref="K1925:L1925"/>
    <mergeCell ref="K1926:L1926"/>
    <mergeCell ref="K1927:L1927"/>
    <mergeCell ref="K1928:L1928"/>
    <mergeCell ref="K1929:L1929"/>
    <mergeCell ref="K1930:L1930"/>
    <mergeCell ref="K1931:L1931"/>
    <mergeCell ref="K1932:L1932"/>
    <mergeCell ref="K1933:L1933"/>
    <mergeCell ref="K1934:L1934"/>
    <mergeCell ref="K1935:L1935"/>
    <mergeCell ref="K1936:L1936"/>
    <mergeCell ref="K1937:L1937"/>
    <mergeCell ref="K1938:L1938"/>
    <mergeCell ref="K1939:L1939"/>
    <mergeCell ref="K1940:L1940"/>
    <mergeCell ref="K1941:L1941"/>
    <mergeCell ref="K1942:L1942"/>
    <mergeCell ref="K1943:L1943"/>
    <mergeCell ref="K1944:L1944"/>
    <mergeCell ref="K1945:L1945"/>
    <mergeCell ref="K1946:L1946"/>
    <mergeCell ref="K1947:L1947"/>
    <mergeCell ref="K1948:L1948"/>
    <mergeCell ref="K1949:L1949"/>
    <mergeCell ref="K1950:L1950"/>
    <mergeCell ref="K1951:L1951"/>
    <mergeCell ref="K1952:L1952"/>
    <mergeCell ref="K1953:L1953"/>
    <mergeCell ref="K1954:L1954"/>
    <mergeCell ref="K1955:L1955"/>
    <mergeCell ref="K1956:L1956"/>
    <mergeCell ref="K1957:L1957"/>
    <mergeCell ref="K1958:L1958"/>
    <mergeCell ref="K1959:L1959"/>
    <mergeCell ref="K1960:L1960"/>
    <mergeCell ref="K1961:L1961"/>
    <mergeCell ref="K1962:L1962"/>
    <mergeCell ref="K1963:L1963"/>
    <mergeCell ref="K1964:L1964"/>
    <mergeCell ref="K1965:L1965"/>
    <mergeCell ref="K1966:L1966"/>
    <mergeCell ref="K1967:L1967"/>
    <mergeCell ref="K1968:L1968"/>
    <mergeCell ref="K1969:L1969"/>
    <mergeCell ref="K1970:L1970"/>
    <mergeCell ref="K1971:L1971"/>
    <mergeCell ref="K1972:L1972"/>
    <mergeCell ref="K1973:L1973"/>
    <mergeCell ref="K1974:L1974"/>
    <mergeCell ref="K1975:L1975"/>
    <mergeCell ref="K1976:L1976"/>
    <mergeCell ref="K1977:L1977"/>
    <mergeCell ref="K1978:L1978"/>
    <mergeCell ref="K1979:L1979"/>
    <mergeCell ref="K1980:L1980"/>
    <mergeCell ref="K1981:L1981"/>
    <mergeCell ref="K1982:L1982"/>
    <mergeCell ref="K1983:L1983"/>
    <mergeCell ref="K1984:L1984"/>
    <mergeCell ref="K1985:L1985"/>
    <mergeCell ref="K1986:L1986"/>
    <mergeCell ref="K1987:L1987"/>
    <mergeCell ref="K1988:L1988"/>
    <mergeCell ref="K1989:L1989"/>
    <mergeCell ref="K1990:L1990"/>
    <mergeCell ref="K1991:L1991"/>
    <mergeCell ref="K1992:L1992"/>
    <mergeCell ref="K1993:L1993"/>
    <mergeCell ref="K1994:L1994"/>
    <mergeCell ref="K1995:L1995"/>
    <mergeCell ref="K1996:L199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2016-05-20T18:28:56Z</dcterms:created>
  <dc:creator>Administrador</dc:creator>
  <dc:description/>
  <dc:language>en-US</dc:language>
  <cp:lastModifiedBy/>
  <dcterms:modified xsi:type="dcterms:W3CDTF">2026-06-06T06:15:34Z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0x0101007544362994FE8847857CDEFC957BC10D</vt:lpwstr>
  </property>
  <property fmtid="{D5CDD505-2E9C-101B-9397-08002B2CF9AE}" pid="4" name="MediaServiceImageTags">
    <vt:lpwstr/>
  </property>
  <property fmtid="{D5CDD505-2E9C-101B-9397-08002B2CF9AE}" pid="5" name="TemplateUrl">
    <vt:lpwstr/>
  </property>
  <property fmtid="{D5CDD505-2E9C-101B-9397-08002B2CF9AE}" pid="6" name="TriggerFlowInfo">
    <vt:lpwstr/>
  </property>
  <property fmtid="{D5CDD505-2E9C-101B-9397-08002B2CF9AE}" pid="7" name="_ExtendedDescription">
    <vt:lpwstr/>
  </property>
  <property fmtid="{D5CDD505-2E9C-101B-9397-08002B2CF9AE}" pid="8" name="_SharedFileIndex">
    <vt:lpwstr/>
  </property>
  <property fmtid="{D5CDD505-2E9C-101B-9397-08002B2CF9AE}" pid="9" name="_SourceUrl">
    <vt:lpwstr/>
  </property>
  <property fmtid="{D5CDD505-2E9C-101B-9397-08002B2CF9AE}" pid="10" name="xd_ProgID">
    <vt:lpwstr/>
  </property>
  <property fmtid="{D5CDD505-2E9C-101B-9397-08002B2CF9AE}" pid="11" name="xd_Signature">
    <vt:bool>0</vt:bool>
  </property>
</Properties>
</file>